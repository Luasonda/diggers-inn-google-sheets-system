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Inventory Master" state="visible" r:id="rId5"/>
    <sheet sheetId="3" name="Daily Stock Count" state="visible" r:id="rId6"/>
    <sheet sheetId="4" name="Sales Log" state="visible" r:id="rId7"/>
    <sheet sheetId="5" name="Purchases" state="visible" r:id="rId8"/>
    <sheet sheetId="6" name="Reports" state="visible" r:id="rId9"/>
    <sheet sheetId="7" name="Lists" state="veryHidden" r:id="rId10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Formula: =SUMIFS('Sales Log'!$F:$F,'Sales Log'!$A:$A,TODAY())</t>
        </r>
      </text>
    </comment>
    <comment ref="E4" authorId="0">
      <text>
        <r>
          <t>Formula: =SUMIFS('Sales Log'!$F:$F,'Sales Log'!$A:$A,"&gt;="&amp;TODAY()-WEEKDAY(TODAY(),2)+1,'Sales Log'!$A:$A,"&lt;="&amp;TODAY())</t>
        </r>
      </text>
    </comment>
    <comment ref="H4" authorId="0">
      <text>
        <r>
          <t>Formula: =SUMPRODUCT('Inventory Master'!$J$3:$J$300,'Inventory Master'!$D$3:$D$300)</t>
        </r>
      </text>
    </comment>
    <comment ref="K4" authorId="0">
      <text>
        <r>
          <t>Formula: =COUNTIF('Inventory Master'!$L$3:$L$300,"REORDER")</t>
        </r>
      </text>
    </comment>
    <comment ref="B7" authorId="0">
      <text>
        <r>
          <t>Formula: =SUMIFS('Daily Stock Count'!$I:$I,'Daily Stock Count'!$A:$A,TODAY())</t>
        </r>
      </text>
    </comment>
    <comment ref="E7" authorId="0">
      <text>
        <r>
          <t>Formula: =SUMPRODUCT('Sales Log'!$D$3:$D$2000,IFNA(VLOOKUP('Sales Log'!$C$3:$C$2000,'Inventory Master'!$A$3:$E$300,5,FALSE)-VLOOKUP('Sales Log'!$C$3:$C$2000,'Inventory Master'!$A$3:$E$300,4,FALSE),0))</t>
        </r>
      </text>
    </comment>
    <comment ref="H7" authorId="0">
      <text>
        <r>
          <t>Formula: =COUNTIFS('Sales Log'!$A:$A,TODAY())</t>
        </r>
      </text>
    </comment>
    <comment ref="K7" authorId="0">
      <text>
        <r>
          <t>Formula: =SUMPRODUCT(('Inventory Master'!$L$3:$L$300="REORDER")*('Inventory Master'!$K$3:$K$300-'Inventory Master'!$J$3:$J$300)*'Inventory Master'!$D$3:$D$300)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>Enter each product once. Example: Mosi Lager 330ml.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G3" authorId="0">
      <text>
        <r>
          <t>Type the physical count after checking the shelf or store room.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>Enter quantity sold only. Price fills automatically.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>Enter quantity received from supplier.</t>
        </r>
      </text>
    </comment>
  </commentList>
</comments>
</file>

<file path=xl/sharedStrings.xml><?xml version="1.0" encoding="utf-8"?>
<sst xmlns="http://schemas.openxmlformats.org/spreadsheetml/2006/main" count="101" uniqueCount="83">
  <si>
    <t>Diggers Inn Restaurant &amp; Pub — Inventory &amp; Operations Dashboard</t>
  </si>
  <si>
    <t>Go to Inventory</t>
  </si>
  <si>
    <t>Daily Count</t>
  </si>
  <si>
    <t>Sales Log</t>
  </si>
  <si>
    <t>Purchases</t>
  </si>
  <si>
    <t>Low Stock List</t>
  </si>
  <si>
    <t>Top Selling Products</t>
  </si>
  <si>
    <t>7-Day Sales Data</t>
  </si>
  <si>
    <t>Item</t>
  </si>
  <si>
    <t>Current Stock</t>
  </si>
  <si>
    <t>Reorder Level</t>
  </si>
  <si>
    <t>Status</t>
  </si>
  <si>
    <t/>
  </si>
  <si>
    <t>Qty Sold</t>
  </si>
  <si>
    <t>Date</t>
  </si>
  <si>
    <t>Sales Total</t>
  </si>
  <si>
    <t>Tip: staff should only type in cream-coloured cells. Grey cells calculate automatically.</t>
  </si>
  <si>
    <t>Inventory Master</t>
  </si>
  <si>
    <t>Item Name</t>
  </si>
  <si>
    <t>Category</t>
  </si>
  <si>
    <t>Unit</t>
  </si>
  <si>
    <t>Cost Price</t>
  </si>
  <si>
    <t>Sell Price</t>
  </si>
  <si>
    <t>Opening Stock</t>
  </si>
  <si>
    <t>Sales</t>
  </si>
  <si>
    <t>Wastage</t>
  </si>
  <si>
    <t>Daily Stock Count</t>
  </si>
  <si>
    <t>Opening</t>
  </si>
  <si>
    <t>Added</t>
  </si>
  <si>
    <t>Sold</t>
  </si>
  <si>
    <t>Closing Physical Count</t>
  </si>
  <si>
    <t>Expected Closing</t>
  </si>
  <si>
    <t>Variance</t>
  </si>
  <si>
    <t>Waiter</t>
  </si>
  <si>
    <t>Qty</t>
  </si>
  <si>
    <t>Unit Price</t>
  </si>
  <si>
    <t>Total</t>
  </si>
  <si>
    <t>Payment Method</t>
  </si>
  <si>
    <t>Supplier</t>
  </si>
  <si>
    <t>Unit Cost</t>
  </si>
  <si>
    <t>Total Cost</t>
  </si>
  <si>
    <t>Reports</t>
  </si>
  <si>
    <t>Daily Sales Summary</t>
  </si>
  <si>
    <t>Weekly Sales Summary</t>
  </si>
  <si>
    <t>Monthly Sales Summary</t>
  </si>
  <si>
    <t>Variance Summary</t>
  </si>
  <si>
    <t>If Google Sheets does not import charts, insert charts from the prepared summary blocks in this tab and Dashboard.</t>
  </si>
  <si>
    <t>Categories</t>
  </si>
  <si>
    <t>Units</t>
  </si>
  <si>
    <t>Waiters</t>
  </si>
  <si>
    <t>Payment Methods</t>
  </si>
  <si>
    <t>Suppliers</t>
  </si>
  <si>
    <t>Beer</t>
  </si>
  <si>
    <t>Bottle</t>
  </si>
  <si>
    <t>Waiter 1</t>
  </si>
  <si>
    <t>Cash</t>
  </si>
  <si>
    <t>Default Supplier</t>
  </si>
  <si>
    <t>Wine</t>
  </si>
  <si>
    <t>Can</t>
  </si>
  <si>
    <t>Waiter 2</t>
  </si>
  <si>
    <t>Mobile Money</t>
  </si>
  <si>
    <t>Local Beverages</t>
  </si>
  <si>
    <t>Spirits</t>
  </si>
  <si>
    <t>Case</t>
  </si>
  <si>
    <t>Waiter 3</t>
  </si>
  <si>
    <t>Card</t>
  </si>
  <si>
    <t>Fresh Foods</t>
  </si>
  <si>
    <t>Soft Drink</t>
  </si>
  <si>
    <t>Litre</t>
  </si>
  <si>
    <t>Bar 1</t>
  </si>
  <si>
    <t>Transfer</t>
  </si>
  <si>
    <t>House Supplies</t>
  </si>
  <si>
    <t>Food</t>
  </si>
  <si>
    <t>ml</t>
  </si>
  <si>
    <t>Manager</t>
  </si>
  <si>
    <t>Credit</t>
  </si>
  <si>
    <t>Mixer</t>
  </si>
  <si>
    <t>Plate</t>
  </si>
  <si>
    <t>Cleaning</t>
  </si>
  <si>
    <t>Pack</t>
  </si>
  <si>
    <t>Other</t>
  </si>
  <si>
    <t>Kg</t>
  </si>
  <si>
    <t>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</si>
</sst>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Aptos"/>
    </font>
    <font>
      <b/>
      <color rgb="FFFFFF"/>
      <sz val="11"/>
      <name val="Aptos"/>
    </font>
    <font>
      <b/>
      <color rgb="123524"/>
      <sz val="18"/>
      <name val="Aptos"/>
    </font>
    <font>
      <b/>
      <color rgb="C9A227"/>
      <sz val="12"/>
      <name val="Aptos"/>
    </font>
    <font>
      <i/>
      <color rgb="123524"/>
      <sz val="10"/>
      <name val="Aptos"/>
    </font>
    <font>
      <color rgb="1F1F1F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123524"/>
      </patternFill>
    </fill>
    <fill>
      <patternFill patternType="solid">
        <fgColor rgb="1F5A43"/>
      </patternFill>
    </fill>
    <fill>
      <patternFill patternType="solid">
        <fgColor rgb="EAF4EE"/>
      </patternFill>
    </fill>
    <fill>
      <patternFill patternType="solid">
        <fgColor rgb="FFF9E8"/>
      </patternFill>
    </fill>
    <fill>
      <patternFill patternType="solid">
        <fgColor rgb="F3F4F6"/>
      </patternFill>
    </fill>
  </fills>
  <borders count="2">
    <border>
      <left/>
      <right/>
      <top/>
      <bottom/>
      <diagonal/>
    </border>
    <border>
      <left style="thin">
        <color rgb="D8C98E"/>
      </left>
      <right style="thin">
        <color rgb="D8C98E"/>
      </right>
      <top style="thin">
        <color rgb="D8C98E"/>
      </top>
      <bottom style="thin">
        <color rgb="D8C98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 applyProtection="1">
      <alignment horizontal="center" vertical="center"/>
    </xf>
    <xf numFmtId="4" fontId="3" fillId="4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5" fillId="0" borderId="0" xfId="0" applyFont="1" applyProtection="1"/>
    <xf numFmtId="4" fontId="0" fillId="0" borderId="0" xfId="0" applyNumberFormat="1"/>
    <xf numFmtId="0" fontId="6" fillId="5" borderId="1" xfId="0" applyFont="1" applyFill="1" applyBorder="1" applyProtection="1">
      <protection locked="0"/>
    </xf>
    <xf numFmtId="4" fontId="6" fillId="5" borderId="1" xfId="0" applyNumberFormat="1" applyFont="1" applyFill="1" applyBorder="1" applyProtection="1">
      <protection locked="0"/>
    </xf>
    <xf numFmtId="4" fontId="6" fillId="6" borderId="1" xfId="0" applyNumberFormat="1" applyFont="1" applyFill="1" applyBorder="1" applyProtection="1"/>
    <xf numFmtId="0" fontId="6" fillId="6" borderId="1" xfId="0" applyFont="1" applyFill="1" applyBorder="1" applyProtection="1"/>
    <xf numFmtId="0" fontId="2" fillId="2" borderId="1" xfId="0" applyFont="1" applyFill="1" applyBorder="1"/>
  </cellXfs>
  <cellStyles count="1">
    <cellStyle name="Normal" xfId="0" builtinId="0"/>
  </cellStyles>
  <dxfs count="2">
    <dxf>
      <font>
        <b/>
        <color rgb="B3261E"/>
      </font>
      <fill>
        <patternFill patternType="solid">
          <fgColor rgb="FDECEC"/>
          <bgColor rgb="FDECEC"/>
        </patternFill>
      </fill>
    </dxf>
    <dxf>
      <font>
        <b/>
        <color rgb="B3261E"/>
      </font>
      <fill>
        <patternFill patternType="solid">
          <fgColor rgb="F6EDC8"/>
          <bgColor rgb="F6EDC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15" customWidth="1"/>
    <col min="4" max="4" width="4" customWidth="1"/>
    <col min="5" max="6" width="15" customWidth="1"/>
    <col min="7" max="7" width="4" customWidth="1"/>
    <col min="8" max="9" width="15" customWidth="1"/>
    <col min="10" max="10" width="4" customWidth="1"/>
    <col min="11" max="12" width="15" customWidth="1"/>
  </cols>
  <sheetData>
    <row r="1" ht="2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2" t="s">
        <v>1</v>
      </c>
      <c r="C2" s="2"/>
      <c r="E2" s="2" t="s">
        <v>2</v>
      </c>
      <c r="F2" s="2"/>
      <c r="H2" s="2" t="s">
        <v>3</v>
      </c>
      <c r="I2" s="2"/>
      <c r="K2" s="2" t="s">
        <v>4</v>
      </c>
      <c r="L2" s="2"/>
    </row>
    <row r="4" ht="28" customHeight="1" spans="2:12" x14ac:dyDescent="0.25">
      <c r="B4" s="3">
        <f>B30</f>
      </c>
      <c r="C4" s="3"/>
      <c r="E4" s="3">
        <f>C30</f>
      </c>
      <c r="F4" s="3"/>
      <c r="H4" s="3">
        <f>D30</f>
      </c>
      <c r="I4" s="3"/>
      <c r="K4" s="3">
        <f>E30</f>
      </c>
      <c r="L4" s="3"/>
    </row>
    <row r="5" ht="28" customHeight="1" spans="2:12" x14ac:dyDescent="0.25">
      <c r="B5" s="3"/>
      <c r="C5" s="3"/>
      <c r="E5" s="3"/>
      <c r="F5" s="3"/>
      <c r="H5" s="3"/>
      <c r="I5" s="3"/>
      <c r="K5" s="3"/>
      <c r="L5" s="3"/>
    </row>
    <row r="7" ht="28" customHeight="1" spans="2:12" x14ac:dyDescent="0.25">
      <c r="B7" s="3">
        <f>F30</f>
      </c>
      <c r="C7" s="3"/>
      <c r="E7" s="3">
        <f>G30</f>
      </c>
      <c r="F7" s="3"/>
      <c r="H7" s="3">
        <f>H30</f>
      </c>
      <c r="I7" s="3"/>
      <c r="K7" s="3">
        <f>I30</f>
      </c>
      <c r="L7" s="3"/>
    </row>
    <row r="8" ht="28" customHeight="1" spans="2:12" x14ac:dyDescent="0.25">
      <c r="B8" s="3"/>
      <c r="C8" s="3"/>
      <c r="E8" s="3"/>
      <c r="F8" s="3"/>
      <c r="H8" s="3"/>
      <c r="I8" s="3"/>
      <c r="K8" s="3"/>
      <c r="L8" s="3"/>
    </row>
    <row r="11" spans="1:12" x14ac:dyDescent="0.25">
      <c r="A11" s="4" t="s">
        <v>5</v>
      </c>
      <c r="B11" s="4"/>
      <c r="C11" s="4"/>
      <c r="D11" s="4"/>
      <c r="F11" s="4" t="s">
        <v>6</v>
      </c>
      <c r="G11" s="4"/>
      <c r="H11" s="4"/>
      <c r="I11" s="4"/>
      <c r="J11" s="4" t="s">
        <v>7</v>
      </c>
      <c r="K11" s="4"/>
      <c r="L11" s="4"/>
    </row>
    <row r="12" ht="22" customHeight="1" spans="1:12" x14ac:dyDescent="0.25">
      <c r="A12" s="5" t="s">
        <v>8</v>
      </c>
      <c r="B12" s="5" t="s">
        <v>9</v>
      </c>
      <c r="C12" s="5" t="s">
        <v>10</v>
      </c>
      <c r="D12" s="5" t="s">
        <v>11</v>
      </c>
      <c r="E12" s="5" t="s">
        <v>12</v>
      </c>
      <c r="F12" s="5" t="s">
        <v>8</v>
      </c>
      <c r="G12" s="5" t="s">
        <v>13</v>
      </c>
      <c r="H12" s="5" t="s">
        <v>12</v>
      </c>
      <c r="I12" s="5" t="s">
        <v>12</v>
      </c>
      <c r="J12" s="5" t="s">
        <v>14</v>
      </c>
      <c r="K12" s="5" t="s">
        <v>15</v>
      </c>
      <c r="L12" s="5" t="s">
        <v>12</v>
      </c>
    </row>
    <row r="13" spans="1:10" x14ac:dyDescent="0.25">
      <c r="A13">
        <f>FILTER({'Inventory Master'!A3:A300,'Inventory Master'!J3:J300,'Inventory Master'!K3:K300,'Inventory Master'!L3:L300},'Inventory Master'!L3:L300="REORDER")</f>
      </c>
      <c r="F13">
        <f>QUERY({'Sales Log'!C3:C2000,'Sales Log'!D3:D2000},"select Col1,sum(Col2) where Col1 is not null group by Col1 order by sum(Col2) desc limit 5 label Col1 'Item', sum(Col2) 'Qty Sold'",0)</f>
      </c>
      <c r="J13">
        <f>QUERY({'Sales Log'!A3:A2000,'Sales Log'!F3:F2000},"select Col1,sum(Col2) where Col1 is not null group by Col1 order by Col1 desc limit 7 label Col1 'Date', sum(Col2) 'Sales Total'",0)</f>
      </c>
    </row>
    <row r="27" spans="1:1" x14ac:dyDescent="0.25">
      <c r="A27" s="6" t="s">
        <v>16</v>
      </c>
    </row>
    <row r="30" spans="2:9" x14ac:dyDescent="0.25">
      <c r="B30" s="7">
        <f>SUMIFS('Sales Log'!$F:$F,'Sales Log'!$A:$A,TODAY())</f>
      </c>
      <c r="C30" s="7">
        <f>SUMIFS('Sales Log'!$F:$F,'Sales Log'!$A:$A,"&gt;="&amp;TODAY()-WEEKDAY(TODAY(),2)+1,'Sales Log'!$A:$A,"&lt;="&amp;TODAY())</f>
      </c>
      <c r="D30" s="7">
        <f>SUMPRODUCT('Inventory Master'!$J$3:$J$300,'Inventory Master'!$D$3:$D$300)</f>
      </c>
      <c r="E30" s="7">
        <f>COUNTIF('Inventory Master'!$L$3:$L$300,"REORDER")</f>
      </c>
      <c r="F30" s="7">
        <f>SUMIFS('Daily Stock Count'!$I:$I,'Daily Stock Count'!$A:$A,TODAY())</f>
      </c>
      <c r="G30" s="7">
        <f>SUMPRODUCT('Sales Log'!$D$3:$D$2000,IFNA(VLOOKUP('Sales Log'!$C$3:$C$2000,'Inventory Master'!$A$3:$E$300,5,FALSE)-VLOOKUP('Sales Log'!$C$3:$C$2000,'Inventory Master'!$A$3:$E$300,4,FALSE),0))</f>
      </c>
      <c r="H30" s="7">
        <f>COUNTIFS('Sales Log'!$A:$A,TODAY())</f>
      </c>
      <c r="I30" s="7">
        <f>SUMPRODUCT(('Inventory Master'!$L$3:$L$300="REORDER")*('Inventory Master'!$K$3:$K$300-'Inventory Master'!$J$3:$J$300)*'Inventory Master'!$D$3:$D$300)</f>
      </c>
    </row>
  </sheetData>
  <sheetProtection sheet="1" selectLockedCells="1" autoFilter="0" algorithmName="SHA-512" hashValue="gxdFfxpQ5G8Gs1Wm7gd5C2DHG3Y5FrO8nW3m+keHdVLtbDXUIl77gXr0sQJS/Ld1w4e/CIuabKp6MsgpUVnsXg==" saltValue="c/bJiYOvIoMXl38Ht0yYTQ==" spinCount="100000"/>
  <mergeCells count="16">
    <mergeCell ref="A1:L1"/>
    <mergeCell ref="B2:C2"/>
    <mergeCell ref="E2:F2"/>
    <mergeCell ref="H2:I2"/>
    <mergeCell ref="K2:L2"/>
    <mergeCell ref="B4:C5"/>
    <mergeCell ref="E4:F5"/>
    <mergeCell ref="H4:I5"/>
    <mergeCell ref="K4:L5"/>
    <mergeCell ref="B7:C8"/>
    <mergeCell ref="E7:F8"/>
    <mergeCell ref="H7:I8"/>
    <mergeCell ref="K7:L8"/>
    <mergeCell ref="A11:D11"/>
    <mergeCell ref="F11:I11"/>
    <mergeCell ref="J11:L11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5" width="12" customWidth="1"/>
    <col min="6" max="6" width="14" customWidth="1"/>
    <col min="7" max="9" width="12" customWidth="1"/>
    <col min="10" max="11" width="14" customWidth="1"/>
    <col min="12" max="12" width="12" customWidth="1"/>
  </cols>
  <sheetData>
    <row r="1" ht="24" customHeight="1" spans="1:12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4</v>
      </c>
      <c r="H2" s="5" t="s">
        <v>24</v>
      </c>
      <c r="I2" s="5" t="s">
        <v>25</v>
      </c>
      <c r="J2" s="5" t="s">
        <v>9</v>
      </c>
      <c r="K2" s="5" t="s">
        <v>10</v>
      </c>
      <c r="L2" s="5" t="s">
        <v>11</v>
      </c>
    </row>
    <row r="3" ht="21" customHeight="1" spans="1:12" x14ac:dyDescent="0.25">
      <c r="A3" s="8"/>
      <c r="B3" s="8"/>
      <c r="C3" s="8"/>
      <c r="D3" s="9"/>
      <c r="E3" s="9"/>
      <c r="F3" s="8"/>
      <c r="G3" s="10">
        <f>SUMIFS(Purchases!$D:$D,Purchases!$C:$C,$A3)</f>
      </c>
      <c r="H3" s="10">
        <f>SUMIFS('Sales Log'!$D:$D,'Sales Log'!$C:$C,$A3)</f>
      </c>
      <c r="I3" s="10">
        <f>SUMIFS('Daily Stock Count'!$F:$F,'Daily Stock Count'!$B:$B,$A3)</f>
      </c>
      <c r="J3" s="10">
        <f>F3+G3-H3-I3</f>
      </c>
      <c r="K3" s="8"/>
      <c r="L3" s="11">
        <f>IF(J3&lt;=K3,"REORDER","OK")</f>
      </c>
    </row>
    <row r="4" ht="21" customHeight="1" spans="1:12" x14ac:dyDescent="0.25">
      <c r="A4" s="8"/>
      <c r="B4" s="8"/>
      <c r="C4" s="8"/>
      <c r="D4" s="9"/>
      <c r="E4" s="9"/>
      <c r="F4" s="8"/>
      <c r="G4" s="10">
        <f>SUMIFS(Purchases!$D:$D,Purchases!$C:$C,$A4)</f>
      </c>
      <c r="H4" s="10">
        <f>SUMIFS('Sales Log'!$D:$D,'Sales Log'!$C:$C,$A4)</f>
      </c>
      <c r="I4" s="10">
        <f>SUMIFS('Daily Stock Count'!$F:$F,'Daily Stock Count'!$B:$B,$A4)</f>
      </c>
      <c r="J4" s="10">
        <f>F4+G4-H4-I4</f>
      </c>
      <c r="K4" s="8"/>
      <c r="L4" s="11">
        <f>IF(J4&lt;=K4,"REORDER","OK")</f>
      </c>
    </row>
    <row r="5" ht="21" customHeight="1" spans="1:12" x14ac:dyDescent="0.25">
      <c r="A5" s="8"/>
      <c r="B5" s="8"/>
      <c r="C5" s="8"/>
      <c r="D5" s="9"/>
      <c r="E5" s="9"/>
      <c r="F5" s="8"/>
      <c r="G5" s="10">
        <f>SUMIFS(Purchases!$D:$D,Purchases!$C:$C,$A5)</f>
      </c>
      <c r="H5" s="10">
        <f>SUMIFS('Sales Log'!$D:$D,'Sales Log'!$C:$C,$A5)</f>
      </c>
      <c r="I5" s="10">
        <f>SUMIFS('Daily Stock Count'!$F:$F,'Daily Stock Count'!$B:$B,$A5)</f>
      </c>
      <c r="J5" s="10">
        <f>F5+G5-H5-I5</f>
      </c>
      <c r="K5" s="8"/>
      <c r="L5" s="11">
        <f>IF(J5&lt;=K5,"REORDER","OK")</f>
      </c>
    </row>
    <row r="6" ht="21" customHeight="1" spans="1:12" x14ac:dyDescent="0.25">
      <c r="A6" s="8"/>
      <c r="B6" s="8"/>
      <c r="C6" s="8"/>
      <c r="D6" s="9"/>
      <c r="E6" s="9"/>
      <c r="F6" s="8"/>
      <c r="G6" s="10">
        <f>SUMIFS(Purchases!$D:$D,Purchases!$C:$C,$A6)</f>
      </c>
      <c r="H6" s="10">
        <f>SUMIFS('Sales Log'!$D:$D,'Sales Log'!$C:$C,$A6)</f>
      </c>
      <c r="I6" s="10">
        <f>SUMIFS('Daily Stock Count'!$F:$F,'Daily Stock Count'!$B:$B,$A6)</f>
      </c>
      <c r="J6" s="10">
        <f>F6+G6-H6-I6</f>
      </c>
      <c r="K6" s="8"/>
      <c r="L6" s="11">
        <f>IF(J6&lt;=K6,"REORDER","OK")</f>
      </c>
    </row>
    <row r="7" ht="21" customHeight="1" spans="1:12" x14ac:dyDescent="0.25">
      <c r="A7" s="8"/>
      <c r="B7" s="8"/>
      <c r="C7" s="8"/>
      <c r="D7" s="9"/>
      <c r="E7" s="9"/>
      <c r="F7" s="8"/>
      <c r="G7" s="10">
        <f>SUMIFS(Purchases!$D:$D,Purchases!$C:$C,$A7)</f>
      </c>
      <c r="H7" s="10">
        <f>SUMIFS('Sales Log'!$D:$D,'Sales Log'!$C:$C,$A7)</f>
      </c>
      <c r="I7" s="10">
        <f>SUMIFS('Daily Stock Count'!$F:$F,'Daily Stock Count'!$B:$B,$A7)</f>
      </c>
      <c r="J7" s="10">
        <f>F7+G7-H7-I7</f>
      </c>
      <c r="K7" s="8"/>
      <c r="L7" s="11">
        <f>IF(J7&lt;=K7,"REORDER","OK")</f>
      </c>
    </row>
    <row r="8" ht="21" customHeight="1" spans="1:12" x14ac:dyDescent="0.25">
      <c r="A8" s="8"/>
      <c r="B8" s="8"/>
      <c r="C8" s="8"/>
      <c r="D8" s="9"/>
      <c r="E8" s="9"/>
      <c r="F8" s="8"/>
      <c r="G8" s="10">
        <f>SUMIFS(Purchases!$D:$D,Purchases!$C:$C,$A8)</f>
      </c>
      <c r="H8" s="10">
        <f>SUMIFS('Sales Log'!$D:$D,'Sales Log'!$C:$C,$A8)</f>
      </c>
      <c r="I8" s="10">
        <f>SUMIFS('Daily Stock Count'!$F:$F,'Daily Stock Count'!$B:$B,$A8)</f>
      </c>
      <c r="J8" s="10">
        <f>F8+G8-H8-I8</f>
      </c>
      <c r="K8" s="8"/>
      <c r="L8" s="11">
        <f>IF(J8&lt;=K8,"REORDER","OK")</f>
      </c>
    </row>
    <row r="9" ht="21" customHeight="1" spans="1:12" x14ac:dyDescent="0.25">
      <c r="A9" s="8"/>
      <c r="B9" s="8"/>
      <c r="C9" s="8"/>
      <c r="D9" s="9"/>
      <c r="E9" s="9"/>
      <c r="F9" s="8"/>
      <c r="G9" s="10">
        <f>SUMIFS(Purchases!$D:$D,Purchases!$C:$C,$A9)</f>
      </c>
      <c r="H9" s="10">
        <f>SUMIFS('Sales Log'!$D:$D,'Sales Log'!$C:$C,$A9)</f>
      </c>
      <c r="I9" s="10">
        <f>SUMIFS('Daily Stock Count'!$F:$F,'Daily Stock Count'!$B:$B,$A9)</f>
      </c>
      <c r="J9" s="10">
        <f>F9+G9-H9-I9</f>
      </c>
      <c r="K9" s="8"/>
      <c r="L9" s="11">
        <f>IF(J9&lt;=K9,"REORDER","OK")</f>
      </c>
    </row>
    <row r="10" ht="21" customHeight="1" spans="1:12" x14ac:dyDescent="0.25">
      <c r="A10" s="8"/>
      <c r="B10" s="8"/>
      <c r="C10" s="8"/>
      <c r="D10" s="9"/>
      <c r="E10" s="9"/>
      <c r="F10" s="8"/>
      <c r="G10" s="10">
        <f>SUMIFS(Purchases!$D:$D,Purchases!$C:$C,$A10)</f>
      </c>
      <c r="H10" s="10">
        <f>SUMIFS('Sales Log'!$D:$D,'Sales Log'!$C:$C,$A10)</f>
      </c>
      <c r="I10" s="10">
        <f>SUMIFS('Daily Stock Count'!$F:$F,'Daily Stock Count'!$B:$B,$A10)</f>
      </c>
      <c r="J10" s="10">
        <f>F10+G10-H10-I10</f>
      </c>
      <c r="K10" s="8"/>
      <c r="L10" s="11">
        <f>IF(J10&lt;=K10,"REORDER","OK")</f>
      </c>
    </row>
    <row r="11" ht="21" customHeight="1" spans="1:12" x14ac:dyDescent="0.25">
      <c r="A11" s="8"/>
      <c r="B11" s="8"/>
      <c r="C11" s="8"/>
      <c r="D11" s="9"/>
      <c r="E11" s="9"/>
      <c r="F11" s="8"/>
      <c r="G11" s="10">
        <f>SUMIFS(Purchases!$D:$D,Purchases!$C:$C,$A11)</f>
      </c>
      <c r="H11" s="10">
        <f>SUMIFS('Sales Log'!$D:$D,'Sales Log'!$C:$C,$A11)</f>
      </c>
      <c r="I11" s="10">
        <f>SUMIFS('Daily Stock Count'!$F:$F,'Daily Stock Count'!$B:$B,$A11)</f>
      </c>
      <c r="J11" s="10">
        <f>F11+G11-H11-I11</f>
      </c>
      <c r="K11" s="8"/>
      <c r="L11" s="11">
        <f>IF(J11&lt;=K11,"REORDER","OK")</f>
      </c>
    </row>
    <row r="12" ht="21" customHeight="1" spans="1:12" x14ac:dyDescent="0.25">
      <c r="A12" s="8"/>
      <c r="B12" s="8"/>
      <c r="C12" s="8"/>
      <c r="D12" s="9"/>
      <c r="E12" s="9"/>
      <c r="F12" s="8"/>
      <c r="G12" s="10">
        <f>SUMIFS(Purchases!$D:$D,Purchases!$C:$C,$A12)</f>
      </c>
      <c r="H12" s="10">
        <f>SUMIFS('Sales Log'!$D:$D,'Sales Log'!$C:$C,$A12)</f>
      </c>
      <c r="I12" s="10">
        <f>SUMIFS('Daily Stock Count'!$F:$F,'Daily Stock Count'!$B:$B,$A12)</f>
      </c>
      <c r="J12" s="10">
        <f>F12+G12-H12-I12</f>
      </c>
      <c r="K12" s="8"/>
      <c r="L12" s="11">
        <f>IF(J12&lt;=K12,"REORDER","OK")</f>
      </c>
    </row>
    <row r="13" ht="21" customHeight="1" spans="1:12" x14ac:dyDescent="0.25">
      <c r="A13" s="8"/>
      <c r="B13" s="8"/>
      <c r="C13" s="8"/>
      <c r="D13" s="9"/>
      <c r="E13" s="9"/>
      <c r="F13" s="8"/>
      <c r="G13" s="10">
        <f>SUMIFS(Purchases!$D:$D,Purchases!$C:$C,$A13)</f>
      </c>
      <c r="H13" s="10">
        <f>SUMIFS('Sales Log'!$D:$D,'Sales Log'!$C:$C,$A13)</f>
      </c>
      <c r="I13" s="10">
        <f>SUMIFS('Daily Stock Count'!$F:$F,'Daily Stock Count'!$B:$B,$A13)</f>
      </c>
      <c r="J13" s="10">
        <f>F13+G13-H13-I13</f>
      </c>
      <c r="K13" s="8"/>
      <c r="L13" s="11">
        <f>IF(J13&lt;=K13,"REORDER","OK")</f>
      </c>
    </row>
    <row r="14" ht="21" customHeight="1" spans="1:12" x14ac:dyDescent="0.25">
      <c r="A14" s="8"/>
      <c r="B14" s="8"/>
      <c r="C14" s="8"/>
      <c r="D14" s="9"/>
      <c r="E14" s="9"/>
      <c r="F14" s="8"/>
      <c r="G14" s="10">
        <f>SUMIFS(Purchases!$D:$D,Purchases!$C:$C,$A14)</f>
      </c>
      <c r="H14" s="10">
        <f>SUMIFS('Sales Log'!$D:$D,'Sales Log'!$C:$C,$A14)</f>
      </c>
      <c r="I14" s="10">
        <f>SUMIFS('Daily Stock Count'!$F:$F,'Daily Stock Count'!$B:$B,$A14)</f>
      </c>
      <c r="J14" s="10">
        <f>F14+G14-H14-I14</f>
      </c>
      <c r="K14" s="8"/>
      <c r="L14" s="11">
        <f>IF(J14&lt;=K14,"REORDER","OK")</f>
      </c>
    </row>
    <row r="15" ht="21" customHeight="1" spans="1:12" x14ac:dyDescent="0.25">
      <c r="A15" s="8"/>
      <c r="B15" s="8"/>
      <c r="C15" s="8"/>
      <c r="D15" s="9"/>
      <c r="E15" s="9"/>
      <c r="F15" s="8"/>
      <c r="G15" s="10">
        <f>SUMIFS(Purchases!$D:$D,Purchases!$C:$C,$A15)</f>
      </c>
      <c r="H15" s="10">
        <f>SUMIFS('Sales Log'!$D:$D,'Sales Log'!$C:$C,$A15)</f>
      </c>
      <c r="I15" s="10">
        <f>SUMIFS('Daily Stock Count'!$F:$F,'Daily Stock Count'!$B:$B,$A15)</f>
      </c>
      <c r="J15" s="10">
        <f>F15+G15-H15-I15</f>
      </c>
      <c r="K15" s="8"/>
      <c r="L15" s="11">
        <f>IF(J15&lt;=K15,"REORDER","OK")</f>
      </c>
    </row>
    <row r="16" ht="21" customHeight="1" spans="1:12" x14ac:dyDescent="0.25">
      <c r="A16" s="8"/>
      <c r="B16" s="8"/>
      <c r="C16" s="8"/>
      <c r="D16" s="9"/>
      <c r="E16" s="9"/>
      <c r="F16" s="8"/>
      <c r="G16" s="10">
        <f>SUMIFS(Purchases!$D:$D,Purchases!$C:$C,$A16)</f>
      </c>
      <c r="H16" s="10">
        <f>SUMIFS('Sales Log'!$D:$D,'Sales Log'!$C:$C,$A16)</f>
      </c>
      <c r="I16" s="10">
        <f>SUMIFS('Daily Stock Count'!$F:$F,'Daily Stock Count'!$B:$B,$A16)</f>
      </c>
      <c r="J16" s="10">
        <f>F16+G16-H16-I16</f>
      </c>
      <c r="K16" s="8"/>
      <c r="L16" s="11">
        <f>IF(J16&lt;=K16,"REORDER","OK")</f>
      </c>
    </row>
    <row r="17" ht="21" customHeight="1" spans="1:12" x14ac:dyDescent="0.25">
      <c r="A17" s="8"/>
      <c r="B17" s="8"/>
      <c r="C17" s="8"/>
      <c r="D17" s="9"/>
      <c r="E17" s="9"/>
      <c r="F17" s="8"/>
      <c r="G17" s="10">
        <f>SUMIFS(Purchases!$D:$D,Purchases!$C:$C,$A17)</f>
      </c>
      <c r="H17" s="10">
        <f>SUMIFS('Sales Log'!$D:$D,'Sales Log'!$C:$C,$A17)</f>
      </c>
      <c r="I17" s="10">
        <f>SUMIFS('Daily Stock Count'!$F:$F,'Daily Stock Count'!$B:$B,$A17)</f>
      </c>
      <c r="J17" s="10">
        <f>F17+G17-H17-I17</f>
      </c>
      <c r="K17" s="8"/>
      <c r="L17" s="11">
        <f>IF(J17&lt;=K17,"REORDER","OK")</f>
      </c>
    </row>
    <row r="18" ht="21" customHeight="1" spans="1:12" x14ac:dyDescent="0.25">
      <c r="A18" s="8"/>
      <c r="B18" s="8"/>
      <c r="C18" s="8"/>
      <c r="D18" s="9"/>
      <c r="E18" s="9"/>
      <c r="F18" s="8"/>
      <c r="G18" s="10">
        <f>SUMIFS(Purchases!$D:$D,Purchases!$C:$C,$A18)</f>
      </c>
      <c r="H18" s="10">
        <f>SUMIFS('Sales Log'!$D:$D,'Sales Log'!$C:$C,$A18)</f>
      </c>
      <c r="I18" s="10">
        <f>SUMIFS('Daily Stock Count'!$F:$F,'Daily Stock Count'!$B:$B,$A18)</f>
      </c>
      <c r="J18" s="10">
        <f>F18+G18-H18-I18</f>
      </c>
      <c r="K18" s="8"/>
      <c r="L18" s="11">
        <f>IF(J18&lt;=K18,"REORDER","OK")</f>
      </c>
    </row>
    <row r="19" ht="21" customHeight="1" spans="1:12" x14ac:dyDescent="0.25">
      <c r="A19" s="8"/>
      <c r="B19" s="8"/>
      <c r="C19" s="8"/>
      <c r="D19" s="9"/>
      <c r="E19" s="9"/>
      <c r="F19" s="8"/>
      <c r="G19" s="10">
        <f>SUMIFS(Purchases!$D:$D,Purchases!$C:$C,$A19)</f>
      </c>
      <c r="H19" s="10">
        <f>SUMIFS('Sales Log'!$D:$D,'Sales Log'!$C:$C,$A19)</f>
      </c>
      <c r="I19" s="10">
        <f>SUMIFS('Daily Stock Count'!$F:$F,'Daily Stock Count'!$B:$B,$A19)</f>
      </c>
      <c r="J19" s="10">
        <f>F19+G19-H19-I19</f>
      </c>
      <c r="K19" s="8"/>
      <c r="L19" s="11">
        <f>IF(J19&lt;=K19,"REORDER","OK")</f>
      </c>
    </row>
    <row r="20" ht="21" customHeight="1" spans="1:12" x14ac:dyDescent="0.25">
      <c r="A20" s="8"/>
      <c r="B20" s="8"/>
      <c r="C20" s="8"/>
      <c r="D20" s="9"/>
      <c r="E20" s="9"/>
      <c r="F20" s="8"/>
      <c r="G20" s="10">
        <f>SUMIFS(Purchases!$D:$D,Purchases!$C:$C,$A20)</f>
      </c>
      <c r="H20" s="10">
        <f>SUMIFS('Sales Log'!$D:$D,'Sales Log'!$C:$C,$A20)</f>
      </c>
      <c r="I20" s="10">
        <f>SUMIFS('Daily Stock Count'!$F:$F,'Daily Stock Count'!$B:$B,$A20)</f>
      </c>
      <c r="J20" s="10">
        <f>F20+G20-H20-I20</f>
      </c>
      <c r="K20" s="8"/>
      <c r="L20" s="11">
        <f>IF(J20&lt;=K20,"REORDER","OK")</f>
      </c>
    </row>
    <row r="21" ht="21" customHeight="1" spans="1:12" x14ac:dyDescent="0.25">
      <c r="A21" s="8"/>
      <c r="B21" s="8"/>
      <c r="C21" s="8"/>
      <c r="D21" s="9"/>
      <c r="E21" s="9"/>
      <c r="F21" s="8"/>
      <c r="G21" s="10">
        <f>SUMIFS(Purchases!$D:$D,Purchases!$C:$C,$A21)</f>
      </c>
      <c r="H21" s="10">
        <f>SUMIFS('Sales Log'!$D:$D,'Sales Log'!$C:$C,$A21)</f>
      </c>
      <c r="I21" s="10">
        <f>SUMIFS('Daily Stock Count'!$F:$F,'Daily Stock Count'!$B:$B,$A21)</f>
      </c>
      <c r="J21" s="10">
        <f>F21+G21-H21-I21</f>
      </c>
      <c r="K21" s="8"/>
      <c r="L21" s="11">
        <f>IF(J21&lt;=K21,"REORDER","OK")</f>
      </c>
    </row>
    <row r="22" ht="21" customHeight="1" spans="1:12" x14ac:dyDescent="0.25">
      <c r="A22" s="8"/>
      <c r="B22" s="8"/>
      <c r="C22" s="8"/>
      <c r="D22" s="9"/>
      <c r="E22" s="9"/>
      <c r="F22" s="8"/>
      <c r="G22" s="10">
        <f>SUMIFS(Purchases!$D:$D,Purchases!$C:$C,$A22)</f>
      </c>
      <c r="H22" s="10">
        <f>SUMIFS('Sales Log'!$D:$D,'Sales Log'!$C:$C,$A22)</f>
      </c>
      <c r="I22" s="10">
        <f>SUMIFS('Daily Stock Count'!$F:$F,'Daily Stock Count'!$B:$B,$A22)</f>
      </c>
      <c r="J22" s="10">
        <f>F22+G22-H22-I22</f>
      </c>
      <c r="K22" s="8"/>
      <c r="L22" s="11">
        <f>IF(J22&lt;=K22,"REORDER","OK")</f>
      </c>
    </row>
    <row r="23" ht="21" customHeight="1" spans="1:12" x14ac:dyDescent="0.25">
      <c r="A23" s="8"/>
      <c r="B23" s="8"/>
      <c r="C23" s="8"/>
      <c r="D23" s="9"/>
      <c r="E23" s="9"/>
      <c r="F23" s="8"/>
      <c r="G23" s="10">
        <f>SUMIFS(Purchases!$D:$D,Purchases!$C:$C,$A23)</f>
      </c>
      <c r="H23" s="10">
        <f>SUMIFS('Sales Log'!$D:$D,'Sales Log'!$C:$C,$A23)</f>
      </c>
      <c r="I23" s="10">
        <f>SUMIFS('Daily Stock Count'!$F:$F,'Daily Stock Count'!$B:$B,$A23)</f>
      </c>
      <c r="J23" s="10">
        <f>F23+G23-H23-I23</f>
      </c>
      <c r="K23" s="8"/>
      <c r="L23" s="11">
        <f>IF(J23&lt;=K23,"REORDER","OK")</f>
      </c>
    </row>
    <row r="24" ht="21" customHeight="1" spans="1:12" x14ac:dyDescent="0.25">
      <c r="A24" s="8"/>
      <c r="B24" s="8"/>
      <c r="C24" s="8"/>
      <c r="D24" s="9"/>
      <c r="E24" s="9"/>
      <c r="F24" s="8"/>
      <c r="G24" s="10">
        <f>SUMIFS(Purchases!$D:$D,Purchases!$C:$C,$A24)</f>
      </c>
      <c r="H24" s="10">
        <f>SUMIFS('Sales Log'!$D:$D,'Sales Log'!$C:$C,$A24)</f>
      </c>
      <c r="I24" s="10">
        <f>SUMIFS('Daily Stock Count'!$F:$F,'Daily Stock Count'!$B:$B,$A24)</f>
      </c>
      <c r="J24" s="10">
        <f>F24+G24-H24-I24</f>
      </c>
      <c r="K24" s="8"/>
      <c r="L24" s="11">
        <f>IF(J24&lt;=K24,"REORDER","OK")</f>
      </c>
    </row>
    <row r="25" ht="21" customHeight="1" spans="1:12" x14ac:dyDescent="0.25">
      <c r="A25" s="8"/>
      <c r="B25" s="8"/>
      <c r="C25" s="8"/>
      <c r="D25" s="9"/>
      <c r="E25" s="9"/>
      <c r="F25" s="8"/>
      <c r="G25" s="10">
        <f>SUMIFS(Purchases!$D:$D,Purchases!$C:$C,$A25)</f>
      </c>
      <c r="H25" s="10">
        <f>SUMIFS('Sales Log'!$D:$D,'Sales Log'!$C:$C,$A25)</f>
      </c>
      <c r="I25" s="10">
        <f>SUMIFS('Daily Stock Count'!$F:$F,'Daily Stock Count'!$B:$B,$A25)</f>
      </c>
      <c r="J25" s="10">
        <f>F25+G25-H25-I25</f>
      </c>
      <c r="K25" s="8"/>
      <c r="L25" s="11">
        <f>IF(J25&lt;=K25,"REORDER","OK")</f>
      </c>
    </row>
    <row r="26" ht="21" customHeight="1" spans="1:12" x14ac:dyDescent="0.25">
      <c r="A26" s="8"/>
      <c r="B26" s="8"/>
      <c r="C26" s="8"/>
      <c r="D26" s="9"/>
      <c r="E26" s="9"/>
      <c r="F26" s="8"/>
      <c r="G26" s="10">
        <f>SUMIFS(Purchases!$D:$D,Purchases!$C:$C,$A26)</f>
      </c>
      <c r="H26" s="10">
        <f>SUMIFS('Sales Log'!$D:$D,'Sales Log'!$C:$C,$A26)</f>
      </c>
      <c r="I26" s="10">
        <f>SUMIFS('Daily Stock Count'!$F:$F,'Daily Stock Count'!$B:$B,$A26)</f>
      </c>
      <c r="J26" s="10">
        <f>F26+G26-H26-I26</f>
      </c>
      <c r="K26" s="8"/>
      <c r="L26" s="11">
        <f>IF(J26&lt;=K26,"REORDER","OK")</f>
      </c>
    </row>
    <row r="27" ht="21" customHeight="1" spans="1:12" x14ac:dyDescent="0.25">
      <c r="A27" s="8"/>
      <c r="B27" s="8"/>
      <c r="C27" s="8"/>
      <c r="D27" s="9"/>
      <c r="E27" s="9"/>
      <c r="F27" s="8"/>
      <c r="G27" s="10">
        <f>SUMIFS(Purchases!$D:$D,Purchases!$C:$C,$A27)</f>
      </c>
      <c r="H27" s="10">
        <f>SUMIFS('Sales Log'!$D:$D,'Sales Log'!$C:$C,$A27)</f>
      </c>
      <c r="I27" s="10">
        <f>SUMIFS('Daily Stock Count'!$F:$F,'Daily Stock Count'!$B:$B,$A27)</f>
      </c>
      <c r="J27" s="10">
        <f>F27+G27-H27-I27</f>
      </c>
      <c r="K27" s="8"/>
      <c r="L27" s="11">
        <f>IF(J27&lt;=K27,"REORDER","OK")</f>
      </c>
    </row>
    <row r="28" ht="21" customHeight="1" spans="1:12" x14ac:dyDescent="0.25">
      <c r="A28" s="8"/>
      <c r="B28" s="8"/>
      <c r="C28" s="8"/>
      <c r="D28" s="9"/>
      <c r="E28" s="9"/>
      <c r="F28" s="8"/>
      <c r="G28" s="10">
        <f>SUMIFS(Purchases!$D:$D,Purchases!$C:$C,$A28)</f>
      </c>
      <c r="H28" s="10">
        <f>SUMIFS('Sales Log'!$D:$D,'Sales Log'!$C:$C,$A28)</f>
      </c>
      <c r="I28" s="10">
        <f>SUMIFS('Daily Stock Count'!$F:$F,'Daily Stock Count'!$B:$B,$A28)</f>
      </c>
      <c r="J28" s="10">
        <f>F28+G28-H28-I28</f>
      </c>
      <c r="K28" s="8"/>
      <c r="L28" s="11">
        <f>IF(J28&lt;=K28,"REORDER","OK")</f>
      </c>
    </row>
    <row r="29" ht="21" customHeight="1" spans="1:12" x14ac:dyDescent="0.25">
      <c r="A29" s="8"/>
      <c r="B29" s="8"/>
      <c r="C29" s="8"/>
      <c r="D29" s="9"/>
      <c r="E29" s="9"/>
      <c r="F29" s="8"/>
      <c r="G29" s="10">
        <f>SUMIFS(Purchases!$D:$D,Purchases!$C:$C,$A29)</f>
      </c>
      <c r="H29" s="10">
        <f>SUMIFS('Sales Log'!$D:$D,'Sales Log'!$C:$C,$A29)</f>
      </c>
      <c r="I29" s="10">
        <f>SUMIFS('Daily Stock Count'!$F:$F,'Daily Stock Count'!$B:$B,$A29)</f>
      </c>
      <c r="J29" s="10">
        <f>F29+G29-H29-I29</f>
      </c>
      <c r="K29" s="8"/>
      <c r="L29" s="11">
        <f>IF(J29&lt;=K29,"REORDER","OK")</f>
      </c>
    </row>
    <row r="30" ht="21" customHeight="1" spans="1:12" x14ac:dyDescent="0.25">
      <c r="A30" s="8"/>
      <c r="B30" s="8"/>
      <c r="C30" s="8"/>
      <c r="D30" s="9"/>
      <c r="E30" s="9"/>
      <c r="F30" s="8"/>
      <c r="G30" s="10">
        <f>SUMIFS(Purchases!$D:$D,Purchases!$C:$C,$A30)</f>
      </c>
      <c r="H30" s="10">
        <f>SUMIFS('Sales Log'!$D:$D,'Sales Log'!$C:$C,$A30)</f>
      </c>
      <c r="I30" s="10">
        <f>SUMIFS('Daily Stock Count'!$F:$F,'Daily Stock Count'!$B:$B,$A30)</f>
      </c>
      <c r="J30" s="10">
        <f>F30+G30-H30-I30</f>
      </c>
      <c r="K30" s="8"/>
      <c r="L30" s="11">
        <f>IF(J30&lt;=K30,"REORDER","OK")</f>
      </c>
    </row>
    <row r="31" ht="21" customHeight="1" spans="1:12" x14ac:dyDescent="0.25">
      <c r="A31" s="8"/>
      <c r="B31" s="8"/>
      <c r="C31" s="8"/>
      <c r="D31" s="9"/>
      <c r="E31" s="9"/>
      <c r="F31" s="8"/>
      <c r="G31" s="10">
        <f>SUMIFS(Purchases!$D:$D,Purchases!$C:$C,$A31)</f>
      </c>
      <c r="H31" s="10">
        <f>SUMIFS('Sales Log'!$D:$D,'Sales Log'!$C:$C,$A31)</f>
      </c>
      <c r="I31" s="10">
        <f>SUMIFS('Daily Stock Count'!$F:$F,'Daily Stock Count'!$B:$B,$A31)</f>
      </c>
      <c r="J31" s="10">
        <f>F31+G31-H31-I31</f>
      </c>
      <c r="K31" s="8"/>
      <c r="L31" s="11">
        <f>IF(J31&lt;=K31,"REORDER","OK")</f>
      </c>
    </row>
    <row r="32" ht="21" customHeight="1" spans="1:12" x14ac:dyDescent="0.25">
      <c r="A32" s="8"/>
      <c r="B32" s="8"/>
      <c r="C32" s="8"/>
      <c r="D32" s="9"/>
      <c r="E32" s="9"/>
      <c r="F32" s="8"/>
      <c r="G32" s="10">
        <f>SUMIFS(Purchases!$D:$D,Purchases!$C:$C,$A32)</f>
      </c>
      <c r="H32" s="10">
        <f>SUMIFS('Sales Log'!$D:$D,'Sales Log'!$C:$C,$A32)</f>
      </c>
      <c r="I32" s="10">
        <f>SUMIFS('Daily Stock Count'!$F:$F,'Daily Stock Count'!$B:$B,$A32)</f>
      </c>
      <c r="J32" s="10">
        <f>F32+G32-H32-I32</f>
      </c>
      <c r="K32" s="8"/>
      <c r="L32" s="11">
        <f>IF(J32&lt;=K32,"REORDER","OK")</f>
      </c>
    </row>
    <row r="33" ht="21" customHeight="1" spans="1:12" x14ac:dyDescent="0.25">
      <c r="A33" s="8"/>
      <c r="B33" s="8"/>
      <c r="C33" s="8"/>
      <c r="D33" s="9"/>
      <c r="E33" s="9"/>
      <c r="F33" s="8"/>
      <c r="G33" s="10">
        <f>SUMIFS(Purchases!$D:$D,Purchases!$C:$C,$A33)</f>
      </c>
      <c r="H33" s="10">
        <f>SUMIFS('Sales Log'!$D:$D,'Sales Log'!$C:$C,$A33)</f>
      </c>
      <c r="I33" s="10">
        <f>SUMIFS('Daily Stock Count'!$F:$F,'Daily Stock Count'!$B:$B,$A33)</f>
      </c>
      <c r="J33" s="10">
        <f>F33+G33-H33-I33</f>
      </c>
      <c r="K33" s="8"/>
      <c r="L33" s="11">
        <f>IF(J33&lt;=K33,"REORDER","OK")</f>
      </c>
    </row>
    <row r="34" ht="21" customHeight="1" spans="1:12" x14ac:dyDescent="0.25">
      <c r="A34" s="8"/>
      <c r="B34" s="8"/>
      <c r="C34" s="8"/>
      <c r="D34" s="9"/>
      <c r="E34" s="9"/>
      <c r="F34" s="8"/>
      <c r="G34" s="10">
        <f>SUMIFS(Purchases!$D:$D,Purchases!$C:$C,$A34)</f>
      </c>
      <c r="H34" s="10">
        <f>SUMIFS('Sales Log'!$D:$D,'Sales Log'!$C:$C,$A34)</f>
      </c>
      <c r="I34" s="10">
        <f>SUMIFS('Daily Stock Count'!$F:$F,'Daily Stock Count'!$B:$B,$A34)</f>
      </c>
      <c r="J34" s="10">
        <f>F34+G34-H34-I34</f>
      </c>
      <c r="K34" s="8"/>
      <c r="L34" s="11">
        <f>IF(J34&lt;=K34,"REORDER","OK")</f>
      </c>
    </row>
    <row r="35" ht="21" customHeight="1" spans="1:12" x14ac:dyDescent="0.25">
      <c r="A35" s="8"/>
      <c r="B35" s="8"/>
      <c r="C35" s="8"/>
      <c r="D35" s="9"/>
      <c r="E35" s="9"/>
      <c r="F35" s="8"/>
      <c r="G35" s="10">
        <f>SUMIFS(Purchases!$D:$D,Purchases!$C:$C,$A35)</f>
      </c>
      <c r="H35" s="10">
        <f>SUMIFS('Sales Log'!$D:$D,'Sales Log'!$C:$C,$A35)</f>
      </c>
      <c r="I35" s="10">
        <f>SUMIFS('Daily Stock Count'!$F:$F,'Daily Stock Count'!$B:$B,$A35)</f>
      </c>
      <c r="J35" s="10">
        <f>F35+G35-H35-I35</f>
      </c>
      <c r="K35" s="8"/>
      <c r="L35" s="11">
        <f>IF(J35&lt;=K35,"REORDER","OK")</f>
      </c>
    </row>
    <row r="36" ht="21" customHeight="1" spans="1:12" x14ac:dyDescent="0.25">
      <c r="A36" s="8"/>
      <c r="B36" s="8"/>
      <c r="C36" s="8"/>
      <c r="D36" s="9"/>
      <c r="E36" s="9"/>
      <c r="F36" s="8"/>
      <c r="G36" s="10">
        <f>SUMIFS(Purchases!$D:$D,Purchases!$C:$C,$A36)</f>
      </c>
      <c r="H36" s="10">
        <f>SUMIFS('Sales Log'!$D:$D,'Sales Log'!$C:$C,$A36)</f>
      </c>
      <c r="I36" s="10">
        <f>SUMIFS('Daily Stock Count'!$F:$F,'Daily Stock Count'!$B:$B,$A36)</f>
      </c>
      <c r="J36" s="10">
        <f>F36+G36-H36-I36</f>
      </c>
      <c r="K36" s="8"/>
      <c r="L36" s="11">
        <f>IF(J36&lt;=K36,"REORDER","OK")</f>
      </c>
    </row>
    <row r="37" ht="21" customHeight="1" spans="1:12" x14ac:dyDescent="0.25">
      <c r="A37" s="8"/>
      <c r="B37" s="8"/>
      <c r="C37" s="8"/>
      <c r="D37" s="9"/>
      <c r="E37" s="9"/>
      <c r="F37" s="8"/>
      <c r="G37" s="10">
        <f>SUMIFS(Purchases!$D:$D,Purchases!$C:$C,$A37)</f>
      </c>
      <c r="H37" s="10">
        <f>SUMIFS('Sales Log'!$D:$D,'Sales Log'!$C:$C,$A37)</f>
      </c>
      <c r="I37" s="10">
        <f>SUMIFS('Daily Stock Count'!$F:$F,'Daily Stock Count'!$B:$B,$A37)</f>
      </c>
      <c r="J37" s="10">
        <f>F37+G37-H37-I37</f>
      </c>
      <c r="K37" s="8"/>
      <c r="L37" s="11">
        <f>IF(J37&lt;=K37,"REORDER","OK")</f>
      </c>
    </row>
    <row r="38" ht="21" customHeight="1" spans="1:12" x14ac:dyDescent="0.25">
      <c r="A38" s="8"/>
      <c r="B38" s="8"/>
      <c r="C38" s="8"/>
      <c r="D38" s="9"/>
      <c r="E38" s="9"/>
      <c r="F38" s="8"/>
      <c r="G38" s="10">
        <f>SUMIFS(Purchases!$D:$D,Purchases!$C:$C,$A38)</f>
      </c>
      <c r="H38" s="10">
        <f>SUMIFS('Sales Log'!$D:$D,'Sales Log'!$C:$C,$A38)</f>
      </c>
      <c r="I38" s="10">
        <f>SUMIFS('Daily Stock Count'!$F:$F,'Daily Stock Count'!$B:$B,$A38)</f>
      </c>
      <c r="J38" s="10">
        <f>F38+G38-H38-I38</f>
      </c>
      <c r="K38" s="8"/>
      <c r="L38" s="11">
        <f>IF(J38&lt;=K38,"REORDER","OK")</f>
      </c>
    </row>
    <row r="39" ht="21" customHeight="1" spans="1:12" x14ac:dyDescent="0.25">
      <c r="A39" s="8"/>
      <c r="B39" s="8"/>
      <c r="C39" s="8"/>
      <c r="D39" s="9"/>
      <c r="E39" s="9"/>
      <c r="F39" s="8"/>
      <c r="G39" s="10">
        <f>SUMIFS(Purchases!$D:$D,Purchases!$C:$C,$A39)</f>
      </c>
      <c r="H39" s="10">
        <f>SUMIFS('Sales Log'!$D:$D,'Sales Log'!$C:$C,$A39)</f>
      </c>
      <c r="I39" s="10">
        <f>SUMIFS('Daily Stock Count'!$F:$F,'Daily Stock Count'!$B:$B,$A39)</f>
      </c>
      <c r="J39" s="10">
        <f>F39+G39-H39-I39</f>
      </c>
      <c r="K39" s="8"/>
      <c r="L39" s="11">
        <f>IF(J39&lt;=K39,"REORDER","OK")</f>
      </c>
    </row>
    <row r="40" ht="21" customHeight="1" spans="1:12" x14ac:dyDescent="0.25">
      <c r="A40" s="8"/>
      <c r="B40" s="8"/>
      <c r="C40" s="8"/>
      <c r="D40" s="9"/>
      <c r="E40" s="9"/>
      <c r="F40" s="8"/>
      <c r="G40" s="10">
        <f>SUMIFS(Purchases!$D:$D,Purchases!$C:$C,$A40)</f>
      </c>
      <c r="H40" s="10">
        <f>SUMIFS('Sales Log'!$D:$D,'Sales Log'!$C:$C,$A40)</f>
      </c>
      <c r="I40" s="10">
        <f>SUMIFS('Daily Stock Count'!$F:$F,'Daily Stock Count'!$B:$B,$A40)</f>
      </c>
      <c r="J40" s="10">
        <f>F40+G40-H40-I40</f>
      </c>
      <c r="K40" s="8"/>
      <c r="L40" s="11">
        <f>IF(J40&lt;=K40,"REORDER","OK")</f>
      </c>
    </row>
    <row r="41" ht="21" customHeight="1" spans="1:12" x14ac:dyDescent="0.25">
      <c r="A41" s="8"/>
      <c r="B41" s="8"/>
      <c r="C41" s="8"/>
      <c r="D41" s="9"/>
      <c r="E41" s="9"/>
      <c r="F41" s="8"/>
      <c r="G41" s="10">
        <f>SUMIFS(Purchases!$D:$D,Purchases!$C:$C,$A41)</f>
      </c>
      <c r="H41" s="10">
        <f>SUMIFS('Sales Log'!$D:$D,'Sales Log'!$C:$C,$A41)</f>
      </c>
      <c r="I41" s="10">
        <f>SUMIFS('Daily Stock Count'!$F:$F,'Daily Stock Count'!$B:$B,$A41)</f>
      </c>
      <c r="J41" s="10">
        <f>F41+G41-H41-I41</f>
      </c>
      <c r="K41" s="8"/>
      <c r="L41" s="11">
        <f>IF(J41&lt;=K41,"REORDER","OK")</f>
      </c>
    </row>
    <row r="42" ht="21" customHeight="1" spans="1:12" x14ac:dyDescent="0.25">
      <c r="A42" s="8"/>
      <c r="B42" s="8"/>
      <c r="C42" s="8"/>
      <c r="D42" s="9"/>
      <c r="E42" s="9"/>
      <c r="F42" s="8"/>
      <c r="G42" s="10">
        <f>SUMIFS(Purchases!$D:$D,Purchases!$C:$C,$A42)</f>
      </c>
      <c r="H42" s="10">
        <f>SUMIFS('Sales Log'!$D:$D,'Sales Log'!$C:$C,$A42)</f>
      </c>
      <c r="I42" s="10">
        <f>SUMIFS('Daily Stock Count'!$F:$F,'Daily Stock Count'!$B:$B,$A42)</f>
      </c>
      <c r="J42" s="10">
        <f>F42+G42-H42-I42</f>
      </c>
      <c r="K42" s="8"/>
      <c r="L42" s="11">
        <f>IF(J42&lt;=K42,"REORDER","OK")</f>
      </c>
    </row>
    <row r="43" ht="21" customHeight="1" spans="1:12" x14ac:dyDescent="0.25">
      <c r="A43" s="8"/>
      <c r="B43" s="8"/>
      <c r="C43" s="8"/>
      <c r="D43" s="9"/>
      <c r="E43" s="9"/>
      <c r="F43" s="8"/>
      <c r="G43" s="10">
        <f>SUMIFS(Purchases!$D:$D,Purchases!$C:$C,$A43)</f>
      </c>
      <c r="H43" s="10">
        <f>SUMIFS('Sales Log'!$D:$D,'Sales Log'!$C:$C,$A43)</f>
      </c>
      <c r="I43" s="10">
        <f>SUMIFS('Daily Stock Count'!$F:$F,'Daily Stock Count'!$B:$B,$A43)</f>
      </c>
      <c r="J43" s="10">
        <f>F43+G43-H43-I43</f>
      </c>
      <c r="K43" s="8"/>
      <c r="L43" s="11">
        <f>IF(J43&lt;=K43,"REORDER","OK")</f>
      </c>
    </row>
    <row r="44" ht="21" customHeight="1" spans="1:12" x14ac:dyDescent="0.25">
      <c r="A44" s="8"/>
      <c r="B44" s="8"/>
      <c r="C44" s="8"/>
      <c r="D44" s="9"/>
      <c r="E44" s="9"/>
      <c r="F44" s="8"/>
      <c r="G44" s="10">
        <f>SUMIFS(Purchases!$D:$D,Purchases!$C:$C,$A44)</f>
      </c>
      <c r="H44" s="10">
        <f>SUMIFS('Sales Log'!$D:$D,'Sales Log'!$C:$C,$A44)</f>
      </c>
      <c r="I44" s="10">
        <f>SUMIFS('Daily Stock Count'!$F:$F,'Daily Stock Count'!$B:$B,$A44)</f>
      </c>
      <c r="J44" s="10">
        <f>F44+G44-H44-I44</f>
      </c>
      <c r="K44" s="8"/>
      <c r="L44" s="11">
        <f>IF(J44&lt;=K44,"REORDER","OK")</f>
      </c>
    </row>
    <row r="45" ht="21" customHeight="1" spans="1:12" x14ac:dyDescent="0.25">
      <c r="A45" s="8"/>
      <c r="B45" s="8"/>
      <c r="C45" s="8"/>
      <c r="D45" s="9"/>
      <c r="E45" s="9"/>
      <c r="F45" s="8"/>
      <c r="G45" s="10">
        <f>SUMIFS(Purchases!$D:$D,Purchases!$C:$C,$A45)</f>
      </c>
      <c r="H45" s="10">
        <f>SUMIFS('Sales Log'!$D:$D,'Sales Log'!$C:$C,$A45)</f>
      </c>
      <c r="I45" s="10">
        <f>SUMIFS('Daily Stock Count'!$F:$F,'Daily Stock Count'!$B:$B,$A45)</f>
      </c>
      <c r="J45" s="10">
        <f>F45+G45-H45-I45</f>
      </c>
      <c r="K45" s="8"/>
      <c r="L45" s="11">
        <f>IF(J45&lt;=K45,"REORDER","OK")</f>
      </c>
    </row>
    <row r="46" ht="21" customHeight="1" spans="1:12" x14ac:dyDescent="0.25">
      <c r="A46" s="8"/>
      <c r="B46" s="8"/>
      <c r="C46" s="8"/>
      <c r="D46" s="9"/>
      <c r="E46" s="9"/>
      <c r="F46" s="8"/>
      <c r="G46" s="10">
        <f>SUMIFS(Purchases!$D:$D,Purchases!$C:$C,$A46)</f>
      </c>
      <c r="H46" s="10">
        <f>SUMIFS('Sales Log'!$D:$D,'Sales Log'!$C:$C,$A46)</f>
      </c>
      <c r="I46" s="10">
        <f>SUMIFS('Daily Stock Count'!$F:$F,'Daily Stock Count'!$B:$B,$A46)</f>
      </c>
      <c r="J46" s="10">
        <f>F46+G46-H46-I46</f>
      </c>
      <c r="K46" s="8"/>
      <c r="L46" s="11">
        <f>IF(J46&lt;=K46,"REORDER","OK")</f>
      </c>
    </row>
    <row r="47" ht="21" customHeight="1" spans="1:12" x14ac:dyDescent="0.25">
      <c r="A47" s="8"/>
      <c r="B47" s="8"/>
      <c r="C47" s="8"/>
      <c r="D47" s="9"/>
      <c r="E47" s="9"/>
      <c r="F47" s="8"/>
      <c r="G47" s="10">
        <f>SUMIFS(Purchases!$D:$D,Purchases!$C:$C,$A47)</f>
      </c>
      <c r="H47" s="10">
        <f>SUMIFS('Sales Log'!$D:$D,'Sales Log'!$C:$C,$A47)</f>
      </c>
      <c r="I47" s="10">
        <f>SUMIFS('Daily Stock Count'!$F:$F,'Daily Stock Count'!$B:$B,$A47)</f>
      </c>
      <c r="J47" s="10">
        <f>F47+G47-H47-I47</f>
      </c>
      <c r="K47" s="8"/>
      <c r="L47" s="11">
        <f>IF(J47&lt;=K47,"REORDER","OK")</f>
      </c>
    </row>
    <row r="48" ht="21" customHeight="1" spans="1:12" x14ac:dyDescent="0.25">
      <c r="A48" s="8"/>
      <c r="B48" s="8"/>
      <c r="C48" s="8"/>
      <c r="D48" s="9"/>
      <c r="E48" s="9"/>
      <c r="F48" s="8"/>
      <c r="G48" s="10">
        <f>SUMIFS(Purchases!$D:$D,Purchases!$C:$C,$A48)</f>
      </c>
      <c r="H48" s="10">
        <f>SUMIFS('Sales Log'!$D:$D,'Sales Log'!$C:$C,$A48)</f>
      </c>
      <c r="I48" s="10">
        <f>SUMIFS('Daily Stock Count'!$F:$F,'Daily Stock Count'!$B:$B,$A48)</f>
      </c>
      <c r="J48" s="10">
        <f>F48+G48-H48-I48</f>
      </c>
      <c r="K48" s="8"/>
      <c r="L48" s="11">
        <f>IF(J48&lt;=K48,"REORDER","OK")</f>
      </c>
    </row>
    <row r="49" ht="21" customHeight="1" spans="1:12" x14ac:dyDescent="0.25">
      <c r="A49" s="8"/>
      <c r="B49" s="8"/>
      <c r="C49" s="8"/>
      <c r="D49" s="9"/>
      <c r="E49" s="9"/>
      <c r="F49" s="8"/>
      <c r="G49" s="10">
        <f>SUMIFS(Purchases!$D:$D,Purchases!$C:$C,$A49)</f>
      </c>
      <c r="H49" s="10">
        <f>SUMIFS('Sales Log'!$D:$D,'Sales Log'!$C:$C,$A49)</f>
      </c>
      <c r="I49" s="10">
        <f>SUMIFS('Daily Stock Count'!$F:$F,'Daily Stock Count'!$B:$B,$A49)</f>
      </c>
      <c r="J49" s="10">
        <f>F49+G49-H49-I49</f>
      </c>
      <c r="K49" s="8"/>
      <c r="L49" s="11">
        <f>IF(J49&lt;=K49,"REORDER","OK")</f>
      </c>
    </row>
    <row r="50" ht="21" customHeight="1" spans="1:12" x14ac:dyDescent="0.25">
      <c r="A50" s="8"/>
      <c r="B50" s="8"/>
      <c r="C50" s="8"/>
      <c r="D50" s="9"/>
      <c r="E50" s="9"/>
      <c r="F50" s="8"/>
      <c r="G50" s="10">
        <f>SUMIFS(Purchases!$D:$D,Purchases!$C:$C,$A50)</f>
      </c>
      <c r="H50" s="10">
        <f>SUMIFS('Sales Log'!$D:$D,'Sales Log'!$C:$C,$A50)</f>
      </c>
      <c r="I50" s="10">
        <f>SUMIFS('Daily Stock Count'!$F:$F,'Daily Stock Count'!$B:$B,$A50)</f>
      </c>
      <c r="J50" s="10">
        <f>F50+G50-H50-I50</f>
      </c>
      <c r="K50" s="8"/>
      <c r="L50" s="11">
        <f>IF(J50&lt;=K50,"REORDER","OK")</f>
      </c>
    </row>
    <row r="51" ht="21" customHeight="1" spans="1:12" x14ac:dyDescent="0.25">
      <c r="A51" s="8"/>
      <c r="B51" s="8"/>
      <c r="C51" s="8"/>
      <c r="D51" s="9"/>
      <c r="E51" s="9"/>
      <c r="F51" s="8"/>
      <c r="G51" s="10">
        <f>SUMIFS(Purchases!$D:$D,Purchases!$C:$C,$A51)</f>
      </c>
      <c r="H51" s="10">
        <f>SUMIFS('Sales Log'!$D:$D,'Sales Log'!$C:$C,$A51)</f>
      </c>
      <c r="I51" s="10">
        <f>SUMIFS('Daily Stock Count'!$F:$F,'Daily Stock Count'!$B:$B,$A51)</f>
      </c>
      <c r="J51" s="10">
        <f>F51+G51-H51-I51</f>
      </c>
      <c r="K51" s="8"/>
      <c r="L51" s="11">
        <f>IF(J51&lt;=K51,"REORDER","OK")</f>
      </c>
    </row>
    <row r="52" ht="21" customHeight="1" spans="1:12" x14ac:dyDescent="0.25">
      <c r="A52" s="8"/>
      <c r="B52" s="8"/>
      <c r="C52" s="8"/>
      <c r="D52" s="9"/>
      <c r="E52" s="9"/>
      <c r="F52" s="8"/>
      <c r="G52" s="10">
        <f>SUMIFS(Purchases!$D:$D,Purchases!$C:$C,$A52)</f>
      </c>
      <c r="H52" s="10">
        <f>SUMIFS('Sales Log'!$D:$D,'Sales Log'!$C:$C,$A52)</f>
      </c>
      <c r="I52" s="10">
        <f>SUMIFS('Daily Stock Count'!$F:$F,'Daily Stock Count'!$B:$B,$A52)</f>
      </c>
      <c r="J52" s="10">
        <f>F52+G52-H52-I52</f>
      </c>
      <c r="K52" s="8"/>
      <c r="L52" s="11">
        <f>IF(J52&lt;=K52,"REORDER","OK")</f>
      </c>
    </row>
    <row r="53" ht="21" customHeight="1" spans="1:12" x14ac:dyDescent="0.25">
      <c r="A53" s="8"/>
      <c r="B53" s="8"/>
      <c r="C53" s="8"/>
      <c r="D53" s="9"/>
      <c r="E53" s="9"/>
      <c r="F53" s="8"/>
      <c r="G53" s="10">
        <f>SUMIFS(Purchases!$D:$D,Purchases!$C:$C,$A53)</f>
      </c>
      <c r="H53" s="10">
        <f>SUMIFS('Sales Log'!$D:$D,'Sales Log'!$C:$C,$A53)</f>
      </c>
      <c r="I53" s="10">
        <f>SUMIFS('Daily Stock Count'!$F:$F,'Daily Stock Count'!$B:$B,$A53)</f>
      </c>
      <c r="J53" s="10">
        <f>F53+G53-H53-I53</f>
      </c>
      <c r="K53" s="8"/>
      <c r="L53" s="11">
        <f>IF(J53&lt;=K53,"REORDER","OK")</f>
      </c>
    </row>
    <row r="54" ht="21" customHeight="1" spans="1:12" x14ac:dyDescent="0.25">
      <c r="A54" s="8"/>
      <c r="B54" s="8"/>
      <c r="C54" s="8"/>
      <c r="D54" s="9"/>
      <c r="E54" s="9"/>
      <c r="F54" s="8"/>
      <c r="G54" s="10">
        <f>SUMIFS(Purchases!$D:$D,Purchases!$C:$C,$A54)</f>
      </c>
      <c r="H54" s="10">
        <f>SUMIFS('Sales Log'!$D:$D,'Sales Log'!$C:$C,$A54)</f>
      </c>
      <c r="I54" s="10">
        <f>SUMIFS('Daily Stock Count'!$F:$F,'Daily Stock Count'!$B:$B,$A54)</f>
      </c>
      <c r="J54" s="10">
        <f>F54+G54-H54-I54</f>
      </c>
      <c r="K54" s="8"/>
      <c r="L54" s="11">
        <f>IF(J54&lt;=K54,"REORDER","OK")</f>
      </c>
    </row>
    <row r="55" ht="21" customHeight="1" spans="1:12" x14ac:dyDescent="0.25">
      <c r="A55" s="8"/>
      <c r="B55" s="8"/>
      <c r="C55" s="8"/>
      <c r="D55" s="9"/>
      <c r="E55" s="9"/>
      <c r="F55" s="8"/>
      <c r="G55" s="10">
        <f>SUMIFS(Purchases!$D:$D,Purchases!$C:$C,$A55)</f>
      </c>
      <c r="H55" s="10">
        <f>SUMIFS('Sales Log'!$D:$D,'Sales Log'!$C:$C,$A55)</f>
      </c>
      <c r="I55" s="10">
        <f>SUMIFS('Daily Stock Count'!$F:$F,'Daily Stock Count'!$B:$B,$A55)</f>
      </c>
      <c r="J55" s="10">
        <f>F55+G55-H55-I55</f>
      </c>
      <c r="K55" s="8"/>
      <c r="L55" s="11">
        <f>IF(J55&lt;=K55,"REORDER","OK")</f>
      </c>
    </row>
    <row r="56" ht="21" customHeight="1" spans="1:12" x14ac:dyDescent="0.25">
      <c r="A56" s="8"/>
      <c r="B56" s="8"/>
      <c r="C56" s="8"/>
      <c r="D56" s="9"/>
      <c r="E56" s="9"/>
      <c r="F56" s="8"/>
      <c r="G56" s="10">
        <f>SUMIFS(Purchases!$D:$D,Purchases!$C:$C,$A56)</f>
      </c>
      <c r="H56" s="10">
        <f>SUMIFS('Sales Log'!$D:$D,'Sales Log'!$C:$C,$A56)</f>
      </c>
      <c r="I56" s="10">
        <f>SUMIFS('Daily Stock Count'!$F:$F,'Daily Stock Count'!$B:$B,$A56)</f>
      </c>
      <c r="J56" s="10">
        <f>F56+G56-H56-I56</f>
      </c>
      <c r="K56" s="8"/>
      <c r="L56" s="11">
        <f>IF(J56&lt;=K56,"REORDER","OK")</f>
      </c>
    </row>
    <row r="57" ht="21" customHeight="1" spans="1:12" x14ac:dyDescent="0.25">
      <c r="A57" s="8"/>
      <c r="B57" s="8"/>
      <c r="C57" s="8"/>
      <c r="D57" s="9"/>
      <c r="E57" s="9"/>
      <c r="F57" s="8"/>
      <c r="G57" s="10">
        <f>SUMIFS(Purchases!$D:$D,Purchases!$C:$C,$A57)</f>
      </c>
      <c r="H57" s="10">
        <f>SUMIFS('Sales Log'!$D:$D,'Sales Log'!$C:$C,$A57)</f>
      </c>
      <c r="I57" s="10">
        <f>SUMIFS('Daily Stock Count'!$F:$F,'Daily Stock Count'!$B:$B,$A57)</f>
      </c>
      <c r="J57" s="10">
        <f>F57+G57-H57-I57</f>
      </c>
      <c r="K57" s="8"/>
      <c r="L57" s="11">
        <f>IF(J57&lt;=K57,"REORDER","OK")</f>
      </c>
    </row>
    <row r="58" ht="21" customHeight="1" spans="1:12" x14ac:dyDescent="0.25">
      <c r="A58" s="8"/>
      <c r="B58" s="8"/>
      <c r="C58" s="8"/>
      <c r="D58" s="9"/>
      <c r="E58" s="9"/>
      <c r="F58" s="8"/>
      <c r="G58" s="10">
        <f>SUMIFS(Purchases!$D:$D,Purchases!$C:$C,$A58)</f>
      </c>
      <c r="H58" s="10">
        <f>SUMIFS('Sales Log'!$D:$D,'Sales Log'!$C:$C,$A58)</f>
      </c>
      <c r="I58" s="10">
        <f>SUMIFS('Daily Stock Count'!$F:$F,'Daily Stock Count'!$B:$B,$A58)</f>
      </c>
      <c r="J58" s="10">
        <f>F58+G58-H58-I58</f>
      </c>
      <c r="K58" s="8"/>
      <c r="L58" s="11">
        <f>IF(J58&lt;=K58,"REORDER","OK")</f>
      </c>
    </row>
    <row r="59" ht="21" customHeight="1" spans="1:12" x14ac:dyDescent="0.25">
      <c r="A59" s="8"/>
      <c r="B59" s="8"/>
      <c r="C59" s="8"/>
      <c r="D59" s="9"/>
      <c r="E59" s="9"/>
      <c r="F59" s="8"/>
      <c r="G59" s="10">
        <f>SUMIFS(Purchases!$D:$D,Purchases!$C:$C,$A59)</f>
      </c>
      <c r="H59" s="10">
        <f>SUMIFS('Sales Log'!$D:$D,'Sales Log'!$C:$C,$A59)</f>
      </c>
      <c r="I59" s="10">
        <f>SUMIFS('Daily Stock Count'!$F:$F,'Daily Stock Count'!$B:$B,$A59)</f>
      </c>
      <c r="J59" s="10">
        <f>F59+G59-H59-I59</f>
      </c>
      <c r="K59" s="8"/>
      <c r="L59" s="11">
        <f>IF(J59&lt;=K59,"REORDER","OK")</f>
      </c>
    </row>
    <row r="60" ht="21" customHeight="1" spans="1:12" x14ac:dyDescent="0.25">
      <c r="A60" s="8"/>
      <c r="B60" s="8"/>
      <c r="C60" s="8"/>
      <c r="D60" s="9"/>
      <c r="E60" s="9"/>
      <c r="F60" s="8"/>
      <c r="G60" s="10">
        <f>SUMIFS(Purchases!$D:$D,Purchases!$C:$C,$A60)</f>
      </c>
      <c r="H60" s="10">
        <f>SUMIFS('Sales Log'!$D:$D,'Sales Log'!$C:$C,$A60)</f>
      </c>
      <c r="I60" s="10">
        <f>SUMIFS('Daily Stock Count'!$F:$F,'Daily Stock Count'!$B:$B,$A60)</f>
      </c>
      <c r="J60" s="10">
        <f>F60+G60-H60-I60</f>
      </c>
      <c r="K60" s="8"/>
      <c r="L60" s="11">
        <f>IF(J60&lt;=K60,"REORDER","OK")</f>
      </c>
    </row>
    <row r="61" ht="21" customHeight="1" spans="1:12" x14ac:dyDescent="0.25">
      <c r="A61" s="8"/>
      <c r="B61" s="8"/>
      <c r="C61" s="8"/>
      <c r="D61" s="9"/>
      <c r="E61" s="9"/>
      <c r="F61" s="8"/>
      <c r="G61" s="10">
        <f>SUMIFS(Purchases!$D:$D,Purchases!$C:$C,$A61)</f>
      </c>
      <c r="H61" s="10">
        <f>SUMIFS('Sales Log'!$D:$D,'Sales Log'!$C:$C,$A61)</f>
      </c>
      <c r="I61" s="10">
        <f>SUMIFS('Daily Stock Count'!$F:$F,'Daily Stock Count'!$B:$B,$A61)</f>
      </c>
      <c r="J61" s="10">
        <f>F61+G61-H61-I61</f>
      </c>
      <c r="K61" s="8"/>
      <c r="L61" s="11">
        <f>IF(J61&lt;=K61,"REORDER","OK")</f>
      </c>
    </row>
    <row r="62" ht="21" customHeight="1" spans="1:12" x14ac:dyDescent="0.25">
      <c r="A62" s="8"/>
      <c r="B62" s="8"/>
      <c r="C62" s="8"/>
      <c r="D62" s="9"/>
      <c r="E62" s="9"/>
      <c r="F62" s="8"/>
      <c r="G62" s="10">
        <f>SUMIFS(Purchases!$D:$D,Purchases!$C:$C,$A62)</f>
      </c>
      <c r="H62" s="10">
        <f>SUMIFS('Sales Log'!$D:$D,'Sales Log'!$C:$C,$A62)</f>
      </c>
      <c r="I62" s="10">
        <f>SUMIFS('Daily Stock Count'!$F:$F,'Daily Stock Count'!$B:$B,$A62)</f>
      </c>
      <c r="J62" s="10">
        <f>F62+G62-H62-I62</f>
      </c>
      <c r="K62" s="8"/>
      <c r="L62" s="11">
        <f>IF(J62&lt;=K62,"REORDER","OK")</f>
      </c>
    </row>
    <row r="63" ht="21" customHeight="1" spans="1:12" x14ac:dyDescent="0.25">
      <c r="A63" s="8"/>
      <c r="B63" s="8"/>
      <c r="C63" s="8"/>
      <c r="D63" s="9"/>
      <c r="E63" s="9"/>
      <c r="F63" s="8"/>
      <c r="G63" s="10">
        <f>SUMIFS(Purchases!$D:$D,Purchases!$C:$C,$A63)</f>
      </c>
      <c r="H63" s="10">
        <f>SUMIFS('Sales Log'!$D:$D,'Sales Log'!$C:$C,$A63)</f>
      </c>
      <c r="I63" s="10">
        <f>SUMIFS('Daily Stock Count'!$F:$F,'Daily Stock Count'!$B:$B,$A63)</f>
      </c>
      <c r="J63" s="10">
        <f>F63+G63-H63-I63</f>
      </c>
      <c r="K63" s="8"/>
      <c r="L63" s="11">
        <f>IF(J63&lt;=K63,"REORDER","OK")</f>
      </c>
    </row>
    <row r="64" ht="21" customHeight="1" spans="1:12" x14ac:dyDescent="0.25">
      <c r="A64" s="8"/>
      <c r="B64" s="8"/>
      <c r="C64" s="8"/>
      <c r="D64" s="9"/>
      <c r="E64" s="9"/>
      <c r="F64" s="8"/>
      <c r="G64" s="10">
        <f>SUMIFS(Purchases!$D:$D,Purchases!$C:$C,$A64)</f>
      </c>
      <c r="H64" s="10">
        <f>SUMIFS('Sales Log'!$D:$D,'Sales Log'!$C:$C,$A64)</f>
      </c>
      <c r="I64" s="10">
        <f>SUMIFS('Daily Stock Count'!$F:$F,'Daily Stock Count'!$B:$B,$A64)</f>
      </c>
      <c r="J64" s="10">
        <f>F64+G64-H64-I64</f>
      </c>
      <c r="K64" s="8"/>
      <c r="L64" s="11">
        <f>IF(J64&lt;=K64,"REORDER","OK")</f>
      </c>
    </row>
    <row r="65" ht="21" customHeight="1" spans="1:12" x14ac:dyDescent="0.25">
      <c r="A65" s="8"/>
      <c r="B65" s="8"/>
      <c r="C65" s="8"/>
      <c r="D65" s="9"/>
      <c r="E65" s="9"/>
      <c r="F65" s="8"/>
      <c r="G65" s="10">
        <f>SUMIFS(Purchases!$D:$D,Purchases!$C:$C,$A65)</f>
      </c>
      <c r="H65" s="10">
        <f>SUMIFS('Sales Log'!$D:$D,'Sales Log'!$C:$C,$A65)</f>
      </c>
      <c r="I65" s="10">
        <f>SUMIFS('Daily Stock Count'!$F:$F,'Daily Stock Count'!$B:$B,$A65)</f>
      </c>
      <c r="J65" s="10">
        <f>F65+G65-H65-I65</f>
      </c>
      <c r="K65" s="8"/>
      <c r="L65" s="11">
        <f>IF(J65&lt;=K65,"REORDER","OK")</f>
      </c>
    </row>
    <row r="66" ht="21" customHeight="1" spans="1:12" x14ac:dyDescent="0.25">
      <c r="A66" s="8"/>
      <c r="B66" s="8"/>
      <c r="C66" s="8"/>
      <c r="D66" s="9"/>
      <c r="E66" s="9"/>
      <c r="F66" s="8"/>
      <c r="G66" s="10">
        <f>SUMIFS(Purchases!$D:$D,Purchases!$C:$C,$A66)</f>
      </c>
      <c r="H66" s="10">
        <f>SUMIFS('Sales Log'!$D:$D,'Sales Log'!$C:$C,$A66)</f>
      </c>
      <c r="I66" s="10">
        <f>SUMIFS('Daily Stock Count'!$F:$F,'Daily Stock Count'!$B:$B,$A66)</f>
      </c>
      <c r="J66" s="10">
        <f>F66+G66-H66-I66</f>
      </c>
      <c r="K66" s="8"/>
      <c r="L66" s="11">
        <f>IF(J66&lt;=K66,"REORDER","OK")</f>
      </c>
    </row>
    <row r="67" ht="21" customHeight="1" spans="1:12" x14ac:dyDescent="0.25">
      <c r="A67" s="8"/>
      <c r="B67" s="8"/>
      <c r="C67" s="8"/>
      <c r="D67" s="9"/>
      <c r="E67" s="9"/>
      <c r="F67" s="8"/>
      <c r="G67" s="10">
        <f>SUMIFS(Purchases!$D:$D,Purchases!$C:$C,$A67)</f>
      </c>
      <c r="H67" s="10">
        <f>SUMIFS('Sales Log'!$D:$D,'Sales Log'!$C:$C,$A67)</f>
      </c>
      <c r="I67" s="10">
        <f>SUMIFS('Daily Stock Count'!$F:$F,'Daily Stock Count'!$B:$B,$A67)</f>
      </c>
      <c r="J67" s="10">
        <f>F67+G67-H67-I67</f>
      </c>
      <c r="K67" s="8"/>
      <c r="L67" s="11">
        <f>IF(J67&lt;=K67,"REORDER","OK")</f>
      </c>
    </row>
    <row r="68" ht="21" customHeight="1" spans="1:12" x14ac:dyDescent="0.25">
      <c r="A68" s="8"/>
      <c r="B68" s="8"/>
      <c r="C68" s="8"/>
      <c r="D68" s="9"/>
      <c r="E68" s="9"/>
      <c r="F68" s="8"/>
      <c r="G68" s="10">
        <f>SUMIFS(Purchases!$D:$D,Purchases!$C:$C,$A68)</f>
      </c>
      <c r="H68" s="10">
        <f>SUMIFS('Sales Log'!$D:$D,'Sales Log'!$C:$C,$A68)</f>
      </c>
      <c r="I68" s="10">
        <f>SUMIFS('Daily Stock Count'!$F:$F,'Daily Stock Count'!$B:$B,$A68)</f>
      </c>
      <c r="J68" s="10">
        <f>F68+G68-H68-I68</f>
      </c>
      <c r="K68" s="8"/>
      <c r="L68" s="11">
        <f>IF(J68&lt;=K68,"REORDER","OK")</f>
      </c>
    </row>
    <row r="69" ht="21" customHeight="1" spans="1:12" x14ac:dyDescent="0.25">
      <c r="A69" s="8"/>
      <c r="B69" s="8"/>
      <c r="C69" s="8"/>
      <c r="D69" s="9"/>
      <c r="E69" s="9"/>
      <c r="F69" s="8"/>
      <c r="G69" s="10">
        <f>SUMIFS(Purchases!$D:$D,Purchases!$C:$C,$A69)</f>
      </c>
      <c r="H69" s="10">
        <f>SUMIFS('Sales Log'!$D:$D,'Sales Log'!$C:$C,$A69)</f>
      </c>
      <c r="I69" s="10">
        <f>SUMIFS('Daily Stock Count'!$F:$F,'Daily Stock Count'!$B:$B,$A69)</f>
      </c>
      <c r="J69" s="10">
        <f>F69+G69-H69-I69</f>
      </c>
      <c r="K69" s="8"/>
      <c r="L69" s="11">
        <f>IF(J69&lt;=K69,"REORDER","OK")</f>
      </c>
    </row>
    <row r="70" ht="21" customHeight="1" spans="1:12" x14ac:dyDescent="0.25">
      <c r="A70" s="8"/>
      <c r="B70" s="8"/>
      <c r="C70" s="8"/>
      <c r="D70" s="9"/>
      <c r="E70" s="9"/>
      <c r="F70" s="8"/>
      <c r="G70" s="10">
        <f>SUMIFS(Purchases!$D:$D,Purchases!$C:$C,$A70)</f>
      </c>
      <c r="H70" s="10">
        <f>SUMIFS('Sales Log'!$D:$D,'Sales Log'!$C:$C,$A70)</f>
      </c>
      <c r="I70" s="10">
        <f>SUMIFS('Daily Stock Count'!$F:$F,'Daily Stock Count'!$B:$B,$A70)</f>
      </c>
      <c r="J70" s="10">
        <f>F70+G70-H70-I70</f>
      </c>
      <c r="K70" s="8"/>
      <c r="L70" s="11">
        <f>IF(J70&lt;=K70,"REORDER","OK")</f>
      </c>
    </row>
    <row r="71" ht="21" customHeight="1" spans="1:12" x14ac:dyDescent="0.25">
      <c r="A71" s="8"/>
      <c r="B71" s="8"/>
      <c r="C71" s="8"/>
      <c r="D71" s="9"/>
      <c r="E71" s="9"/>
      <c r="F71" s="8"/>
      <c r="G71" s="10">
        <f>SUMIFS(Purchases!$D:$D,Purchases!$C:$C,$A71)</f>
      </c>
      <c r="H71" s="10">
        <f>SUMIFS('Sales Log'!$D:$D,'Sales Log'!$C:$C,$A71)</f>
      </c>
      <c r="I71" s="10">
        <f>SUMIFS('Daily Stock Count'!$F:$F,'Daily Stock Count'!$B:$B,$A71)</f>
      </c>
      <c r="J71" s="10">
        <f>F71+G71-H71-I71</f>
      </c>
      <c r="K71" s="8"/>
      <c r="L71" s="11">
        <f>IF(J71&lt;=K71,"REORDER","OK")</f>
      </c>
    </row>
    <row r="72" ht="21" customHeight="1" spans="1:12" x14ac:dyDescent="0.25">
      <c r="A72" s="8"/>
      <c r="B72" s="8"/>
      <c r="C72" s="8"/>
      <c r="D72" s="9"/>
      <c r="E72" s="9"/>
      <c r="F72" s="8"/>
      <c r="G72" s="10">
        <f>SUMIFS(Purchases!$D:$D,Purchases!$C:$C,$A72)</f>
      </c>
      <c r="H72" s="10">
        <f>SUMIFS('Sales Log'!$D:$D,'Sales Log'!$C:$C,$A72)</f>
      </c>
      <c r="I72" s="10">
        <f>SUMIFS('Daily Stock Count'!$F:$F,'Daily Stock Count'!$B:$B,$A72)</f>
      </c>
      <c r="J72" s="10">
        <f>F72+G72-H72-I72</f>
      </c>
      <c r="K72" s="8"/>
      <c r="L72" s="11">
        <f>IF(J72&lt;=K72,"REORDER","OK")</f>
      </c>
    </row>
    <row r="73" ht="21" customHeight="1" spans="1:12" x14ac:dyDescent="0.25">
      <c r="A73" s="8"/>
      <c r="B73" s="8"/>
      <c r="C73" s="8"/>
      <c r="D73" s="9"/>
      <c r="E73" s="9"/>
      <c r="F73" s="8"/>
      <c r="G73" s="10">
        <f>SUMIFS(Purchases!$D:$D,Purchases!$C:$C,$A73)</f>
      </c>
      <c r="H73" s="10">
        <f>SUMIFS('Sales Log'!$D:$D,'Sales Log'!$C:$C,$A73)</f>
      </c>
      <c r="I73" s="10">
        <f>SUMIFS('Daily Stock Count'!$F:$F,'Daily Stock Count'!$B:$B,$A73)</f>
      </c>
      <c r="J73" s="10">
        <f>F73+G73-H73-I73</f>
      </c>
      <c r="K73" s="8"/>
      <c r="L73" s="11">
        <f>IF(J73&lt;=K73,"REORDER","OK")</f>
      </c>
    </row>
    <row r="74" ht="21" customHeight="1" spans="1:12" x14ac:dyDescent="0.25">
      <c r="A74" s="8"/>
      <c r="B74" s="8"/>
      <c r="C74" s="8"/>
      <c r="D74" s="9"/>
      <c r="E74" s="9"/>
      <c r="F74" s="8"/>
      <c r="G74" s="10">
        <f>SUMIFS(Purchases!$D:$D,Purchases!$C:$C,$A74)</f>
      </c>
      <c r="H74" s="10">
        <f>SUMIFS('Sales Log'!$D:$D,'Sales Log'!$C:$C,$A74)</f>
      </c>
      <c r="I74" s="10">
        <f>SUMIFS('Daily Stock Count'!$F:$F,'Daily Stock Count'!$B:$B,$A74)</f>
      </c>
      <c r="J74" s="10">
        <f>F74+G74-H74-I74</f>
      </c>
      <c r="K74" s="8"/>
      <c r="L74" s="11">
        <f>IF(J74&lt;=K74,"REORDER","OK")</f>
      </c>
    </row>
    <row r="75" ht="21" customHeight="1" spans="1:12" x14ac:dyDescent="0.25">
      <c r="A75" s="8"/>
      <c r="B75" s="8"/>
      <c r="C75" s="8"/>
      <c r="D75" s="9"/>
      <c r="E75" s="9"/>
      <c r="F75" s="8"/>
      <c r="G75" s="10">
        <f>SUMIFS(Purchases!$D:$D,Purchases!$C:$C,$A75)</f>
      </c>
      <c r="H75" s="10">
        <f>SUMIFS('Sales Log'!$D:$D,'Sales Log'!$C:$C,$A75)</f>
      </c>
      <c r="I75" s="10">
        <f>SUMIFS('Daily Stock Count'!$F:$F,'Daily Stock Count'!$B:$B,$A75)</f>
      </c>
      <c r="J75" s="10">
        <f>F75+G75-H75-I75</f>
      </c>
      <c r="K75" s="8"/>
      <c r="L75" s="11">
        <f>IF(J75&lt;=K75,"REORDER","OK")</f>
      </c>
    </row>
    <row r="76" ht="21" customHeight="1" spans="1:12" x14ac:dyDescent="0.25">
      <c r="A76" s="8"/>
      <c r="B76" s="8"/>
      <c r="C76" s="8"/>
      <c r="D76" s="9"/>
      <c r="E76" s="9"/>
      <c r="F76" s="8"/>
      <c r="G76" s="10">
        <f>SUMIFS(Purchases!$D:$D,Purchases!$C:$C,$A76)</f>
      </c>
      <c r="H76" s="10">
        <f>SUMIFS('Sales Log'!$D:$D,'Sales Log'!$C:$C,$A76)</f>
      </c>
      <c r="I76" s="10">
        <f>SUMIFS('Daily Stock Count'!$F:$F,'Daily Stock Count'!$B:$B,$A76)</f>
      </c>
      <c r="J76" s="10">
        <f>F76+G76-H76-I76</f>
      </c>
      <c r="K76" s="8"/>
      <c r="L76" s="11">
        <f>IF(J76&lt;=K76,"REORDER","OK")</f>
      </c>
    </row>
    <row r="77" ht="21" customHeight="1" spans="1:12" x14ac:dyDescent="0.25">
      <c r="A77" s="8"/>
      <c r="B77" s="8"/>
      <c r="C77" s="8"/>
      <c r="D77" s="9"/>
      <c r="E77" s="9"/>
      <c r="F77" s="8"/>
      <c r="G77" s="10">
        <f>SUMIFS(Purchases!$D:$D,Purchases!$C:$C,$A77)</f>
      </c>
      <c r="H77" s="10">
        <f>SUMIFS('Sales Log'!$D:$D,'Sales Log'!$C:$C,$A77)</f>
      </c>
      <c r="I77" s="10">
        <f>SUMIFS('Daily Stock Count'!$F:$F,'Daily Stock Count'!$B:$B,$A77)</f>
      </c>
      <c r="J77" s="10">
        <f>F77+G77-H77-I77</f>
      </c>
      <c r="K77" s="8"/>
      <c r="L77" s="11">
        <f>IF(J77&lt;=K77,"REORDER","OK")</f>
      </c>
    </row>
    <row r="78" ht="21" customHeight="1" spans="1:12" x14ac:dyDescent="0.25">
      <c r="A78" s="8"/>
      <c r="B78" s="8"/>
      <c r="C78" s="8"/>
      <c r="D78" s="9"/>
      <c r="E78" s="9"/>
      <c r="F78" s="8"/>
      <c r="G78" s="10">
        <f>SUMIFS(Purchases!$D:$D,Purchases!$C:$C,$A78)</f>
      </c>
      <c r="H78" s="10">
        <f>SUMIFS('Sales Log'!$D:$D,'Sales Log'!$C:$C,$A78)</f>
      </c>
      <c r="I78" s="10">
        <f>SUMIFS('Daily Stock Count'!$F:$F,'Daily Stock Count'!$B:$B,$A78)</f>
      </c>
      <c r="J78" s="10">
        <f>F78+G78-H78-I78</f>
      </c>
      <c r="K78" s="8"/>
      <c r="L78" s="11">
        <f>IF(J78&lt;=K78,"REORDER","OK")</f>
      </c>
    </row>
    <row r="79" ht="21" customHeight="1" spans="1:12" x14ac:dyDescent="0.25">
      <c r="A79" s="8"/>
      <c r="B79" s="8"/>
      <c r="C79" s="8"/>
      <c r="D79" s="9"/>
      <c r="E79" s="9"/>
      <c r="F79" s="8"/>
      <c r="G79" s="10">
        <f>SUMIFS(Purchases!$D:$D,Purchases!$C:$C,$A79)</f>
      </c>
      <c r="H79" s="10">
        <f>SUMIFS('Sales Log'!$D:$D,'Sales Log'!$C:$C,$A79)</f>
      </c>
      <c r="I79" s="10">
        <f>SUMIFS('Daily Stock Count'!$F:$F,'Daily Stock Count'!$B:$B,$A79)</f>
      </c>
      <c r="J79" s="10">
        <f>F79+G79-H79-I79</f>
      </c>
      <c r="K79" s="8"/>
      <c r="L79" s="11">
        <f>IF(J79&lt;=K79,"REORDER","OK")</f>
      </c>
    </row>
    <row r="80" ht="21" customHeight="1" spans="1:12" x14ac:dyDescent="0.25">
      <c r="A80" s="8"/>
      <c r="B80" s="8"/>
      <c r="C80" s="8"/>
      <c r="D80" s="9"/>
      <c r="E80" s="9"/>
      <c r="F80" s="8"/>
      <c r="G80" s="10">
        <f>SUMIFS(Purchases!$D:$D,Purchases!$C:$C,$A80)</f>
      </c>
      <c r="H80" s="10">
        <f>SUMIFS('Sales Log'!$D:$D,'Sales Log'!$C:$C,$A80)</f>
      </c>
      <c r="I80" s="10">
        <f>SUMIFS('Daily Stock Count'!$F:$F,'Daily Stock Count'!$B:$B,$A80)</f>
      </c>
      <c r="J80" s="10">
        <f>F80+G80-H80-I80</f>
      </c>
      <c r="K80" s="8"/>
      <c r="L80" s="11">
        <f>IF(J80&lt;=K80,"REORDER","OK")</f>
      </c>
    </row>
    <row r="81" ht="21" customHeight="1" spans="1:12" x14ac:dyDescent="0.25">
      <c r="A81" s="8"/>
      <c r="B81" s="8"/>
      <c r="C81" s="8"/>
      <c r="D81" s="9"/>
      <c r="E81" s="9"/>
      <c r="F81" s="8"/>
      <c r="G81" s="10">
        <f>SUMIFS(Purchases!$D:$D,Purchases!$C:$C,$A81)</f>
      </c>
      <c r="H81" s="10">
        <f>SUMIFS('Sales Log'!$D:$D,'Sales Log'!$C:$C,$A81)</f>
      </c>
      <c r="I81" s="10">
        <f>SUMIFS('Daily Stock Count'!$F:$F,'Daily Stock Count'!$B:$B,$A81)</f>
      </c>
      <c r="J81" s="10">
        <f>F81+G81-H81-I81</f>
      </c>
      <c r="K81" s="8"/>
      <c r="L81" s="11">
        <f>IF(J81&lt;=K81,"REORDER","OK")</f>
      </c>
    </row>
    <row r="82" ht="21" customHeight="1" spans="1:12" x14ac:dyDescent="0.25">
      <c r="A82" s="8"/>
      <c r="B82" s="8"/>
      <c r="C82" s="8"/>
      <c r="D82" s="9"/>
      <c r="E82" s="9"/>
      <c r="F82" s="8"/>
      <c r="G82" s="10">
        <f>SUMIFS(Purchases!$D:$D,Purchases!$C:$C,$A82)</f>
      </c>
      <c r="H82" s="10">
        <f>SUMIFS('Sales Log'!$D:$D,'Sales Log'!$C:$C,$A82)</f>
      </c>
      <c r="I82" s="10">
        <f>SUMIFS('Daily Stock Count'!$F:$F,'Daily Stock Count'!$B:$B,$A82)</f>
      </c>
      <c r="J82" s="10">
        <f>F82+G82-H82-I82</f>
      </c>
      <c r="K82" s="8"/>
      <c r="L82" s="11">
        <f>IF(J82&lt;=K82,"REORDER","OK")</f>
      </c>
    </row>
    <row r="83" ht="21" customHeight="1" spans="1:12" x14ac:dyDescent="0.25">
      <c r="A83" s="8"/>
      <c r="B83" s="8"/>
      <c r="C83" s="8"/>
      <c r="D83" s="9"/>
      <c r="E83" s="9"/>
      <c r="F83" s="8"/>
      <c r="G83" s="10">
        <f>SUMIFS(Purchases!$D:$D,Purchases!$C:$C,$A83)</f>
      </c>
      <c r="H83" s="10">
        <f>SUMIFS('Sales Log'!$D:$D,'Sales Log'!$C:$C,$A83)</f>
      </c>
      <c r="I83" s="10">
        <f>SUMIFS('Daily Stock Count'!$F:$F,'Daily Stock Count'!$B:$B,$A83)</f>
      </c>
      <c r="J83" s="10">
        <f>F83+G83-H83-I83</f>
      </c>
      <c r="K83" s="8"/>
      <c r="L83" s="11">
        <f>IF(J83&lt;=K83,"REORDER","OK")</f>
      </c>
    </row>
    <row r="84" ht="21" customHeight="1" spans="1:12" x14ac:dyDescent="0.25">
      <c r="A84" s="8"/>
      <c r="B84" s="8"/>
      <c r="C84" s="8"/>
      <c r="D84" s="9"/>
      <c r="E84" s="9"/>
      <c r="F84" s="8"/>
      <c r="G84" s="10">
        <f>SUMIFS(Purchases!$D:$D,Purchases!$C:$C,$A84)</f>
      </c>
      <c r="H84" s="10">
        <f>SUMIFS('Sales Log'!$D:$D,'Sales Log'!$C:$C,$A84)</f>
      </c>
      <c r="I84" s="10">
        <f>SUMIFS('Daily Stock Count'!$F:$F,'Daily Stock Count'!$B:$B,$A84)</f>
      </c>
      <c r="J84" s="10">
        <f>F84+G84-H84-I84</f>
      </c>
      <c r="K84" s="8"/>
      <c r="L84" s="11">
        <f>IF(J84&lt;=K84,"REORDER","OK")</f>
      </c>
    </row>
    <row r="85" ht="21" customHeight="1" spans="1:12" x14ac:dyDescent="0.25">
      <c r="A85" s="8"/>
      <c r="B85" s="8"/>
      <c r="C85" s="8"/>
      <c r="D85" s="9"/>
      <c r="E85" s="9"/>
      <c r="F85" s="8"/>
      <c r="G85" s="10">
        <f>SUMIFS(Purchases!$D:$D,Purchases!$C:$C,$A85)</f>
      </c>
      <c r="H85" s="10">
        <f>SUMIFS('Sales Log'!$D:$D,'Sales Log'!$C:$C,$A85)</f>
      </c>
      <c r="I85" s="10">
        <f>SUMIFS('Daily Stock Count'!$F:$F,'Daily Stock Count'!$B:$B,$A85)</f>
      </c>
      <c r="J85" s="10">
        <f>F85+G85-H85-I85</f>
      </c>
      <c r="K85" s="8"/>
      <c r="L85" s="11">
        <f>IF(J85&lt;=K85,"REORDER","OK")</f>
      </c>
    </row>
    <row r="86" ht="21" customHeight="1" spans="1:12" x14ac:dyDescent="0.25">
      <c r="A86" s="8"/>
      <c r="B86" s="8"/>
      <c r="C86" s="8"/>
      <c r="D86" s="9"/>
      <c r="E86" s="9"/>
      <c r="F86" s="8"/>
      <c r="G86" s="10">
        <f>SUMIFS(Purchases!$D:$D,Purchases!$C:$C,$A86)</f>
      </c>
      <c r="H86" s="10">
        <f>SUMIFS('Sales Log'!$D:$D,'Sales Log'!$C:$C,$A86)</f>
      </c>
      <c r="I86" s="10">
        <f>SUMIFS('Daily Stock Count'!$F:$F,'Daily Stock Count'!$B:$B,$A86)</f>
      </c>
      <c r="J86" s="10">
        <f>F86+G86-H86-I86</f>
      </c>
      <c r="K86" s="8"/>
      <c r="L86" s="11">
        <f>IF(J86&lt;=K86,"REORDER","OK")</f>
      </c>
    </row>
    <row r="87" ht="21" customHeight="1" spans="1:12" x14ac:dyDescent="0.25">
      <c r="A87" s="8"/>
      <c r="B87" s="8"/>
      <c r="C87" s="8"/>
      <c r="D87" s="9"/>
      <c r="E87" s="9"/>
      <c r="F87" s="8"/>
      <c r="G87" s="10">
        <f>SUMIFS(Purchases!$D:$D,Purchases!$C:$C,$A87)</f>
      </c>
      <c r="H87" s="10">
        <f>SUMIFS('Sales Log'!$D:$D,'Sales Log'!$C:$C,$A87)</f>
      </c>
      <c r="I87" s="10">
        <f>SUMIFS('Daily Stock Count'!$F:$F,'Daily Stock Count'!$B:$B,$A87)</f>
      </c>
      <c r="J87" s="10">
        <f>F87+G87-H87-I87</f>
      </c>
      <c r="K87" s="8"/>
      <c r="L87" s="11">
        <f>IF(J87&lt;=K87,"REORDER","OK")</f>
      </c>
    </row>
    <row r="88" ht="21" customHeight="1" spans="1:12" x14ac:dyDescent="0.25">
      <c r="A88" s="8"/>
      <c r="B88" s="8"/>
      <c r="C88" s="8"/>
      <c r="D88" s="9"/>
      <c r="E88" s="9"/>
      <c r="F88" s="8"/>
      <c r="G88" s="10">
        <f>SUMIFS(Purchases!$D:$D,Purchases!$C:$C,$A88)</f>
      </c>
      <c r="H88" s="10">
        <f>SUMIFS('Sales Log'!$D:$D,'Sales Log'!$C:$C,$A88)</f>
      </c>
      <c r="I88" s="10">
        <f>SUMIFS('Daily Stock Count'!$F:$F,'Daily Stock Count'!$B:$B,$A88)</f>
      </c>
      <c r="J88" s="10">
        <f>F88+G88-H88-I88</f>
      </c>
      <c r="K88" s="8"/>
      <c r="L88" s="11">
        <f>IF(J88&lt;=K88,"REORDER","OK")</f>
      </c>
    </row>
    <row r="89" ht="21" customHeight="1" spans="1:12" x14ac:dyDescent="0.25">
      <c r="A89" s="8"/>
      <c r="B89" s="8"/>
      <c r="C89" s="8"/>
      <c r="D89" s="9"/>
      <c r="E89" s="9"/>
      <c r="F89" s="8"/>
      <c r="G89" s="10">
        <f>SUMIFS(Purchases!$D:$D,Purchases!$C:$C,$A89)</f>
      </c>
      <c r="H89" s="10">
        <f>SUMIFS('Sales Log'!$D:$D,'Sales Log'!$C:$C,$A89)</f>
      </c>
      <c r="I89" s="10">
        <f>SUMIFS('Daily Stock Count'!$F:$F,'Daily Stock Count'!$B:$B,$A89)</f>
      </c>
      <c r="J89" s="10">
        <f>F89+G89-H89-I89</f>
      </c>
      <c r="K89" s="8"/>
      <c r="L89" s="11">
        <f>IF(J89&lt;=K89,"REORDER","OK")</f>
      </c>
    </row>
    <row r="90" ht="21" customHeight="1" spans="1:12" x14ac:dyDescent="0.25">
      <c r="A90" s="8"/>
      <c r="B90" s="8"/>
      <c r="C90" s="8"/>
      <c r="D90" s="9"/>
      <c r="E90" s="9"/>
      <c r="F90" s="8"/>
      <c r="G90" s="10">
        <f>SUMIFS(Purchases!$D:$D,Purchases!$C:$C,$A90)</f>
      </c>
      <c r="H90" s="10">
        <f>SUMIFS('Sales Log'!$D:$D,'Sales Log'!$C:$C,$A90)</f>
      </c>
      <c r="I90" s="10">
        <f>SUMIFS('Daily Stock Count'!$F:$F,'Daily Stock Count'!$B:$B,$A90)</f>
      </c>
      <c r="J90" s="10">
        <f>F90+G90-H90-I90</f>
      </c>
      <c r="K90" s="8"/>
      <c r="L90" s="11">
        <f>IF(J90&lt;=K90,"REORDER","OK")</f>
      </c>
    </row>
    <row r="91" ht="21" customHeight="1" spans="1:12" x14ac:dyDescent="0.25">
      <c r="A91" s="8"/>
      <c r="B91" s="8"/>
      <c r="C91" s="8"/>
      <c r="D91" s="9"/>
      <c r="E91" s="9"/>
      <c r="F91" s="8"/>
      <c r="G91" s="10">
        <f>SUMIFS(Purchases!$D:$D,Purchases!$C:$C,$A91)</f>
      </c>
      <c r="H91" s="10">
        <f>SUMIFS('Sales Log'!$D:$D,'Sales Log'!$C:$C,$A91)</f>
      </c>
      <c r="I91" s="10">
        <f>SUMIFS('Daily Stock Count'!$F:$F,'Daily Stock Count'!$B:$B,$A91)</f>
      </c>
      <c r="J91" s="10">
        <f>F91+G91-H91-I91</f>
      </c>
      <c r="K91" s="8"/>
      <c r="L91" s="11">
        <f>IF(J91&lt;=K91,"REORDER","OK")</f>
      </c>
    </row>
    <row r="92" ht="21" customHeight="1" spans="1:12" x14ac:dyDescent="0.25">
      <c r="A92" s="8"/>
      <c r="B92" s="8"/>
      <c r="C92" s="8"/>
      <c r="D92" s="9"/>
      <c r="E92" s="9"/>
      <c r="F92" s="8"/>
      <c r="G92" s="10">
        <f>SUMIFS(Purchases!$D:$D,Purchases!$C:$C,$A92)</f>
      </c>
      <c r="H92" s="10">
        <f>SUMIFS('Sales Log'!$D:$D,'Sales Log'!$C:$C,$A92)</f>
      </c>
      <c r="I92" s="10">
        <f>SUMIFS('Daily Stock Count'!$F:$F,'Daily Stock Count'!$B:$B,$A92)</f>
      </c>
      <c r="J92" s="10">
        <f>F92+G92-H92-I92</f>
      </c>
      <c r="K92" s="8"/>
      <c r="L92" s="11">
        <f>IF(J92&lt;=K92,"REORDER","OK")</f>
      </c>
    </row>
    <row r="93" ht="21" customHeight="1" spans="1:12" x14ac:dyDescent="0.25">
      <c r="A93" s="8"/>
      <c r="B93" s="8"/>
      <c r="C93" s="8"/>
      <c r="D93" s="9"/>
      <c r="E93" s="9"/>
      <c r="F93" s="8"/>
      <c r="G93" s="10">
        <f>SUMIFS(Purchases!$D:$D,Purchases!$C:$C,$A93)</f>
      </c>
      <c r="H93" s="10">
        <f>SUMIFS('Sales Log'!$D:$D,'Sales Log'!$C:$C,$A93)</f>
      </c>
      <c r="I93" s="10">
        <f>SUMIFS('Daily Stock Count'!$F:$F,'Daily Stock Count'!$B:$B,$A93)</f>
      </c>
      <c r="J93" s="10">
        <f>F93+G93-H93-I93</f>
      </c>
      <c r="K93" s="8"/>
      <c r="L93" s="11">
        <f>IF(J93&lt;=K93,"REORDER","OK")</f>
      </c>
    </row>
    <row r="94" ht="21" customHeight="1" spans="1:12" x14ac:dyDescent="0.25">
      <c r="A94" s="8"/>
      <c r="B94" s="8"/>
      <c r="C94" s="8"/>
      <c r="D94" s="9"/>
      <c r="E94" s="9"/>
      <c r="F94" s="8"/>
      <c r="G94" s="10">
        <f>SUMIFS(Purchases!$D:$D,Purchases!$C:$C,$A94)</f>
      </c>
      <c r="H94" s="10">
        <f>SUMIFS('Sales Log'!$D:$D,'Sales Log'!$C:$C,$A94)</f>
      </c>
      <c r="I94" s="10">
        <f>SUMIFS('Daily Stock Count'!$F:$F,'Daily Stock Count'!$B:$B,$A94)</f>
      </c>
      <c r="J94" s="10">
        <f>F94+G94-H94-I94</f>
      </c>
      <c r="K94" s="8"/>
      <c r="L94" s="11">
        <f>IF(J94&lt;=K94,"REORDER","OK")</f>
      </c>
    </row>
    <row r="95" ht="21" customHeight="1" spans="1:12" x14ac:dyDescent="0.25">
      <c r="A95" s="8"/>
      <c r="B95" s="8"/>
      <c r="C95" s="8"/>
      <c r="D95" s="9"/>
      <c r="E95" s="9"/>
      <c r="F95" s="8"/>
      <c r="G95" s="10">
        <f>SUMIFS(Purchases!$D:$D,Purchases!$C:$C,$A95)</f>
      </c>
      <c r="H95" s="10">
        <f>SUMIFS('Sales Log'!$D:$D,'Sales Log'!$C:$C,$A95)</f>
      </c>
      <c r="I95" s="10">
        <f>SUMIFS('Daily Stock Count'!$F:$F,'Daily Stock Count'!$B:$B,$A95)</f>
      </c>
      <c r="J95" s="10">
        <f>F95+G95-H95-I95</f>
      </c>
      <c r="K95" s="8"/>
      <c r="L95" s="11">
        <f>IF(J95&lt;=K95,"REORDER","OK")</f>
      </c>
    </row>
    <row r="96" ht="21" customHeight="1" spans="1:12" x14ac:dyDescent="0.25">
      <c r="A96" s="8"/>
      <c r="B96" s="8"/>
      <c r="C96" s="8"/>
      <c r="D96" s="9"/>
      <c r="E96" s="9"/>
      <c r="F96" s="8"/>
      <c r="G96" s="10">
        <f>SUMIFS(Purchases!$D:$D,Purchases!$C:$C,$A96)</f>
      </c>
      <c r="H96" s="10">
        <f>SUMIFS('Sales Log'!$D:$D,'Sales Log'!$C:$C,$A96)</f>
      </c>
      <c r="I96" s="10">
        <f>SUMIFS('Daily Stock Count'!$F:$F,'Daily Stock Count'!$B:$B,$A96)</f>
      </c>
      <c r="J96" s="10">
        <f>F96+G96-H96-I96</f>
      </c>
      <c r="K96" s="8"/>
      <c r="L96" s="11">
        <f>IF(J96&lt;=K96,"REORDER","OK")</f>
      </c>
    </row>
    <row r="97" ht="21" customHeight="1" spans="1:12" x14ac:dyDescent="0.25">
      <c r="A97" s="8"/>
      <c r="B97" s="8"/>
      <c r="C97" s="8"/>
      <c r="D97" s="9"/>
      <c r="E97" s="9"/>
      <c r="F97" s="8"/>
      <c r="G97" s="10">
        <f>SUMIFS(Purchases!$D:$D,Purchases!$C:$C,$A97)</f>
      </c>
      <c r="H97" s="10">
        <f>SUMIFS('Sales Log'!$D:$D,'Sales Log'!$C:$C,$A97)</f>
      </c>
      <c r="I97" s="10">
        <f>SUMIFS('Daily Stock Count'!$F:$F,'Daily Stock Count'!$B:$B,$A97)</f>
      </c>
      <c r="J97" s="10">
        <f>F97+G97-H97-I97</f>
      </c>
      <c r="K97" s="8"/>
      <c r="L97" s="11">
        <f>IF(J97&lt;=K97,"REORDER","OK")</f>
      </c>
    </row>
    <row r="98" ht="21" customHeight="1" spans="1:12" x14ac:dyDescent="0.25">
      <c r="A98" s="8"/>
      <c r="B98" s="8"/>
      <c r="C98" s="8"/>
      <c r="D98" s="9"/>
      <c r="E98" s="9"/>
      <c r="F98" s="8"/>
      <c r="G98" s="10">
        <f>SUMIFS(Purchases!$D:$D,Purchases!$C:$C,$A98)</f>
      </c>
      <c r="H98" s="10">
        <f>SUMIFS('Sales Log'!$D:$D,'Sales Log'!$C:$C,$A98)</f>
      </c>
      <c r="I98" s="10">
        <f>SUMIFS('Daily Stock Count'!$F:$F,'Daily Stock Count'!$B:$B,$A98)</f>
      </c>
      <c r="J98" s="10">
        <f>F98+G98-H98-I98</f>
      </c>
      <c r="K98" s="8"/>
      <c r="L98" s="11">
        <f>IF(J98&lt;=K98,"REORDER","OK")</f>
      </c>
    </row>
    <row r="99" ht="21" customHeight="1" spans="1:12" x14ac:dyDescent="0.25">
      <c r="A99" s="8"/>
      <c r="B99" s="8"/>
      <c r="C99" s="8"/>
      <c r="D99" s="9"/>
      <c r="E99" s="9"/>
      <c r="F99" s="8"/>
      <c r="G99" s="10">
        <f>SUMIFS(Purchases!$D:$D,Purchases!$C:$C,$A99)</f>
      </c>
      <c r="H99" s="10">
        <f>SUMIFS('Sales Log'!$D:$D,'Sales Log'!$C:$C,$A99)</f>
      </c>
      <c r="I99" s="10">
        <f>SUMIFS('Daily Stock Count'!$F:$F,'Daily Stock Count'!$B:$B,$A99)</f>
      </c>
      <c r="J99" s="10">
        <f>F99+G99-H99-I99</f>
      </c>
      <c r="K99" s="8"/>
      <c r="L99" s="11">
        <f>IF(J99&lt;=K99,"REORDER","OK")</f>
      </c>
    </row>
    <row r="100" ht="21" customHeight="1" spans="1:12" x14ac:dyDescent="0.25">
      <c r="A100" s="8"/>
      <c r="B100" s="8"/>
      <c r="C100" s="8"/>
      <c r="D100" s="9"/>
      <c r="E100" s="9"/>
      <c r="F100" s="8"/>
      <c r="G100" s="10">
        <f>SUMIFS(Purchases!$D:$D,Purchases!$C:$C,$A100)</f>
      </c>
      <c r="H100" s="10">
        <f>SUMIFS('Sales Log'!$D:$D,'Sales Log'!$C:$C,$A100)</f>
      </c>
      <c r="I100" s="10">
        <f>SUMIFS('Daily Stock Count'!$F:$F,'Daily Stock Count'!$B:$B,$A100)</f>
      </c>
      <c r="J100" s="10">
        <f>F100+G100-H100-I100</f>
      </c>
      <c r="K100" s="8"/>
      <c r="L100" s="11">
        <f>IF(J100&lt;=K100,"REORDER","OK")</f>
      </c>
    </row>
    <row r="101" ht="21" customHeight="1" spans="1:12" x14ac:dyDescent="0.25">
      <c r="A101" s="8"/>
      <c r="B101" s="8"/>
      <c r="C101" s="8"/>
      <c r="D101" s="9"/>
      <c r="E101" s="9"/>
      <c r="F101" s="8"/>
      <c r="G101" s="10">
        <f>SUMIFS(Purchases!$D:$D,Purchases!$C:$C,$A101)</f>
      </c>
      <c r="H101" s="10">
        <f>SUMIFS('Sales Log'!$D:$D,'Sales Log'!$C:$C,$A101)</f>
      </c>
      <c r="I101" s="10">
        <f>SUMIFS('Daily Stock Count'!$F:$F,'Daily Stock Count'!$B:$B,$A101)</f>
      </c>
      <c r="J101" s="10">
        <f>F101+G101-H101-I101</f>
      </c>
      <c r="K101" s="8"/>
      <c r="L101" s="11">
        <f>IF(J101&lt;=K101,"REORDER","OK")</f>
      </c>
    </row>
    <row r="102" ht="21" customHeight="1" spans="1:12" x14ac:dyDescent="0.25">
      <c r="A102" s="8"/>
      <c r="B102" s="8"/>
      <c r="C102" s="8"/>
      <c r="D102" s="9"/>
      <c r="E102" s="9"/>
      <c r="F102" s="8"/>
      <c r="G102" s="10">
        <f>SUMIFS(Purchases!$D:$D,Purchases!$C:$C,$A102)</f>
      </c>
      <c r="H102" s="10">
        <f>SUMIFS('Sales Log'!$D:$D,'Sales Log'!$C:$C,$A102)</f>
      </c>
      <c r="I102" s="10">
        <f>SUMIFS('Daily Stock Count'!$F:$F,'Daily Stock Count'!$B:$B,$A102)</f>
      </c>
      <c r="J102" s="10">
        <f>F102+G102-H102-I102</f>
      </c>
      <c r="K102" s="8"/>
      <c r="L102" s="11">
        <f>IF(J102&lt;=K102,"REORDER","OK")</f>
      </c>
    </row>
    <row r="103" ht="21" customHeight="1" spans="1:12" x14ac:dyDescent="0.25">
      <c r="A103" s="8"/>
      <c r="B103" s="8"/>
      <c r="C103" s="8"/>
      <c r="D103" s="9"/>
      <c r="E103" s="9"/>
      <c r="F103" s="8"/>
      <c r="G103" s="10">
        <f>SUMIFS(Purchases!$D:$D,Purchases!$C:$C,$A103)</f>
      </c>
      <c r="H103" s="10">
        <f>SUMIFS('Sales Log'!$D:$D,'Sales Log'!$C:$C,$A103)</f>
      </c>
      <c r="I103" s="10">
        <f>SUMIFS('Daily Stock Count'!$F:$F,'Daily Stock Count'!$B:$B,$A103)</f>
      </c>
      <c r="J103" s="10">
        <f>F103+G103-H103-I103</f>
      </c>
      <c r="K103" s="8"/>
      <c r="L103" s="11">
        <f>IF(J103&lt;=K103,"REORDER","OK")</f>
      </c>
    </row>
    <row r="104" ht="21" customHeight="1" spans="1:12" x14ac:dyDescent="0.25">
      <c r="A104" s="8"/>
      <c r="B104" s="8"/>
      <c r="C104" s="8"/>
      <c r="D104" s="9"/>
      <c r="E104" s="9"/>
      <c r="F104" s="8"/>
      <c r="G104" s="10">
        <f>SUMIFS(Purchases!$D:$D,Purchases!$C:$C,$A104)</f>
      </c>
      <c r="H104" s="10">
        <f>SUMIFS('Sales Log'!$D:$D,'Sales Log'!$C:$C,$A104)</f>
      </c>
      <c r="I104" s="10">
        <f>SUMIFS('Daily Stock Count'!$F:$F,'Daily Stock Count'!$B:$B,$A104)</f>
      </c>
      <c r="J104" s="10">
        <f>F104+G104-H104-I104</f>
      </c>
      <c r="K104" s="8"/>
      <c r="L104" s="11">
        <f>IF(J104&lt;=K104,"REORDER","OK")</f>
      </c>
    </row>
    <row r="105" ht="21" customHeight="1" spans="1:12" x14ac:dyDescent="0.25">
      <c r="A105" s="8"/>
      <c r="B105" s="8"/>
      <c r="C105" s="8"/>
      <c r="D105" s="9"/>
      <c r="E105" s="9"/>
      <c r="F105" s="8"/>
      <c r="G105" s="10">
        <f>SUMIFS(Purchases!$D:$D,Purchases!$C:$C,$A105)</f>
      </c>
      <c r="H105" s="10">
        <f>SUMIFS('Sales Log'!$D:$D,'Sales Log'!$C:$C,$A105)</f>
      </c>
      <c r="I105" s="10">
        <f>SUMIFS('Daily Stock Count'!$F:$F,'Daily Stock Count'!$B:$B,$A105)</f>
      </c>
      <c r="J105" s="10">
        <f>F105+G105-H105-I105</f>
      </c>
      <c r="K105" s="8"/>
      <c r="L105" s="11">
        <f>IF(J105&lt;=K105,"REORDER","OK")</f>
      </c>
    </row>
    <row r="106" ht="21" customHeight="1" spans="1:12" x14ac:dyDescent="0.25">
      <c r="A106" s="8"/>
      <c r="B106" s="8"/>
      <c r="C106" s="8"/>
      <c r="D106" s="9"/>
      <c r="E106" s="9"/>
      <c r="F106" s="8"/>
      <c r="G106" s="10">
        <f>SUMIFS(Purchases!$D:$D,Purchases!$C:$C,$A106)</f>
      </c>
      <c r="H106" s="10">
        <f>SUMIFS('Sales Log'!$D:$D,'Sales Log'!$C:$C,$A106)</f>
      </c>
      <c r="I106" s="10">
        <f>SUMIFS('Daily Stock Count'!$F:$F,'Daily Stock Count'!$B:$B,$A106)</f>
      </c>
      <c r="J106" s="10">
        <f>F106+G106-H106-I106</f>
      </c>
      <c r="K106" s="8"/>
      <c r="L106" s="11">
        <f>IF(J106&lt;=K106,"REORDER","OK")</f>
      </c>
    </row>
    <row r="107" ht="21" customHeight="1" spans="1:12" x14ac:dyDescent="0.25">
      <c r="A107" s="8"/>
      <c r="B107" s="8"/>
      <c r="C107" s="8"/>
      <c r="D107" s="9"/>
      <c r="E107" s="9"/>
      <c r="F107" s="8"/>
      <c r="G107" s="10">
        <f>SUMIFS(Purchases!$D:$D,Purchases!$C:$C,$A107)</f>
      </c>
      <c r="H107" s="10">
        <f>SUMIFS('Sales Log'!$D:$D,'Sales Log'!$C:$C,$A107)</f>
      </c>
      <c r="I107" s="10">
        <f>SUMIFS('Daily Stock Count'!$F:$F,'Daily Stock Count'!$B:$B,$A107)</f>
      </c>
      <c r="J107" s="10">
        <f>F107+G107-H107-I107</f>
      </c>
      <c r="K107" s="8"/>
      <c r="L107" s="11">
        <f>IF(J107&lt;=K107,"REORDER","OK")</f>
      </c>
    </row>
    <row r="108" ht="21" customHeight="1" spans="1:12" x14ac:dyDescent="0.25">
      <c r="A108" s="8"/>
      <c r="B108" s="8"/>
      <c r="C108" s="8"/>
      <c r="D108" s="9"/>
      <c r="E108" s="9"/>
      <c r="F108" s="8"/>
      <c r="G108" s="10">
        <f>SUMIFS(Purchases!$D:$D,Purchases!$C:$C,$A108)</f>
      </c>
      <c r="H108" s="10">
        <f>SUMIFS('Sales Log'!$D:$D,'Sales Log'!$C:$C,$A108)</f>
      </c>
      <c r="I108" s="10">
        <f>SUMIFS('Daily Stock Count'!$F:$F,'Daily Stock Count'!$B:$B,$A108)</f>
      </c>
      <c r="J108" s="10">
        <f>F108+G108-H108-I108</f>
      </c>
      <c r="K108" s="8"/>
      <c r="L108" s="11">
        <f>IF(J108&lt;=K108,"REORDER","OK")</f>
      </c>
    </row>
    <row r="109" ht="21" customHeight="1" spans="1:12" x14ac:dyDescent="0.25">
      <c r="A109" s="8"/>
      <c r="B109" s="8"/>
      <c r="C109" s="8"/>
      <c r="D109" s="9"/>
      <c r="E109" s="9"/>
      <c r="F109" s="8"/>
      <c r="G109" s="10">
        <f>SUMIFS(Purchases!$D:$D,Purchases!$C:$C,$A109)</f>
      </c>
      <c r="H109" s="10">
        <f>SUMIFS('Sales Log'!$D:$D,'Sales Log'!$C:$C,$A109)</f>
      </c>
      <c r="I109" s="10">
        <f>SUMIFS('Daily Stock Count'!$F:$F,'Daily Stock Count'!$B:$B,$A109)</f>
      </c>
      <c r="J109" s="10">
        <f>F109+G109-H109-I109</f>
      </c>
      <c r="K109" s="8"/>
      <c r="L109" s="11">
        <f>IF(J109&lt;=K109,"REORDER","OK")</f>
      </c>
    </row>
    <row r="110" ht="21" customHeight="1" spans="1:12" x14ac:dyDescent="0.25">
      <c r="A110" s="8"/>
      <c r="B110" s="8"/>
      <c r="C110" s="8"/>
      <c r="D110" s="9"/>
      <c r="E110" s="9"/>
      <c r="F110" s="8"/>
      <c r="G110" s="10">
        <f>SUMIFS(Purchases!$D:$D,Purchases!$C:$C,$A110)</f>
      </c>
      <c r="H110" s="10">
        <f>SUMIFS('Sales Log'!$D:$D,'Sales Log'!$C:$C,$A110)</f>
      </c>
      <c r="I110" s="10">
        <f>SUMIFS('Daily Stock Count'!$F:$F,'Daily Stock Count'!$B:$B,$A110)</f>
      </c>
      <c r="J110" s="10">
        <f>F110+G110-H110-I110</f>
      </c>
      <c r="K110" s="8"/>
      <c r="L110" s="11">
        <f>IF(J110&lt;=K110,"REORDER","OK")</f>
      </c>
    </row>
    <row r="111" ht="21" customHeight="1" spans="1:12" x14ac:dyDescent="0.25">
      <c r="A111" s="8"/>
      <c r="B111" s="8"/>
      <c r="C111" s="8"/>
      <c r="D111" s="9"/>
      <c r="E111" s="9"/>
      <c r="F111" s="8"/>
      <c r="G111" s="10">
        <f>SUMIFS(Purchases!$D:$D,Purchases!$C:$C,$A111)</f>
      </c>
      <c r="H111" s="10">
        <f>SUMIFS('Sales Log'!$D:$D,'Sales Log'!$C:$C,$A111)</f>
      </c>
      <c r="I111" s="10">
        <f>SUMIFS('Daily Stock Count'!$F:$F,'Daily Stock Count'!$B:$B,$A111)</f>
      </c>
      <c r="J111" s="10">
        <f>F111+G111-H111-I111</f>
      </c>
      <c r="K111" s="8"/>
      <c r="L111" s="11">
        <f>IF(J111&lt;=K111,"REORDER","OK")</f>
      </c>
    </row>
    <row r="112" ht="21" customHeight="1" spans="1:12" x14ac:dyDescent="0.25">
      <c r="A112" s="8"/>
      <c r="B112" s="8"/>
      <c r="C112" s="8"/>
      <c r="D112" s="9"/>
      <c r="E112" s="9"/>
      <c r="F112" s="8"/>
      <c r="G112" s="10">
        <f>SUMIFS(Purchases!$D:$D,Purchases!$C:$C,$A112)</f>
      </c>
      <c r="H112" s="10">
        <f>SUMIFS('Sales Log'!$D:$D,'Sales Log'!$C:$C,$A112)</f>
      </c>
      <c r="I112" s="10">
        <f>SUMIFS('Daily Stock Count'!$F:$F,'Daily Stock Count'!$B:$B,$A112)</f>
      </c>
      <c r="J112" s="10">
        <f>F112+G112-H112-I112</f>
      </c>
      <c r="K112" s="8"/>
      <c r="L112" s="11">
        <f>IF(J112&lt;=K112,"REORDER","OK")</f>
      </c>
    </row>
    <row r="113" ht="21" customHeight="1" spans="1:12" x14ac:dyDescent="0.25">
      <c r="A113" s="8"/>
      <c r="B113" s="8"/>
      <c r="C113" s="8"/>
      <c r="D113" s="9"/>
      <c r="E113" s="9"/>
      <c r="F113" s="8"/>
      <c r="G113" s="10">
        <f>SUMIFS(Purchases!$D:$D,Purchases!$C:$C,$A113)</f>
      </c>
      <c r="H113" s="10">
        <f>SUMIFS('Sales Log'!$D:$D,'Sales Log'!$C:$C,$A113)</f>
      </c>
      <c r="I113" s="10">
        <f>SUMIFS('Daily Stock Count'!$F:$F,'Daily Stock Count'!$B:$B,$A113)</f>
      </c>
      <c r="J113" s="10">
        <f>F113+G113-H113-I113</f>
      </c>
      <c r="K113" s="8"/>
      <c r="L113" s="11">
        <f>IF(J113&lt;=K113,"REORDER","OK")</f>
      </c>
    </row>
    <row r="114" ht="21" customHeight="1" spans="1:12" x14ac:dyDescent="0.25">
      <c r="A114" s="8"/>
      <c r="B114" s="8"/>
      <c r="C114" s="8"/>
      <c r="D114" s="9"/>
      <c r="E114" s="9"/>
      <c r="F114" s="8"/>
      <c r="G114" s="10">
        <f>SUMIFS(Purchases!$D:$D,Purchases!$C:$C,$A114)</f>
      </c>
      <c r="H114" s="10">
        <f>SUMIFS('Sales Log'!$D:$D,'Sales Log'!$C:$C,$A114)</f>
      </c>
      <c r="I114" s="10">
        <f>SUMIFS('Daily Stock Count'!$F:$F,'Daily Stock Count'!$B:$B,$A114)</f>
      </c>
      <c r="J114" s="10">
        <f>F114+G114-H114-I114</f>
      </c>
      <c r="K114" s="8"/>
      <c r="L114" s="11">
        <f>IF(J114&lt;=K114,"REORDER","OK")</f>
      </c>
    </row>
    <row r="115" ht="21" customHeight="1" spans="1:12" x14ac:dyDescent="0.25">
      <c r="A115" s="8"/>
      <c r="B115" s="8"/>
      <c r="C115" s="8"/>
      <c r="D115" s="9"/>
      <c r="E115" s="9"/>
      <c r="F115" s="8"/>
      <c r="G115" s="10">
        <f>SUMIFS(Purchases!$D:$D,Purchases!$C:$C,$A115)</f>
      </c>
      <c r="H115" s="10">
        <f>SUMIFS('Sales Log'!$D:$D,'Sales Log'!$C:$C,$A115)</f>
      </c>
      <c r="I115" s="10">
        <f>SUMIFS('Daily Stock Count'!$F:$F,'Daily Stock Count'!$B:$B,$A115)</f>
      </c>
      <c r="J115" s="10">
        <f>F115+G115-H115-I115</f>
      </c>
      <c r="K115" s="8"/>
      <c r="L115" s="11">
        <f>IF(J115&lt;=K115,"REORDER","OK")</f>
      </c>
    </row>
    <row r="116" ht="21" customHeight="1" spans="1:12" x14ac:dyDescent="0.25">
      <c r="A116" s="8"/>
      <c r="B116" s="8"/>
      <c r="C116" s="8"/>
      <c r="D116" s="9"/>
      <c r="E116" s="9"/>
      <c r="F116" s="8"/>
      <c r="G116" s="10">
        <f>SUMIFS(Purchases!$D:$D,Purchases!$C:$C,$A116)</f>
      </c>
      <c r="H116" s="10">
        <f>SUMIFS('Sales Log'!$D:$D,'Sales Log'!$C:$C,$A116)</f>
      </c>
      <c r="I116" s="10">
        <f>SUMIFS('Daily Stock Count'!$F:$F,'Daily Stock Count'!$B:$B,$A116)</f>
      </c>
      <c r="J116" s="10">
        <f>F116+G116-H116-I116</f>
      </c>
      <c r="K116" s="8"/>
      <c r="L116" s="11">
        <f>IF(J116&lt;=K116,"REORDER","OK")</f>
      </c>
    </row>
    <row r="117" ht="21" customHeight="1" spans="1:12" x14ac:dyDescent="0.25">
      <c r="A117" s="8"/>
      <c r="B117" s="8"/>
      <c r="C117" s="8"/>
      <c r="D117" s="9"/>
      <c r="E117" s="9"/>
      <c r="F117" s="8"/>
      <c r="G117" s="10">
        <f>SUMIFS(Purchases!$D:$D,Purchases!$C:$C,$A117)</f>
      </c>
      <c r="H117" s="10">
        <f>SUMIFS('Sales Log'!$D:$D,'Sales Log'!$C:$C,$A117)</f>
      </c>
      <c r="I117" s="10">
        <f>SUMIFS('Daily Stock Count'!$F:$F,'Daily Stock Count'!$B:$B,$A117)</f>
      </c>
      <c r="J117" s="10">
        <f>F117+G117-H117-I117</f>
      </c>
      <c r="K117" s="8"/>
      <c r="L117" s="11">
        <f>IF(J117&lt;=K117,"REORDER","OK")</f>
      </c>
    </row>
    <row r="118" ht="21" customHeight="1" spans="1:12" x14ac:dyDescent="0.25">
      <c r="A118" s="8"/>
      <c r="B118" s="8"/>
      <c r="C118" s="8"/>
      <c r="D118" s="9"/>
      <c r="E118" s="9"/>
      <c r="F118" s="8"/>
      <c r="G118" s="10">
        <f>SUMIFS(Purchases!$D:$D,Purchases!$C:$C,$A118)</f>
      </c>
      <c r="H118" s="10">
        <f>SUMIFS('Sales Log'!$D:$D,'Sales Log'!$C:$C,$A118)</f>
      </c>
      <c r="I118" s="10">
        <f>SUMIFS('Daily Stock Count'!$F:$F,'Daily Stock Count'!$B:$B,$A118)</f>
      </c>
      <c r="J118" s="10">
        <f>F118+G118-H118-I118</f>
      </c>
      <c r="K118" s="8"/>
      <c r="L118" s="11">
        <f>IF(J118&lt;=K118,"REORDER","OK")</f>
      </c>
    </row>
    <row r="119" ht="21" customHeight="1" spans="1:12" x14ac:dyDescent="0.25">
      <c r="A119" s="8"/>
      <c r="B119" s="8"/>
      <c r="C119" s="8"/>
      <c r="D119" s="9"/>
      <c r="E119" s="9"/>
      <c r="F119" s="8"/>
      <c r="G119" s="10">
        <f>SUMIFS(Purchases!$D:$D,Purchases!$C:$C,$A119)</f>
      </c>
      <c r="H119" s="10">
        <f>SUMIFS('Sales Log'!$D:$D,'Sales Log'!$C:$C,$A119)</f>
      </c>
      <c r="I119" s="10">
        <f>SUMIFS('Daily Stock Count'!$F:$F,'Daily Stock Count'!$B:$B,$A119)</f>
      </c>
      <c r="J119" s="10">
        <f>F119+G119-H119-I119</f>
      </c>
      <c r="K119" s="8"/>
      <c r="L119" s="11">
        <f>IF(J119&lt;=K119,"REORDER","OK")</f>
      </c>
    </row>
    <row r="120" ht="21" customHeight="1" spans="1:12" x14ac:dyDescent="0.25">
      <c r="A120" s="8"/>
      <c r="B120" s="8"/>
      <c r="C120" s="8"/>
      <c r="D120" s="9"/>
      <c r="E120" s="9"/>
      <c r="F120" s="8"/>
      <c r="G120" s="10">
        <f>SUMIFS(Purchases!$D:$D,Purchases!$C:$C,$A120)</f>
      </c>
      <c r="H120" s="10">
        <f>SUMIFS('Sales Log'!$D:$D,'Sales Log'!$C:$C,$A120)</f>
      </c>
      <c r="I120" s="10">
        <f>SUMIFS('Daily Stock Count'!$F:$F,'Daily Stock Count'!$B:$B,$A120)</f>
      </c>
      <c r="J120" s="10">
        <f>F120+G120-H120-I120</f>
      </c>
      <c r="K120" s="8"/>
      <c r="L120" s="11">
        <f>IF(J120&lt;=K120,"REORDER","OK")</f>
      </c>
    </row>
    <row r="121" ht="21" customHeight="1" spans="1:12" x14ac:dyDescent="0.25">
      <c r="A121" s="8"/>
      <c r="B121" s="8"/>
      <c r="C121" s="8"/>
      <c r="D121" s="9"/>
      <c r="E121" s="9"/>
      <c r="F121" s="8"/>
      <c r="G121" s="10">
        <f>SUMIFS(Purchases!$D:$D,Purchases!$C:$C,$A121)</f>
      </c>
      <c r="H121" s="10">
        <f>SUMIFS('Sales Log'!$D:$D,'Sales Log'!$C:$C,$A121)</f>
      </c>
      <c r="I121" s="10">
        <f>SUMIFS('Daily Stock Count'!$F:$F,'Daily Stock Count'!$B:$B,$A121)</f>
      </c>
      <c r="J121" s="10">
        <f>F121+G121-H121-I121</f>
      </c>
      <c r="K121" s="8"/>
      <c r="L121" s="11">
        <f>IF(J121&lt;=K121,"REORDER","OK")</f>
      </c>
    </row>
    <row r="122" ht="21" customHeight="1" spans="1:12" x14ac:dyDescent="0.25">
      <c r="A122" s="8"/>
      <c r="B122" s="8"/>
      <c r="C122" s="8"/>
      <c r="D122" s="9"/>
      <c r="E122" s="9"/>
      <c r="F122" s="8"/>
      <c r="G122" s="10">
        <f>SUMIFS(Purchases!$D:$D,Purchases!$C:$C,$A122)</f>
      </c>
      <c r="H122" s="10">
        <f>SUMIFS('Sales Log'!$D:$D,'Sales Log'!$C:$C,$A122)</f>
      </c>
      <c r="I122" s="10">
        <f>SUMIFS('Daily Stock Count'!$F:$F,'Daily Stock Count'!$B:$B,$A122)</f>
      </c>
      <c r="J122" s="10">
        <f>F122+G122-H122-I122</f>
      </c>
      <c r="K122" s="8"/>
      <c r="L122" s="11">
        <f>IF(J122&lt;=K122,"REORDER","OK")</f>
      </c>
    </row>
    <row r="123" ht="21" customHeight="1" spans="1:12" x14ac:dyDescent="0.25">
      <c r="A123" s="8"/>
      <c r="B123" s="8"/>
      <c r="C123" s="8"/>
      <c r="D123" s="9"/>
      <c r="E123" s="9"/>
      <c r="F123" s="8"/>
      <c r="G123" s="10">
        <f>SUMIFS(Purchases!$D:$D,Purchases!$C:$C,$A123)</f>
      </c>
      <c r="H123" s="10">
        <f>SUMIFS('Sales Log'!$D:$D,'Sales Log'!$C:$C,$A123)</f>
      </c>
      <c r="I123" s="10">
        <f>SUMIFS('Daily Stock Count'!$F:$F,'Daily Stock Count'!$B:$B,$A123)</f>
      </c>
      <c r="J123" s="10">
        <f>F123+G123-H123-I123</f>
      </c>
      <c r="K123" s="8"/>
      <c r="L123" s="11">
        <f>IF(J123&lt;=K123,"REORDER","OK")</f>
      </c>
    </row>
    <row r="124" ht="21" customHeight="1" spans="1:12" x14ac:dyDescent="0.25">
      <c r="A124" s="8"/>
      <c r="B124" s="8"/>
      <c r="C124" s="8"/>
      <c r="D124" s="9"/>
      <c r="E124" s="9"/>
      <c r="F124" s="8"/>
      <c r="G124" s="10">
        <f>SUMIFS(Purchases!$D:$D,Purchases!$C:$C,$A124)</f>
      </c>
      <c r="H124" s="10">
        <f>SUMIFS('Sales Log'!$D:$D,'Sales Log'!$C:$C,$A124)</f>
      </c>
      <c r="I124" s="10">
        <f>SUMIFS('Daily Stock Count'!$F:$F,'Daily Stock Count'!$B:$B,$A124)</f>
      </c>
      <c r="J124" s="10">
        <f>F124+G124-H124-I124</f>
      </c>
      <c r="K124" s="8"/>
      <c r="L124" s="11">
        <f>IF(J124&lt;=K124,"REORDER","OK")</f>
      </c>
    </row>
    <row r="125" ht="21" customHeight="1" spans="1:12" x14ac:dyDescent="0.25">
      <c r="A125" s="8"/>
      <c r="B125" s="8"/>
      <c r="C125" s="8"/>
      <c r="D125" s="9"/>
      <c r="E125" s="9"/>
      <c r="F125" s="8"/>
      <c r="G125" s="10">
        <f>SUMIFS(Purchases!$D:$D,Purchases!$C:$C,$A125)</f>
      </c>
      <c r="H125" s="10">
        <f>SUMIFS('Sales Log'!$D:$D,'Sales Log'!$C:$C,$A125)</f>
      </c>
      <c r="I125" s="10">
        <f>SUMIFS('Daily Stock Count'!$F:$F,'Daily Stock Count'!$B:$B,$A125)</f>
      </c>
      <c r="J125" s="10">
        <f>F125+G125-H125-I125</f>
      </c>
      <c r="K125" s="8"/>
      <c r="L125" s="11">
        <f>IF(J125&lt;=K125,"REORDER","OK")</f>
      </c>
    </row>
    <row r="126" ht="21" customHeight="1" spans="1:12" x14ac:dyDescent="0.25">
      <c r="A126" s="8"/>
      <c r="B126" s="8"/>
      <c r="C126" s="8"/>
      <c r="D126" s="9"/>
      <c r="E126" s="9"/>
      <c r="F126" s="8"/>
      <c r="G126" s="10">
        <f>SUMIFS(Purchases!$D:$D,Purchases!$C:$C,$A126)</f>
      </c>
      <c r="H126" s="10">
        <f>SUMIFS('Sales Log'!$D:$D,'Sales Log'!$C:$C,$A126)</f>
      </c>
      <c r="I126" s="10">
        <f>SUMIFS('Daily Stock Count'!$F:$F,'Daily Stock Count'!$B:$B,$A126)</f>
      </c>
      <c r="J126" s="10">
        <f>F126+G126-H126-I126</f>
      </c>
      <c r="K126" s="8"/>
      <c r="L126" s="11">
        <f>IF(J126&lt;=K126,"REORDER","OK")</f>
      </c>
    </row>
    <row r="127" ht="21" customHeight="1" spans="1:12" x14ac:dyDescent="0.25">
      <c r="A127" s="8"/>
      <c r="B127" s="8"/>
      <c r="C127" s="8"/>
      <c r="D127" s="9"/>
      <c r="E127" s="9"/>
      <c r="F127" s="8"/>
      <c r="G127" s="10">
        <f>SUMIFS(Purchases!$D:$D,Purchases!$C:$C,$A127)</f>
      </c>
      <c r="H127" s="10">
        <f>SUMIFS('Sales Log'!$D:$D,'Sales Log'!$C:$C,$A127)</f>
      </c>
      <c r="I127" s="10">
        <f>SUMIFS('Daily Stock Count'!$F:$F,'Daily Stock Count'!$B:$B,$A127)</f>
      </c>
      <c r="J127" s="10">
        <f>F127+G127-H127-I127</f>
      </c>
      <c r="K127" s="8"/>
      <c r="L127" s="11">
        <f>IF(J127&lt;=K127,"REORDER","OK")</f>
      </c>
    </row>
    <row r="128" ht="21" customHeight="1" spans="1:12" x14ac:dyDescent="0.25">
      <c r="A128" s="8"/>
      <c r="B128" s="8"/>
      <c r="C128" s="8"/>
      <c r="D128" s="9"/>
      <c r="E128" s="9"/>
      <c r="F128" s="8"/>
      <c r="G128" s="10">
        <f>SUMIFS(Purchases!$D:$D,Purchases!$C:$C,$A128)</f>
      </c>
      <c r="H128" s="10">
        <f>SUMIFS('Sales Log'!$D:$D,'Sales Log'!$C:$C,$A128)</f>
      </c>
      <c r="I128" s="10">
        <f>SUMIFS('Daily Stock Count'!$F:$F,'Daily Stock Count'!$B:$B,$A128)</f>
      </c>
      <c r="J128" s="10">
        <f>F128+G128-H128-I128</f>
      </c>
      <c r="K128" s="8"/>
      <c r="L128" s="11">
        <f>IF(J128&lt;=K128,"REORDER","OK")</f>
      </c>
    </row>
    <row r="129" ht="21" customHeight="1" spans="1:12" x14ac:dyDescent="0.25">
      <c r="A129" s="8"/>
      <c r="B129" s="8"/>
      <c r="C129" s="8"/>
      <c r="D129" s="9"/>
      <c r="E129" s="9"/>
      <c r="F129" s="8"/>
      <c r="G129" s="10">
        <f>SUMIFS(Purchases!$D:$D,Purchases!$C:$C,$A129)</f>
      </c>
      <c r="H129" s="10">
        <f>SUMIFS('Sales Log'!$D:$D,'Sales Log'!$C:$C,$A129)</f>
      </c>
      <c r="I129" s="10">
        <f>SUMIFS('Daily Stock Count'!$F:$F,'Daily Stock Count'!$B:$B,$A129)</f>
      </c>
      <c r="J129" s="10">
        <f>F129+G129-H129-I129</f>
      </c>
      <c r="K129" s="8"/>
      <c r="L129" s="11">
        <f>IF(J129&lt;=K129,"REORDER","OK")</f>
      </c>
    </row>
    <row r="130" ht="21" customHeight="1" spans="1:12" x14ac:dyDescent="0.25">
      <c r="A130" s="8"/>
      <c r="B130" s="8"/>
      <c r="C130" s="8"/>
      <c r="D130" s="9"/>
      <c r="E130" s="9"/>
      <c r="F130" s="8"/>
      <c r="G130" s="10">
        <f>SUMIFS(Purchases!$D:$D,Purchases!$C:$C,$A130)</f>
      </c>
      <c r="H130" s="10">
        <f>SUMIFS('Sales Log'!$D:$D,'Sales Log'!$C:$C,$A130)</f>
      </c>
      <c r="I130" s="10">
        <f>SUMIFS('Daily Stock Count'!$F:$F,'Daily Stock Count'!$B:$B,$A130)</f>
      </c>
      <c r="J130" s="10">
        <f>F130+G130-H130-I130</f>
      </c>
      <c r="K130" s="8"/>
      <c r="L130" s="11">
        <f>IF(J130&lt;=K130,"REORDER","OK")</f>
      </c>
    </row>
    <row r="131" ht="21" customHeight="1" spans="1:12" x14ac:dyDescent="0.25">
      <c r="A131" s="8"/>
      <c r="B131" s="8"/>
      <c r="C131" s="8"/>
      <c r="D131" s="9"/>
      <c r="E131" s="9"/>
      <c r="F131" s="8"/>
      <c r="G131" s="10">
        <f>SUMIFS(Purchases!$D:$D,Purchases!$C:$C,$A131)</f>
      </c>
      <c r="H131" s="10">
        <f>SUMIFS('Sales Log'!$D:$D,'Sales Log'!$C:$C,$A131)</f>
      </c>
      <c r="I131" s="10">
        <f>SUMIFS('Daily Stock Count'!$F:$F,'Daily Stock Count'!$B:$B,$A131)</f>
      </c>
      <c r="J131" s="10">
        <f>F131+G131-H131-I131</f>
      </c>
      <c r="K131" s="8"/>
      <c r="L131" s="11">
        <f>IF(J131&lt;=K131,"REORDER","OK")</f>
      </c>
    </row>
    <row r="132" ht="21" customHeight="1" spans="1:12" x14ac:dyDescent="0.25">
      <c r="A132" s="8"/>
      <c r="B132" s="8"/>
      <c r="C132" s="8"/>
      <c r="D132" s="9"/>
      <c r="E132" s="9"/>
      <c r="F132" s="8"/>
      <c r="G132" s="10">
        <f>SUMIFS(Purchases!$D:$D,Purchases!$C:$C,$A132)</f>
      </c>
      <c r="H132" s="10">
        <f>SUMIFS('Sales Log'!$D:$D,'Sales Log'!$C:$C,$A132)</f>
      </c>
      <c r="I132" s="10">
        <f>SUMIFS('Daily Stock Count'!$F:$F,'Daily Stock Count'!$B:$B,$A132)</f>
      </c>
      <c r="J132" s="10">
        <f>F132+G132-H132-I132</f>
      </c>
      <c r="K132" s="8"/>
      <c r="L132" s="11">
        <f>IF(J132&lt;=K132,"REORDER","OK")</f>
      </c>
    </row>
    <row r="133" ht="21" customHeight="1" spans="1:12" x14ac:dyDescent="0.25">
      <c r="A133" s="8"/>
      <c r="B133" s="8"/>
      <c r="C133" s="8"/>
      <c r="D133" s="9"/>
      <c r="E133" s="9"/>
      <c r="F133" s="8"/>
      <c r="G133" s="10">
        <f>SUMIFS(Purchases!$D:$D,Purchases!$C:$C,$A133)</f>
      </c>
      <c r="H133" s="10">
        <f>SUMIFS('Sales Log'!$D:$D,'Sales Log'!$C:$C,$A133)</f>
      </c>
      <c r="I133" s="10">
        <f>SUMIFS('Daily Stock Count'!$F:$F,'Daily Stock Count'!$B:$B,$A133)</f>
      </c>
      <c r="J133" s="10">
        <f>F133+G133-H133-I133</f>
      </c>
      <c r="K133" s="8"/>
      <c r="L133" s="11">
        <f>IF(J133&lt;=K133,"REORDER","OK")</f>
      </c>
    </row>
    <row r="134" ht="21" customHeight="1" spans="1:12" x14ac:dyDescent="0.25">
      <c r="A134" s="8"/>
      <c r="B134" s="8"/>
      <c r="C134" s="8"/>
      <c r="D134" s="9"/>
      <c r="E134" s="9"/>
      <c r="F134" s="8"/>
      <c r="G134" s="10">
        <f>SUMIFS(Purchases!$D:$D,Purchases!$C:$C,$A134)</f>
      </c>
      <c r="H134" s="10">
        <f>SUMIFS('Sales Log'!$D:$D,'Sales Log'!$C:$C,$A134)</f>
      </c>
      <c r="I134" s="10">
        <f>SUMIFS('Daily Stock Count'!$F:$F,'Daily Stock Count'!$B:$B,$A134)</f>
      </c>
      <c r="J134" s="10">
        <f>F134+G134-H134-I134</f>
      </c>
      <c r="K134" s="8"/>
      <c r="L134" s="11">
        <f>IF(J134&lt;=K134,"REORDER","OK")</f>
      </c>
    </row>
    <row r="135" ht="21" customHeight="1" spans="1:12" x14ac:dyDescent="0.25">
      <c r="A135" s="8"/>
      <c r="B135" s="8"/>
      <c r="C135" s="8"/>
      <c r="D135" s="9"/>
      <c r="E135" s="9"/>
      <c r="F135" s="8"/>
      <c r="G135" s="10">
        <f>SUMIFS(Purchases!$D:$D,Purchases!$C:$C,$A135)</f>
      </c>
      <c r="H135" s="10">
        <f>SUMIFS('Sales Log'!$D:$D,'Sales Log'!$C:$C,$A135)</f>
      </c>
      <c r="I135" s="10">
        <f>SUMIFS('Daily Stock Count'!$F:$F,'Daily Stock Count'!$B:$B,$A135)</f>
      </c>
      <c r="J135" s="10">
        <f>F135+G135-H135-I135</f>
      </c>
      <c r="K135" s="8"/>
      <c r="L135" s="11">
        <f>IF(J135&lt;=K135,"REORDER","OK")</f>
      </c>
    </row>
    <row r="136" ht="21" customHeight="1" spans="1:12" x14ac:dyDescent="0.25">
      <c r="A136" s="8"/>
      <c r="B136" s="8"/>
      <c r="C136" s="8"/>
      <c r="D136" s="9"/>
      <c r="E136" s="9"/>
      <c r="F136" s="8"/>
      <c r="G136" s="10">
        <f>SUMIFS(Purchases!$D:$D,Purchases!$C:$C,$A136)</f>
      </c>
      <c r="H136" s="10">
        <f>SUMIFS('Sales Log'!$D:$D,'Sales Log'!$C:$C,$A136)</f>
      </c>
      <c r="I136" s="10">
        <f>SUMIFS('Daily Stock Count'!$F:$F,'Daily Stock Count'!$B:$B,$A136)</f>
      </c>
      <c r="J136" s="10">
        <f>F136+G136-H136-I136</f>
      </c>
      <c r="K136" s="8"/>
      <c r="L136" s="11">
        <f>IF(J136&lt;=K136,"REORDER","OK")</f>
      </c>
    </row>
    <row r="137" ht="21" customHeight="1" spans="1:12" x14ac:dyDescent="0.25">
      <c r="A137" s="8"/>
      <c r="B137" s="8"/>
      <c r="C137" s="8"/>
      <c r="D137" s="9"/>
      <c r="E137" s="9"/>
      <c r="F137" s="8"/>
      <c r="G137" s="10">
        <f>SUMIFS(Purchases!$D:$D,Purchases!$C:$C,$A137)</f>
      </c>
      <c r="H137" s="10">
        <f>SUMIFS('Sales Log'!$D:$D,'Sales Log'!$C:$C,$A137)</f>
      </c>
      <c r="I137" s="10">
        <f>SUMIFS('Daily Stock Count'!$F:$F,'Daily Stock Count'!$B:$B,$A137)</f>
      </c>
      <c r="J137" s="10">
        <f>F137+G137-H137-I137</f>
      </c>
      <c r="K137" s="8"/>
      <c r="L137" s="11">
        <f>IF(J137&lt;=K137,"REORDER","OK")</f>
      </c>
    </row>
    <row r="138" ht="21" customHeight="1" spans="1:12" x14ac:dyDescent="0.25">
      <c r="A138" s="8"/>
      <c r="B138" s="8"/>
      <c r="C138" s="8"/>
      <c r="D138" s="9"/>
      <c r="E138" s="9"/>
      <c r="F138" s="8"/>
      <c r="G138" s="10">
        <f>SUMIFS(Purchases!$D:$D,Purchases!$C:$C,$A138)</f>
      </c>
      <c r="H138" s="10">
        <f>SUMIFS('Sales Log'!$D:$D,'Sales Log'!$C:$C,$A138)</f>
      </c>
      <c r="I138" s="10">
        <f>SUMIFS('Daily Stock Count'!$F:$F,'Daily Stock Count'!$B:$B,$A138)</f>
      </c>
      <c r="J138" s="10">
        <f>F138+G138-H138-I138</f>
      </c>
      <c r="K138" s="8"/>
      <c r="L138" s="11">
        <f>IF(J138&lt;=K138,"REORDER","OK")</f>
      </c>
    </row>
    <row r="139" ht="21" customHeight="1" spans="1:12" x14ac:dyDescent="0.25">
      <c r="A139" s="8"/>
      <c r="B139" s="8"/>
      <c r="C139" s="8"/>
      <c r="D139" s="9"/>
      <c r="E139" s="9"/>
      <c r="F139" s="8"/>
      <c r="G139" s="10">
        <f>SUMIFS(Purchases!$D:$D,Purchases!$C:$C,$A139)</f>
      </c>
      <c r="H139" s="10">
        <f>SUMIFS('Sales Log'!$D:$D,'Sales Log'!$C:$C,$A139)</f>
      </c>
      <c r="I139" s="10">
        <f>SUMIFS('Daily Stock Count'!$F:$F,'Daily Stock Count'!$B:$B,$A139)</f>
      </c>
      <c r="J139" s="10">
        <f>F139+G139-H139-I139</f>
      </c>
      <c r="K139" s="8"/>
      <c r="L139" s="11">
        <f>IF(J139&lt;=K139,"REORDER","OK")</f>
      </c>
    </row>
    <row r="140" ht="21" customHeight="1" spans="1:12" x14ac:dyDescent="0.25">
      <c r="A140" s="8"/>
      <c r="B140" s="8"/>
      <c r="C140" s="8"/>
      <c r="D140" s="9"/>
      <c r="E140" s="9"/>
      <c r="F140" s="8"/>
      <c r="G140" s="10">
        <f>SUMIFS(Purchases!$D:$D,Purchases!$C:$C,$A140)</f>
      </c>
      <c r="H140" s="10">
        <f>SUMIFS('Sales Log'!$D:$D,'Sales Log'!$C:$C,$A140)</f>
      </c>
      <c r="I140" s="10">
        <f>SUMIFS('Daily Stock Count'!$F:$F,'Daily Stock Count'!$B:$B,$A140)</f>
      </c>
      <c r="J140" s="10">
        <f>F140+G140-H140-I140</f>
      </c>
      <c r="K140" s="8"/>
      <c r="L140" s="11">
        <f>IF(J140&lt;=K140,"REORDER","OK")</f>
      </c>
    </row>
    <row r="141" ht="21" customHeight="1" spans="1:12" x14ac:dyDescent="0.25">
      <c r="A141" s="8"/>
      <c r="B141" s="8"/>
      <c r="C141" s="8"/>
      <c r="D141" s="9"/>
      <c r="E141" s="9"/>
      <c r="F141" s="8"/>
      <c r="G141" s="10">
        <f>SUMIFS(Purchases!$D:$D,Purchases!$C:$C,$A141)</f>
      </c>
      <c r="H141" s="10">
        <f>SUMIFS('Sales Log'!$D:$D,'Sales Log'!$C:$C,$A141)</f>
      </c>
      <c r="I141" s="10">
        <f>SUMIFS('Daily Stock Count'!$F:$F,'Daily Stock Count'!$B:$B,$A141)</f>
      </c>
      <c r="J141" s="10">
        <f>F141+G141-H141-I141</f>
      </c>
      <c r="K141" s="8"/>
      <c r="L141" s="11">
        <f>IF(J141&lt;=K141,"REORDER","OK")</f>
      </c>
    </row>
    <row r="142" ht="21" customHeight="1" spans="1:12" x14ac:dyDescent="0.25">
      <c r="A142" s="8"/>
      <c r="B142" s="8"/>
      <c r="C142" s="8"/>
      <c r="D142" s="9"/>
      <c r="E142" s="9"/>
      <c r="F142" s="8"/>
      <c r="G142" s="10">
        <f>SUMIFS(Purchases!$D:$D,Purchases!$C:$C,$A142)</f>
      </c>
      <c r="H142" s="10">
        <f>SUMIFS('Sales Log'!$D:$D,'Sales Log'!$C:$C,$A142)</f>
      </c>
      <c r="I142" s="10">
        <f>SUMIFS('Daily Stock Count'!$F:$F,'Daily Stock Count'!$B:$B,$A142)</f>
      </c>
      <c r="J142" s="10">
        <f>F142+G142-H142-I142</f>
      </c>
      <c r="K142" s="8"/>
      <c r="L142" s="11">
        <f>IF(J142&lt;=K142,"REORDER","OK")</f>
      </c>
    </row>
    <row r="143" ht="21" customHeight="1" spans="1:12" x14ac:dyDescent="0.25">
      <c r="A143" s="8"/>
      <c r="B143" s="8"/>
      <c r="C143" s="8"/>
      <c r="D143" s="9"/>
      <c r="E143" s="9"/>
      <c r="F143" s="8"/>
      <c r="G143" s="10">
        <f>SUMIFS(Purchases!$D:$D,Purchases!$C:$C,$A143)</f>
      </c>
      <c r="H143" s="10">
        <f>SUMIFS('Sales Log'!$D:$D,'Sales Log'!$C:$C,$A143)</f>
      </c>
      <c r="I143" s="10">
        <f>SUMIFS('Daily Stock Count'!$F:$F,'Daily Stock Count'!$B:$B,$A143)</f>
      </c>
      <c r="J143" s="10">
        <f>F143+G143-H143-I143</f>
      </c>
      <c r="K143" s="8"/>
      <c r="L143" s="11">
        <f>IF(J143&lt;=K143,"REORDER","OK")</f>
      </c>
    </row>
    <row r="144" ht="21" customHeight="1" spans="1:12" x14ac:dyDescent="0.25">
      <c r="A144" s="8"/>
      <c r="B144" s="8"/>
      <c r="C144" s="8"/>
      <c r="D144" s="9"/>
      <c r="E144" s="9"/>
      <c r="F144" s="8"/>
      <c r="G144" s="10">
        <f>SUMIFS(Purchases!$D:$D,Purchases!$C:$C,$A144)</f>
      </c>
      <c r="H144" s="10">
        <f>SUMIFS('Sales Log'!$D:$D,'Sales Log'!$C:$C,$A144)</f>
      </c>
      <c r="I144" s="10">
        <f>SUMIFS('Daily Stock Count'!$F:$F,'Daily Stock Count'!$B:$B,$A144)</f>
      </c>
      <c r="J144" s="10">
        <f>F144+G144-H144-I144</f>
      </c>
      <c r="K144" s="8"/>
      <c r="L144" s="11">
        <f>IF(J144&lt;=K144,"REORDER","OK")</f>
      </c>
    </row>
    <row r="145" ht="21" customHeight="1" spans="1:12" x14ac:dyDescent="0.25">
      <c r="A145" s="8"/>
      <c r="B145" s="8"/>
      <c r="C145" s="8"/>
      <c r="D145" s="9"/>
      <c r="E145" s="9"/>
      <c r="F145" s="8"/>
      <c r="G145" s="10">
        <f>SUMIFS(Purchases!$D:$D,Purchases!$C:$C,$A145)</f>
      </c>
      <c r="H145" s="10">
        <f>SUMIFS('Sales Log'!$D:$D,'Sales Log'!$C:$C,$A145)</f>
      </c>
      <c r="I145" s="10">
        <f>SUMIFS('Daily Stock Count'!$F:$F,'Daily Stock Count'!$B:$B,$A145)</f>
      </c>
      <c r="J145" s="10">
        <f>F145+G145-H145-I145</f>
      </c>
      <c r="K145" s="8"/>
      <c r="L145" s="11">
        <f>IF(J145&lt;=K145,"REORDER","OK")</f>
      </c>
    </row>
    <row r="146" ht="21" customHeight="1" spans="1:12" x14ac:dyDescent="0.25">
      <c r="A146" s="8"/>
      <c r="B146" s="8"/>
      <c r="C146" s="8"/>
      <c r="D146" s="9"/>
      <c r="E146" s="9"/>
      <c r="F146" s="8"/>
      <c r="G146" s="10">
        <f>SUMIFS(Purchases!$D:$D,Purchases!$C:$C,$A146)</f>
      </c>
      <c r="H146" s="10">
        <f>SUMIFS('Sales Log'!$D:$D,'Sales Log'!$C:$C,$A146)</f>
      </c>
      <c r="I146" s="10">
        <f>SUMIFS('Daily Stock Count'!$F:$F,'Daily Stock Count'!$B:$B,$A146)</f>
      </c>
      <c r="J146" s="10">
        <f>F146+G146-H146-I146</f>
      </c>
      <c r="K146" s="8"/>
      <c r="L146" s="11">
        <f>IF(J146&lt;=K146,"REORDER","OK")</f>
      </c>
    </row>
    <row r="147" ht="21" customHeight="1" spans="1:12" x14ac:dyDescent="0.25">
      <c r="A147" s="8"/>
      <c r="B147" s="8"/>
      <c r="C147" s="8"/>
      <c r="D147" s="9"/>
      <c r="E147" s="9"/>
      <c r="F147" s="8"/>
      <c r="G147" s="10">
        <f>SUMIFS(Purchases!$D:$D,Purchases!$C:$C,$A147)</f>
      </c>
      <c r="H147" s="10">
        <f>SUMIFS('Sales Log'!$D:$D,'Sales Log'!$C:$C,$A147)</f>
      </c>
      <c r="I147" s="10">
        <f>SUMIFS('Daily Stock Count'!$F:$F,'Daily Stock Count'!$B:$B,$A147)</f>
      </c>
      <c r="J147" s="10">
        <f>F147+G147-H147-I147</f>
      </c>
      <c r="K147" s="8"/>
      <c r="L147" s="11">
        <f>IF(J147&lt;=K147,"REORDER","OK")</f>
      </c>
    </row>
    <row r="148" ht="21" customHeight="1" spans="1:12" x14ac:dyDescent="0.25">
      <c r="A148" s="8"/>
      <c r="B148" s="8"/>
      <c r="C148" s="8"/>
      <c r="D148" s="9"/>
      <c r="E148" s="9"/>
      <c r="F148" s="8"/>
      <c r="G148" s="10">
        <f>SUMIFS(Purchases!$D:$D,Purchases!$C:$C,$A148)</f>
      </c>
      <c r="H148" s="10">
        <f>SUMIFS('Sales Log'!$D:$D,'Sales Log'!$C:$C,$A148)</f>
      </c>
      <c r="I148" s="10">
        <f>SUMIFS('Daily Stock Count'!$F:$F,'Daily Stock Count'!$B:$B,$A148)</f>
      </c>
      <c r="J148" s="10">
        <f>F148+G148-H148-I148</f>
      </c>
      <c r="K148" s="8"/>
      <c r="L148" s="11">
        <f>IF(J148&lt;=K148,"REORDER","OK")</f>
      </c>
    </row>
    <row r="149" ht="21" customHeight="1" spans="1:12" x14ac:dyDescent="0.25">
      <c r="A149" s="8"/>
      <c r="B149" s="8"/>
      <c r="C149" s="8"/>
      <c r="D149" s="9"/>
      <c r="E149" s="9"/>
      <c r="F149" s="8"/>
      <c r="G149" s="10">
        <f>SUMIFS(Purchases!$D:$D,Purchases!$C:$C,$A149)</f>
      </c>
      <c r="H149" s="10">
        <f>SUMIFS('Sales Log'!$D:$D,'Sales Log'!$C:$C,$A149)</f>
      </c>
      <c r="I149" s="10">
        <f>SUMIFS('Daily Stock Count'!$F:$F,'Daily Stock Count'!$B:$B,$A149)</f>
      </c>
      <c r="J149" s="10">
        <f>F149+G149-H149-I149</f>
      </c>
      <c r="K149" s="8"/>
      <c r="L149" s="11">
        <f>IF(J149&lt;=K149,"REORDER","OK")</f>
      </c>
    </row>
    <row r="150" ht="21" customHeight="1" spans="1:12" x14ac:dyDescent="0.25">
      <c r="A150" s="8"/>
      <c r="B150" s="8"/>
      <c r="C150" s="8"/>
      <c r="D150" s="9"/>
      <c r="E150" s="9"/>
      <c r="F150" s="8"/>
      <c r="G150" s="10">
        <f>SUMIFS(Purchases!$D:$D,Purchases!$C:$C,$A150)</f>
      </c>
      <c r="H150" s="10">
        <f>SUMIFS('Sales Log'!$D:$D,'Sales Log'!$C:$C,$A150)</f>
      </c>
      <c r="I150" s="10">
        <f>SUMIFS('Daily Stock Count'!$F:$F,'Daily Stock Count'!$B:$B,$A150)</f>
      </c>
      <c r="J150" s="10">
        <f>F150+G150-H150-I150</f>
      </c>
      <c r="K150" s="8"/>
      <c r="L150" s="11">
        <f>IF(J150&lt;=K150,"REORDER","OK")</f>
      </c>
    </row>
    <row r="151" ht="21" customHeight="1" spans="1:12" x14ac:dyDescent="0.25">
      <c r="A151" s="8"/>
      <c r="B151" s="8"/>
      <c r="C151" s="8"/>
      <c r="D151" s="9"/>
      <c r="E151" s="9"/>
      <c r="F151" s="8"/>
      <c r="G151" s="10">
        <f>SUMIFS(Purchases!$D:$D,Purchases!$C:$C,$A151)</f>
      </c>
      <c r="H151" s="10">
        <f>SUMIFS('Sales Log'!$D:$D,'Sales Log'!$C:$C,$A151)</f>
      </c>
      <c r="I151" s="10">
        <f>SUMIFS('Daily Stock Count'!$F:$F,'Daily Stock Count'!$B:$B,$A151)</f>
      </c>
      <c r="J151" s="10">
        <f>F151+G151-H151-I151</f>
      </c>
      <c r="K151" s="8"/>
      <c r="L151" s="11">
        <f>IF(J151&lt;=K151,"REORDER","OK")</f>
      </c>
    </row>
    <row r="152" ht="21" customHeight="1" spans="1:12" x14ac:dyDescent="0.25">
      <c r="A152" s="8"/>
      <c r="B152" s="8"/>
      <c r="C152" s="8"/>
      <c r="D152" s="9"/>
      <c r="E152" s="9"/>
      <c r="F152" s="8"/>
      <c r="G152" s="10">
        <f>SUMIFS(Purchases!$D:$D,Purchases!$C:$C,$A152)</f>
      </c>
      <c r="H152" s="10">
        <f>SUMIFS('Sales Log'!$D:$D,'Sales Log'!$C:$C,$A152)</f>
      </c>
      <c r="I152" s="10">
        <f>SUMIFS('Daily Stock Count'!$F:$F,'Daily Stock Count'!$B:$B,$A152)</f>
      </c>
      <c r="J152" s="10">
        <f>F152+G152-H152-I152</f>
      </c>
      <c r="K152" s="8"/>
      <c r="L152" s="11">
        <f>IF(J152&lt;=K152,"REORDER","OK")</f>
      </c>
    </row>
    <row r="153" ht="21" customHeight="1" spans="1:12" x14ac:dyDescent="0.25">
      <c r="A153" s="8"/>
      <c r="B153" s="8"/>
      <c r="C153" s="8"/>
      <c r="D153" s="9"/>
      <c r="E153" s="9"/>
      <c r="F153" s="8"/>
      <c r="G153" s="10">
        <f>SUMIFS(Purchases!$D:$D,Purchases!$C:$C,$A153)</f>
      </c>
      <c r="H153" s="10">
        <f>SUMIFS('Sales Log'!$D:$D,'Sales Log'!$C:$C,$A153)</f>
      </c>
      <c r="I153" s="10">
        <f>SUMIFS('Daily Stock Count'!$F:$F,'Daily Stock Count'!$B:$B,$A153)</f>
      </c>
      <c r="J153" s="10">
        <f>F153+G153-H153-I153</f>
      </c>
      <c r="K153" s="8"/>
      <c r="L153" s="11">
        <f>IF(J153&lt;=K153,"REORDER","OK")</f>
      </c>
    </row>
    <row r="154" ht="21" customHeight="1" spans="1:12" x14ac:dyDescent="0.25">
      <c r="A154" s="8"/>
      <c r="B154" s="8"/>
      <c r="C154" s="8"/>
      <c r="D154" s="9"/>
      <c r="E154" s="9"/>
      <c r="F154" s="8"/>
      <c r="G154" s="10">
        <f>SUMIFS(Purchases!$D:$D,Purchases!$C:$C,$A154)</f>
      </c>
      <c r="H154" s="10">
        <f>SUMIFS('Sales Log'!$D:$D,'Sales Log'!$C:$C,$A154)</f>
      </c>
      <c r="I154" s="10">
        <f>SUMIFS('Daily Stock Count'!$F:$F,'Daily Stock Count'!$B:$B,$A154)</f>
      </c>
      <c r="J154" s="10">
        <f>F154+G154-H154-I154</f>
      </c>
      <c r="K154" s="8"/>
      <c r="L154" s="11">
        <f>IF(J154&lt;=K154,"REORDER","OK")</f>
      </c>
    </row>
    <row r="155" ht="21" customHeight="1" spans="1:12" x14ac:dyDescent="0.25">
      <c r="A155" s="8"/>
      <c r="B155" s="8"/>
      <c r="C155" s="8"/>
      <c r="D155" s="9"/>
      <c r="E155" s="9"/>
      <c r="F155" s="8"/>
      <c r="G155" s="10">
        <f>SUMIFS(Purchases!$D:$D,Purchases!$C:$C,$A155)</f>
      </c>
      <c r="H155" s="10">
        <f>SUMIFS('Sales Log'!$D:$D,'Sales Log'!$C:$C,$A155)</f>
      </c>
      <c r="I155" s="10">
        <f>SUMIFS('Daily Stock Count'!$F:$F,'Daily Stock Count'!$B:$B,$A155)</f>
      </c>
      <c r="J155" s="10">
        <f>F155+G155-H155-I155</f>
      </c>
      <c r="K155" s="8"/>
      <c r="L155" s="11">
        <f>IF(J155&lt;=K155,"REORDER","OK")</f>
      </c>
    </row>
    <row r="156" ht="21" customHeight="1" spans="1:12" x14ac:dyDescent="0.25">
      <c r="A156" s="8"/>
      <c r="B156" s="8"/>
      <c r="C156" s="8"/>
      <c r="D156" s="9"/>
      <c r="E156" s="9"/>
      <c r="F156" s="8"/>
      <c r="G156" s="10">
        <f>SUMIFS(Purchases!$D:$D,Purchases!$C:$C,$A156)</f>
      </c>
      <c r="H156" s="10">
        <f>SUMIFS('Sales Log'!$D:$D,'Sales Log'!$C:$C,$A156)</f>
      </c>
      <c r="I156" s="10">
        <f>SUMIFS('Daily Stock Count'!$F:$F,'Daily Stock Count'!$B:$B,$A156)</f>
      </c>
      <c r="J156" s="10">
        <f>F156+G156-H156-I156</f>
      </c>
      <c r="K156" s="8"/>
      <c r="L156" s="11">
        <f>IF(J156&lt;=K156,"REORDER","OK")</f>
      </c>
    </row>
    <row r="157" ht="21" customHeight="1" spans="1:12" x14ac:dyDescent="0.25">
      <c r="A157" s="8"/>
      <c r="B157" s="8"/>
      <c r="C157" s="8"/>
      <c r="D157" s="9"/>
      <c r="E157" s="9"/>
      <c r="F157" s="8"/>
      <c r="G157" s="10">
        <f>SUMIFS(Purchases!$D:$D,Purchases!$C:$C,$A157)</f>
      </c>
      <c r="H157" s="10">
        <f>SUMIFS('Sales Log'!$D:$D,'Sales Log'!$C:$C,$A157)</f>
      </c>
      <c r="I157" s="10">
        <f>SUMIFS('Daily Stock Count'!$F:$F,'Daily Stock Count'!$B:$B,$A157)</f>
      </c>
      <c r="J157" s="10">
        <f>F157+G157-H157-I157</f>
      </c>
      <c r="K157" s="8"/>
      <c r="L157" s="11">
        <f>IF(J157&lt;=K157,"REORDER","OK")</f>
      </c>
    </row>
    <row r="158" ht="21" customHeight="1" spans="1:12" x14ac:dyDescent="0.25">
      <c r="A158" s="8"/>
      <c r="B158" s="8"/>
      <c r="C158" s="8"/>
      <c r="D158" s="9"/>
      <c r="E158" s="9"/>
      <c r="F158" s="8"/>
      <c r="G158" s="10">
        <f>SUMIFS(Purchases!$D:$D,Purchases!$C:$C,$A158)</f>
      </c>
      <c r="H158" s="10">
        <f>SUMIFS('Sales Log'!$D:$D,'Sales Log'!$C:$C,$A158)</f>
      </c>
      <c r="I158" s="10">
        <f>SUMIFS('Daily Stock Count'!$F:$F,'Daily Stock Count'!$B:$B,$A158)</f>
      </c>
      <c r="J158" s="10">
        <f>F158+G158-H158-I158</f>
      </c>
      <c r="K158" s="8"/>
      <c r="L158" s="11">
        <f>IF(J158&lt;=K158,"REORDER","OK")</f>
      </c>
    </row>
    <row r="159" ht="21" customHeight="1" spans="1:12" x14ac:dyDescent="0.25">
      <c r="A159" s="8"/>
      <c r="B159" s="8"/>
      <c r="C159" s="8"/>
      <c r="D159" s="9"/>
      <c r="E159" s="9"/>
      <c r="F159" s="8"/>
      <c r="G159" s="10">
        <f>SUMIFS(Purchases!$D:$D,Purchases!$C:$C,$A159)</f>
      </c>
      <c r="H159" s="10">
        <f>SUMIFS('Sales Log'!$D:$D,'Sales Log'!$C:$C,$A159)</f>
      </c>
      <c r="I159" s="10">
        <f>SUMIFS('Daily Stock Count'!$F:$F,'Daily Stock Count'!$B:$B,$A159)</f>
      </c>
      <c r="J159" s="10">
        <f>F159+G159-H159-I159</f>
      </c>
      <c r="K159" s="8"/>
      <c r="L159" s="11">
        <f>IF(J159&lt;=K159,"REORDER","OK")</f>
      </c>
    </row>
    <row r="160" ht="21" customHeight="1" spans="1:12" x14ac:dyDescent="0.25">
      <c r="A160" s="8"/>
      <c r="B160" s="8"/>
      <c r="C160" s="8"/>
      <c r="D160" s="9"/>
      <c r="E160" s="9"/>
      <c r="F160" s="8"/>
      <c r="G160" s="10">
        <f>SUMIFS(Purchases!$D:$D,Purchases!$C:$C,$A160)</f>
      </c>
      <c r="H160" s="10">
        <f>SUMIFS('Sales Log'!$D:$D,'Sales Log'!$C:$C,$A160)</f>
      </c>
      <c r="I160" s="10">
        <f>SUMIFS('Daily Stock Count'!$F:$F,'Daily Stock Count'!$B:$B,$A160)</f>
      </c>
      <c r="J160" s="10">
        <f>F160+G160-H160-I160</f>
      </c>
      <c r="K160" s="8"/>
      <c r="L160" s="11">
        <f>IF(J160&lt;=K160,"REORDER","OK")</f>
      </c>
    </row>
    <row r="161" ht="21" customHeight="1" spans="1:12" x14ac:dyDescent="0.25">
      <c r="A161" s="8"/>
      <c r="B161" s="8"/>
      <c r="C161" s="8"/>
      <c r="D161" s="9"/>
      <c r="E161" s="9"/>
      <c r="F161" s="8"/>
      <c r="G161" s="10">
        <f>SUMIFS(Purchases!$D:$D,Purchases!$C:$C,$A161)</f>
      </c>
      <c r="H161" s="10">
        <f>SUMIFS('Sales Log'!$D:$D,'Sales Log'!$C:$C,$A161)</f>
      </c>
      <c r="I161" s="10">
        <f>SUMIFS('Daily Stock Count'!$F:$F,'Daily Stock Count'!$B:$B,$A161)</f>
      </c>
      <c r="J161" s="10">
        <f>F161+G161-H161-I161</f>
      </c>
      <c r="K161" s="8"/>
      <c r="L161" s="11">
        <f>IF(J161&lt;=K161,"REORDER","OK")</f>
      </c>
    </row>
    <row r="162" ht="21" customHeight="1" spans="1:12" x14ac:dyDescent="0.25">
      <c r="A162" s="8"/>
      <c r="B162" s="8"/>
      <c r="C162" s="8"/>
      <c r="D162" s="9"/>
      <c r="E162" s="9"/>
      <c r="F162" s="8"/>
      <c r="G162" s="10">
        <f>SUMIFS(Purchases!$D:$D,Purchases!$C:$C,$A162)</f>
      </c>
      <c r="H162" s="10">
        <f>SUMIFS('Sales Log'!$D:$D,'Sales Log'!$C:$C,$A162)</f>
      </c>
      <c r="I162" s="10">
        <f>SUMIFS('Daily Stock Count'!$F:$F,'Daily Stock Count'!$B:$B,$A162)</f>
      </c>
      <c r="J162" s="10">
        <f>F162+G162-H162-I162</f>
      </c>
      <c r="K162" s="8"/>
      <c r="L162" s="11">
        <f>IF(J162&lt;=K162,"REORDER","OK")</f>
      </c>
    </row>
    <row r="163" ht="21" customHeight="1" spans="1:12" x14ac:dyDescent="0.25">
      <c r="A163" s="8"/>
      <c r="B163" s="8"/>
      <c r="C163" s="8"/>
      <c r="D163" s="9"/>
      <c r="E163" s="9"/>
      <c r="F163" s="8"/>
      <c r="G163" s="10">
        <f>SUMIFS(Purchases!$D:$D,Purchases!$C:$C,$A163)</f>
      </c>
      <c r="H163" s="10">
        <f>SUMIFS('Sales Log'!$D:$D,'Sales Log'!$C:$C,$A163)</f>
      </c>
      <c r="I163" s="10">
        <f>SUMIFS('Daily Stock Count'!$F:$F,'Daily Stock Count'!$B:$B,$A163)</f>
      </c>
      <c r="J163" s="10">
        <f>F163+G163-H163-I163</f>
      </c>
      <c r="K163" s="8"/>
      <c r="L163" s="11">
        <f>IF(J163&lt;=K163,"REORDER","OK")</f>
      </c>
    </row>
    <row r="164" ht="21" customHeight="1" spans="1:12" x14ac:dyDescent="0.25">
      <c r="A164" s="8"/>
      <c r="B164" s="8"/>
      <c r="C164" s="8"/>
      <c r="D164" s="9"/>
      <c r="E164" s="9"/>
      <c r="F164" s="8"/>
      <c r="G164" s="10">
        <f>SUMIFS(Purchases!$D:$D,Purchases!$C:$C,$A164)</f>
      </c>
      <c r="H164" s="10">
        <f>SUMIFS('Sales Log'!$D:$D,'Sales Log'!$C:$C,$A164)</f>
      </c>
      <c r="I164" s="10">
        <f>SUMIFS('Daily Stock Count'!$F:$F,'Daily Stock Count'!$B:$B,$A164)</f>
      </c>
      <c r="J164" s="10">
        <f>F164+G164-H164-I164</f>
      </c>
      <c r="K164" s="8"/>
      <c r="L164" s="11">
        <f>IF(J164&lt;=K164,"REORDER","OK")</f>
      </c>
    </row>
    <row r="165" ht="21" customHeight="1" spans="1:12" x14ac:dyDescent="0.25">
      <c r="A165" s="8"/>
      <c r="B165" s="8"/>
      <c r="C165" s="8"/>
      <c r="D165" s="9"/>
      <c r="E165" s="9"/>
      <c r="F165" s="8"/>
      <c r="G165" s="10">
        <f>SUMIFS(Purchases!$D:$D,Purchases!$C:$C,$A165)</f>
      </c>
      <c r="H165" s="10">
        <f>SUMIFS('Sales Log'!$D:$D,'Sales Log'!$C:$C,$A165)</f>
      </c>
      <c r="I165" s="10">
        <f>SUMIFS('Daily Stock Count'!$F:$F,'Daily Stock Count'!$B:$B,$A165)</f>
      </c>
      <c r="J165" s="10">
        <f>F165+G165-H165-I165</f>
      </c>
      <c r="K165" s="8"/>
      <c r="L165" s="11">
        <f>IF(J165&lt;=K165,"REORDER","OK")</f>
      </c>
    </row>
    <row r="166" ht="21" customHeight="1" spans="1:12" x14ac:dyDescent="0.25">
      <c r="A166" s="8"/>
      <c r="B166" s="8"/>
      <c r="C166" s="8"/>
      <c r="D166" s="9"/>
      <c r="E166" s="9"/>
      <c r="F166" s="8"/>
      <c r="G166" s="10">
        <f>SUMIFS(Purchases!$D:$D,Purchases!$C:$C,$A166)</f>
      </c>
      <c r="H166" s="10">
        <f>SUMIFS('Sales Log'!$D:$D,'Sales Log'!$C:$C,$A166)</f>
      </c>
      <c r="I166" s="10">
        <f>SUMIFS('Daily Stock Count'!$F:$F,'Daily Stock Count'!$B:$B,$A166)</f>
      </c>
      <c r="J166" s="10">
        <f>F166+G166-H166-I166</f>
      </c>
      <c r="K166" s="8"/>
      <c r="L166" s="11">
        <f>IF(J166&lt;=K166,"REORDER","OK")</f>
      </c>
    </row>
    <row r="167" ht="21" customHeight="1" spans="1:12" x14ac:dyDescent="0.25">
      <c r="A167" s="8"/>
      <c r="B167" s="8"/>
      <c r="C167" s="8"/>
      <c r="D167" s="9"/>
      <c r="E167" s="9"/>
      <c r="F167" s="8"/>
      <c r="G167" s="10">
        <f>SUMIFS(Purchases!$D:$D,Purchases!$C:$C,$A167)</f>
      </c>
      <c r="H167" s="10">
        <f>SUMIFS('Sales Log'!$D:$D,'Sales Log'!$C:$C,$A167)</f>
      </c>
      <c r="I167" s="10">
        <f>SUMIFS('Daily Stock Count'!$F:$F,'Daily Stock Count'!$B:$B,$A167)</f>
      </c>
      <c r="J167" s="10">
        <f>F167+G167-H167-I167</f>
      </c>
      <c r="K167" s="8"/>
      <c r="L167" s="11">
        <f>IF(J167&lt;=K167,"REORDER","OK")</f>
      </c>
    </row>
    <row r="168" ht="21" customHeight="1" spans="1:12" x14ac:dyDescent="0.25">
      <c r="A168" s="8"/>
      <c r="B168" s="8"/>
      <c r="C168" s="8"/>
      <c r="D168" s="9"/>
      <c r="E168" s="9"/>
      <c r="F168" s="8"/>
      <c r="G168" s="10">
        <f>SUMIFS(Purchases!$D:$D,Purchases!$C:$C,$A168)</f>
      </c>
      <c r="H168" s="10">
        <f>SUMIFS('Sales Log'!$D:$D,'Sales Log'!$C:$C,$A168)</f>
      </c>
      <c r="I168" s="10">
        <f>SUMIFS('Daily Stock Count'!$F:$F,'Daily Stock Count'!$B:$B,$A168)</f>
      </c>
      <c r="J168" s="10">
        <f>F168+G168-H168-I168</f>
      </c>
      <c r="K168" s="8"/>
      <c r="L168" s="11">
        <f>IF(J168&lt;=K168,"REORDER","OK")</f>
      </c>
    </row>
    <row r="169" ht="21" customHeight="1" spans="1:12" x14ac:dyDescent="0.25">
      <c r="A169" s="8"/>
      <c r="B169" s="8"/>
      <c r="C169" s="8"/>
      <c r="D169" s="9"/>
      <c r="E169" s="9"/>
      <c r="F169" s="8"/>
      <c r="G169" s="10">
        <f>SUMIFS(Purchases!$D:$D,Purchases!$C:$C,$A169)</f>
      </c>
      <c r="H169" s="10">
        <f>SUMIFS('Sales Log'!$D:$D,'Sales Log'!$C:$C,$A169)</f>
      </c>
      <c r="I169" s="10">
        <f>SUMIFS('Daily Stock Count'!$F:$F,'Daily Stock Count'!$B:$B,$A169)</f>
      </c>
      <c r="J169" s="10">
        <f>F169+G169-H169-I169</f>
      </c>
      <c r="K169" s="8"/>
      <c r="L169" s="11">
        <f>IF(J169&lt;=K169,"REORDER","OK")</f>
      </c>
    </row>
    <row r="170" ht="21" customHeight="1" spans="1:12" x14ac:dyDescent="0.25">
      <c r="A170" s="8"/>
      <c r="B170" s="8"/>
      <c r="C170" s="8"/>
      <c r="D170" s="9"/>
      <c r="E170" s="9"/>
      <c r="F170" s="8"/>
      <c r="G170" s="10">
        <f>SUMIFS(Purchases!$D:$D,Purchases!$C:$C,$A170)</f>
      </c>
      <c r="H170" s="10">
        <f>SUMIFS('Sales Log'!$D:$D,'Sales Log'!$C:$C,$A170)</f>
      </c>
      <c r="I170" s="10">
        <f>SUMIFS('Daily Stock Count'!$F:$F,'Daily Stock Count'!$B:$B,$A170)</f>
      </c>
      <c r="J170" s="10">
        <f>F170+G170-H170-I170</f>
      </c>
      <c r="K170" s="8"/>
      <c r="L170" s="11">
        <f>IF(J170&lt;=K170,"REORDER","OK")</f>
      </c>
    </row>
    <row r="171" ht="21" customHeight="1" spans="1:12" x14ac:dyDescent="0.25">
      <c r="A171" s="8"/>
      <c r="B171" s="8"/>
      <c r="C171" s="8"/>
      <c r="D171" s="9"/>
      <c r="E171" s="9"/>
      <c r="F171" s="8"/>
      <c r="G171" s="10">
        <f>SUMIFS(Purchases!$D:$D,Purchases!$C:$C,$A171)</f>
      </c>
      <c r="H171" s="10">
        <f>SUMIFS('Sales Log'!$D:$D,'Sales Log'!$C:$C,$A171)</f>
      </c>
      <c r="I171" s="10">
        <f>SUMIFS('Daily Stock Count'!$F:$F,'Daily Stock Count'!$B:$B,$A171)</f>
      </c>
      <c r="J171" s="10">
        <f>F171+G171-H171-I171</f>
      </c>
      <c r="K171" s="8"/>
      <c r="L171" s="11">
        <f>IF(J171&lt;=K171,"REORDER","OK")</f>
      </c>
    </row>
    <row r="172" ht="21" customHeight="1" spans="1:12" x14ac:dyDescent="0.25">
      <c r="A172" s="8"/>
      <c r="B172" s="8"/>
      <c r="C172" s="8"/>
      <c r="D172" s="9"/>
      <c r="E172" s="9"/>
      <c r="F172" s="8"/>
      <c r="G172" s="10">
        <f>SUMIFS(Purchases!$D:$D,Purchases!$C:$C,$A172)</f>
      </c>
      <c r="H172" s="10">
        <f>SUMIFS('Sales Log'!$D:$D,'Sales Log'!$C:$C,$A172)</f>
      </c>
      <c r="I172" s="10">
        <f>SUMIFS('Daily Stock Count'!$F:$F,'Daily Stock Count'!$B:$B,$A172)</f>
      </c>
      <c r="J172" s="10">
        <f>F172+G172-H172-I172</f>
      </c>
      <c r="K172" s="8"/>
      <c r="L172" s="11">
        <f>IF(J172&lt;=K172,"REORDER","OK")</f>
      </c>
    </row>
    <row r="173" ht="21" customHeight="1" spans="1:12" x14ac:dyDescent="0.25">
      <c r="A173" s="8"/>
      <c r="B173" s="8"/>
      <c r="C173" s="8"/>
      <c r="D173" s="9"/>
      <c r="E173" s="9"/>
      <c r="F173" s="8"/>
      <c r="G173" s="10">
        <f>SUMIFS(Purchases!$D:$D,Purchases!$C:$C,$A173)</f>
      </c>
      <c r="H173" s="10">
        <f>SUMIFS('Sales Log'!$D:$D,'Sales Log'!$C:$C,$A173)</f>
      </c>
      <c r="I173" s="10">
        <f>SUMIFS('Daily Stock Count'!$F:$F,'Daily Stock Count'!$B:$B,$A173)</f>
      </c>
      <c r="J173" s="10">
        <f>F173+G173-H173-I173</f>
      </c>
      <c r="K173" s="8"/>
      <c r="L173" s="11">
        <f>IF(J173&lt;=K173,"REORDER","OK")</f>
      </c>
    </row>
    <row r="174" ht="21" customHeight="1" spans="1:12" x14ac:dyDescent="0.25">
      <c r="A174" s="8"/>
      <c r="B174" s="8"/>
      <c r="C174" s="8"/>
      <c r="D174" s="9"/>
      <c r="E174" s="9"/>
      <c r="F174" s="8"/>
      <c r="G174" s="10">
        <f>SUMIFS(Purchases!$D:$D,Purchases!$C:$C,$A174)</f>
      </c>
      <c r="H174" s="10">
        <f>SUMIFS('Sales Log'!$D:$D,'Sales Log'!$C:$C,$A174)</f>
      </c>
      <c r="I174" s="10">
        <f>SUMIFS('Daily Stock Count'!$F:$F,'Daily Stock Count'!$B:$B,$A174)</f>
      </c>
      <c r="J174" s="10">
        <f>F174+G174-H174-I174</f>
      </c>
      <c r="K174" s="8"/>
      <c r="L174" s="11">
        <f>IF(J174&lt;=K174,"REORDER","OK")</f>
      </c>
    </row>
    <row r="175" ht="21" customHeight="1" spans="1:12" x14ac:dyDescent="0.25">
      <c r="A175" s="8"/>
      <c r="B175" s="8"/>
      <c r="C175" s="8"/>
      <c r="D175" s="9"/>
      <c r="E175" s="9"/>
      <c r="F175" s="8"/>
      <c r="G175" s="10">
        <f>SUMIFS(Purchases!$D:$D,Purchases!$C:$C,$A175)</f>
      </c>
      <c r="H175" s="10">
        <f>SUMIFS('Sales Log'!$D:$D,'Sales Log'!$C:$C,$A175)</f>
      </c>
      <c r="I175" s="10">
        <f>SUMIFS('Daily Stock Count'!$F:$F,'Daily Stock Count'!$B:$B,$A175)</f>
      </c>
      <c r="J175" s="10">
        <f>F175+G175-H175-I175</f>
      </c>
      <c r="K175" s="8"/>
      <c r="L175" s="11">
        <f>IF(J175&lt;=K175,"REORDER","OK")</f>
      </c>
    </row>
    <row r="176" ht="21" customHeight="1" spans="1:12" x14ac:dyDescent="0.25">
      <c r="A176" s="8"/>
      <c r="B176" s="8"/>
      <c r="C176" s="8"/>
      <c r="D176" s="9"/>
      <c r="E176" s="9"/>
      <c r="F176" s="8"/>
      <c r="G176" s="10">
        <f>SUMIFS(Purchases!$D:$D,Purchases!$C:$C,$A176)</f>
      </c>
      <c r="H176" s="10">
        <f>SUMIFS('Sales Log'!$D:$D,'Sales Log'!$C:$C,$A176)</f>
      </c>
      <c r="I176" s="10">
        <f>SUMIFS('Daily Stock Count'!$F:$F,'Daily Stock Count'!$B:$B,$A176)</f>
      </c>
      <c r="J176" s="10">
        <f>F176+G176-H176-I176</f>
      </c>
      <c r="K176" s="8"/>
      <c r="L176" s="11">
        <f>IF(J176&lt;=K176,"REORDER","OK")</f>
      </c>
    </row>
    <row r="177" ht="21" customHeight="1" spans="1:12" x14ac:dyDescent="0.25">
      <c r="A177" s="8"/>
      <c r="B177" s="8"/>
      <c r="C177" s="8"/>
      <c r="D177" s="9"/>
      <c r="E177" s="9"/>
      <c r="F177" s="8"/>
      <c r="G177" s="10">
        <f>SUMIFS(Purchases!$D:$D,Purchases!$C:$C,$A177)</f>
      </c>
      <c r="H177" s="10">
        <f>SUMIFS('Sales Log'!$D:$D,'Sales Log'!$C:$C,$A177)</f>
      </c>
      <c r="I177" s="10">
        <f>SUMIFS('Daily Stock Count'!$F:$F,'Daily Stock Count'!$B:$B,$A177)</f>
      </c>
      <c r="J177" s="10">
        <f>F177+G177-H177-I177</f>
      </c>
      <c r="K177" s="8"/>
      <c r="L177" s="11">
        <f>IF(J177&lt;=K177,"REORDER","OK")</f>
      </c>
    </row>
    <row r="178" ht="21" customHeight="1" spans="1:12" x14ac:dyDescent="0.25">
      <c r="A178" s="8"/>
      <c r="B178" s="8"/>
      <c r="C178" s="8"/>
      <c r="D178" s="9"/>
      <c r="E178" s="9"/>
      <c r="F178" s="8"/>
      <c r="G178" s="10">
        <f>SUMIFS(Purchases!$D:$D,Purchases!$C:$C,$A178)</f>
      </c>
      <c r="H178" s="10">
        <f>SUMIFS('Sales Log'!$D:$D,'Sales Log'!$C:$C,$A178)</f>
      </c>
      <c r="I178" s="10">
        <f>SUMIFS('Daily Stock Count'!$F:$F,'Daily Stock Count'!$B:$B,$A178)</f>
      </c>
      <c r="J178" s="10">
        <f>F178+G178-H178-I178</f>
      </c>
      <c r="K178" s="8"/>
      <c r="L178" s="11">
        <f>IF(J178&lt;=K178,"REORDER","OK")</f>
      </c>
    </row>
    <row r="179" ht="21" customHeight="1" spans="1:12" x14ac:dyDescent="0.25">
      <c r="A179" s="8"/>
      <c r="B179" s="8"/>
      <c r="C179" s="8"/>
      <c r="D179" s="9"/>
      <c r="E179" s="9"/>
      <c r="F179" s="8"/>
      <c r="G179" s="10">
        <f>SUMIFS(Purchases!$D:$D,Purchases!$C:$C,$A179)</f>
      </c>
      <c r="H179" s="10">
        <f>SUMIFS('Sales Log'!$D:$D,'Sales Log'!$C:$C,$A179)</f>
      </c>
      <c r="I179" s="10">
        <f>SUMIFS('Daily Stock Count'!$F:$F,'Daily Stock Count'!$B:$B,$A179)</f>
      </c>
      <c r="J179" s="10">
        <f>F179+G179-H179-I179</f>
      </c>
      <c r="K179" s="8"/>
      <c r="L179" s="11">
        <f>IF(J179&lt;=K179,"REORDER","OK")</f>
      </c>
    </row>
    <row r="180" ht="21" customHeight="1" spans="1:12" x14ac:dyDescent="0.25">
      <c r="A180" s="8"/>
      <c r="B180" s="8"/>
      <c r="C180" s="8"/>
      <c r="D180" s="9"/>
      <c r="E180" s="9"/>
      <c r="F180" s="8"/>
      <c r="G180" s="10">
        <f>SUMIFS(Purchases!$D:$D,Purchases!$C:$C,$A180)</f>
      </c>
      <c r="H180" s="10">
        <f>SUMIFS('Sales Log'!$D:$D,'Sales Log'!$C:$C,$A180)</f>
      </c>
      <c r="I180" s="10">
        <f>SUMIFS('Daily Stock Count'!$F:$F,'Daily Stock Count'!$B:$B,$A180)</f>
      </c>
      <c r="J180" s="10">
        <f>F180+G180-H180-I180</f>
      </c>
      <c r="K180" s="8"/>
      <c r="L180" s="11">
        <f>IF(J180&lt;=K180,"REORDER","OK")</f>
      </c>
    </row>
    <row r="181" ht="21" customHeight="1" spans="1:12" x14ac:dyDescent="0.25">
      <c r="A181" s="8"/>
      <c r="B181" s="8"/>
      <c r="C181" s="8"/>
      <c r="D181" s="9"/>
      <c r="E181" s="9"/>
      <c r="F181" s="8"/>
      <c r="G181" s="10">
        <f>SUMIFS(Purchases!$D:$D,Purchases!$C:$C,$A181)</f>
      </c>
      <c r="H181" s="10">
        <f>SUMIFS('Sales Log'!$D:$D,'Sales Log'!$C:$C,$A181)</f>
      </c>
      <c r="I181" s="10">
        <f>SUMIFS('Daily Stock Count'!$F:$F,'Daily Stock Count'!$B:$B,$A181)</f>
      </c>
      <c r="J181" s="10">
        <f>F181+G181-H181-I181</f>
      </c>
      <c r="K181" s="8"/>
      <c r="L181" s="11">
        <f>IF(J181&lt;=K181,"REORDER","OK")</f>
      </c>
    </row>
    <row r="182" ht="21" customHeight="1" spans="1:12" x14ac:dyDescent="0.25">
      <c r="A182" s="8"/>
      <c r="B182" s="8"/>
      <c r="C182" s="8"/>
      <c r="D182" s="9"/>
      <c r="E182" s="9"/>
      <c r="F182" s="8"/>
      <c r="G182" s="10">
        <f>SUMIFS(Purchases!$D:$D,Purchases!$C:$C,$A182)</f>
      </c>
      <c r="H182" s="10">
        <f>SUMIFS('Sales Log'!$D:$D,'Sales Log'!$C:$C,$A182)</f>
      </c>
      <c r="I182" s="10">
        <f>SUMIFS('Daily Stock Count'!$F:$F,'Daily Stock Count'!$B:$B,$A182)</f>
      </c>
      <c r="J182" s="10">
        <f>F182+G182-H182-I182</f>
      </c>
      <c r="K182" s="8"/>
      <c r="L182" s="11">
        <f>IF(J182&lt;=K182,"REORDER","OK")</f>
      </c>
    </row>
    <row r="183" ht="21" customHeight="1" spans="1:12" x14ac:dyDescent="0.25">
      <c r="A183" s="8"/>
      <c r="B183" s="8"/>
      <c r="C183" s="8"/>
      <c r="D183" s="9"/>
      <c r="E183" s="9"/>
      <c r="F183" s="8"/>
      <c r="G183" s="10">
        <f>SUMIFS(Purchases!$D:$D,Purchases!$C:$C,$A183)</f>
      </c>
      <c r="H183" s="10">
        <f>SUMIFS('Sales Log'!$D:$D,'Sales Log'!$C:$C,$A183)</f>
      </c>
      <c r="I183" s="10">
        <f>SUMIFS('Daily Stock Count'!$F:$F,'Daily Stock Count'!$B:$B,$A183)</f>
      </c>
      <c r="J183" s="10">
        <f>F183+G183-H183-I183</f>
      </c>
      <c r="K183" s="8"/>
      <c r="L183" s="11">
        <f>IF(J183&lt;=K183,"REORDER","OK")</f>
      </c>
    </row>
    <row r="184" ht="21" customHeight="1" spans="1:12" x14ac:dyDescent="0.25">
      <c r="A184" s="8"/>
      <c r="B184" s="8"/>
      <c r="C184" s="8"/>
      <c r="D184" s="9"/>
      <c r="E184" s="9"/>
      <c r="F184" s="8"/>
      <c r="G184" s="10">
        <f>SUMIFS(Purchases!$D:$D,Purchases!$C:$C,$A184)</f>
      </c>
      <c r="H184" s="10">
        <f>SUMIFS('Sales Log'!$D:$D,'Sales Log'!$C:$C,$A184)</f>
      </c>
      <c r="I184" s="10">
        <f>SUMIFS('Daily Stock Count'!$F:$F,'Daily Stock Count'!$B:$B,$A184)</f>
      </c>
      <c r="J184" s="10">
        <f>F184+G184-H184-I184</f>
      </c>
      <c r="K184" s="8"/>
      <c r="L184" s="11">
        <f>IF(J184&lt;=K184,"REORDER","OK")</f>
      </c>
    </row>
    <row r="185" ht="21" customHeight="1" spans="1:12" x14ac:dyDescent="0.25">
      <c r="A185" s="8"/>
      <c r="B185" s="8"/>
      <c r="C185" s="8"/>
      <c r="D185" s="9"/>
      <c r="E185" s="9"/>
      <c r="F185" s="8"/>
      <c r="G185" s="10">
        <f>SUMIFS(Purchases!$D:$D,Purchases!$C:$C,$A185)</f>
      </c>
      <c r="H185" s="10">
        <f>SUMIFS('Sales Log'!$D:$D,'Sales Log'!$C:$C,$A185)</f>
      </c>
      <c r="I185" s="10">
        <f>SUMIFS('Daily Stock Count'!$F:$F,'Daily Stock Count'!$B:$B,$A185)</f>
      </c>
      <c r="J185" s="10">
        <f>F185+G185-H185-I185</f>
      </c>
      <c r="K185" s="8"/>
      <c r="L185" s="11">
        <f>IF(J185&lt;=K185,"REORDER","OK")</f>
      </c>
    </row>
    <row r="186" ht="21" customHeight="1" spans="1:12" x14ac:dyDescent="0.25">
      <c r="A186" s="8"/>
      <c r="B186" s="8"/>
      <c r="C186" s="8"/>
      <c r="D186" s="9"/>
      <c r="E186" s="9"/>
      <c r="F186" s="8"/>
      <c r="G186" s="10">
        <f>SUMIFS(Purchases!$D:$D,Purchases!$C:$C,$A186)</f>
      </c>
      <c r="H186" s="10">
        <f>SUMIFS('Sales Log'!$D:$D,'Sales Log'!$C:$C,$A186)</f>
      </c>
      <c r="I186" s="10">
        <f>SUMIFS('Daily Stock Count'!$F:$F,'Daily Stock Count'!$B:$B,$A186)</f>
      </c>
      <c r="J186" s="10">
        <f>F186+G186-H186-I186</f>
      </c>
      <c r="K186" s="8"/>
      <c r="L186" s="11">
        <f>IF(J186&lt;=K186,"REORDER","OK")</f>
      </c>
    </row>
    <row r="187" ht="21" customHeight="1" spans="1:12" x14ac:dyDescent="0.25">
      <c r="A187" s="8"/>
      <c r="B187" s="8"/>
      <c r="C187" s="8"/>
      <c r="D187" s="9"/>
      <c r="E187" s="9"/>
      <c r="F187" s="8"/>
      <c r="G187" s="10">
        <f>SUMIFS(Purchases!$D:$D,Purchases!$C:$C,$A187)</f>
      </c>
      <c r="H187" s="10">
        <f>SUMIFS('Sales Log'!$D:$D,'Sales Log'!$C:$C,$A187)</f>
      </c>
      <c r="I187" s="10">
        <f>SUMIFS('Daily Stock Count'!$F:$F,'Daily Stock Count'!$B:$B,$A187)</f>
      </c>
      <c r="J187" s="10">
        <f>F187+G187-H187-I187</f>
      </c>
      <c r="K187" s="8"/>
      <c r="L187" s="11">
        <f>IF(J187&lt;=K187,"REORDER","OK")</f>
      </c>
    </row>
    <row r="188" ht="21" customHeight="1" spans="1:12" x14ac:dyDescent="0.25">
      <c r="A188" s="8"/>
      <c r="B188" s="8"/>
      <c r="C188" s="8"/>
      <c r="D188" s="9"/>
      <c r="E188" s="9"/>
      <c r="F188" s="8"/>
      <c r="G188" s="10">
        <f>SUMIFS(Purchases!$D:$D,Purchases!$C:$C,$A188)</f>
      </c>
      <c r="H188" s="10">
        <f>SUMIFS('Sales Log'!$D:$D,'Sales Log'!$C:$C,$A188)</f>
      </c>
      <c r="I188" s="10">
        <f>SUMIFS('Daily Stock Count'!$F:$F,'Daily Stock Count'!$B:$B,$A188)</f>
      </c>
      <c r="J188" s="10">
        <f>F188+G188-H188-I188</f>
      </c>
      <c r="K188" s="8"/>
      <c r="L188" s="11">
        <f>IF(J188&lt;=K188,"REORDER","OK")</f>
      </c>
    </row>
    <row r="189" ht="21" customHeight="1" spans="1:12" x14ac:dyDescent="0.25">
      <c r="A189" s="8"/>
      <c r="B189" s="8"/>
      <c r="C189" s="8"/>
      <c r="D189" s="9"/>
      <c r="E189" s="9"/>
      <c r="F189" s="8"/>
      <c r="G189" s="10">
        <f>SUMIFS(Purchases!$D:$D,Purchases!$C:$C,$A189)</f>
      </c>
      <c r="H189" s="10">
        <f>SUMIFS('Sales Log'!$D:$D,'Sales Log'!$C:$C,$A189)</f>
      </c>
      <c r="I189" s="10">
        <f>SUMIFS('Daily Stock Count'!$F:$F,'Daily Stock Count'!$B:$B,$A189)</f>
      </c>
      <c r="J189" s="10">
        <f>F189+G189-H189-I189</f>
      </c>
      <c r="K189" s="8"/>
      <c r="L189" s="11">
        <f>IF(J189&lt;=K189,"REORDER","OK")</f>
      </c>
    </row>
    <row r="190" ht="21" customHeight="1" spans="1:12" x14ac:dyDescent="0.25">
      <c r="A190" s="8"/>
      <c r="B190" s="8"/>
      <c r="C190" s="8"/>
      <c r="D190" s="9"/>
      <c r="E190" s="9"/>
      <c r="F190" s="8"/>
      <c r="G190" s="10">
        <f>SUMIFS(Purchases!$D:$D,Purchases!$C:$C,$A190)</f>
      </c>
      <c r="H190" s="10">
        <f>SUMIFS('Sales Log'!$D:$D,'Sales Log'!$C:$C,$A190)</f>
      </c>
      <c r="I190" s="10">
        <f>SUMIFS('Daily Stock Count'!$F:$F,'Daily Stock Count'!$B:$B,$A190)</f>
      </c>
      <c r="J190" s="10">
        <f>F190+G190-H190-I190</f>
      </c>
      <c r="K190" s="8"/>
      <c r="L190" s="11">
        <f>IF(J190&lt;=K190,"REORDER","OK")</f>
      </c>
    </row>
    <row r="191" ht="21" customHeight="1" spans="1:12" x14ac:dyDescent="0.25">
      <c r="A191" s="8"/>
      <c r="B191" s="8"/>
      <c r="C191" s="8"/>
      <c r="D191" s="9"/>
      <c r="E191" s="9"/>
      <c r="F191" s="8"/>
      <c r="G191" s="10">
        <f>SUMIFS(Purchases!$D:$D,Purchases!$C:$C,$A191)</f>
      </c>
      <c r="H191" s="10">
        <f>SUMIFS('Sales Log'!$D:$D,'Sales Log'!$C:$C,$A191)</f>
      </c>
      <c r="I191" s="10">
        <f>SUMIFS('Daily Stock Count'!$F:$F,'Daily Stock Count'!$B:$B,$A191)</f>
      </c>
      <c r="J191" s="10">
        <f>F191+G191-H191-I191</f>
      </c>
      <c r="K191" s="8"/>
      <c r="L191" s="11">
        <f>IF(J191&lt;=K191,"REORDER","OK")</f>
      </c>
    </row>
    <row r="192" ht="21" customHeight="1" spans="1:12" x14ac:dyDescent="0.25">
      <c r="A192" s="8"/>
      <c r="B192" s="8"/>
      <c r="C192" s="8"/>
      <c r="D192" s="9"/>
      <c r="E192" s="9"/>
      <c r="F192" s="8"/>
      <c r="G192" s="10">
        <f>SUMIFS(Purchases!$D:$D,Purchases!$C:$C,$A192)</f>
      </c>
      <c r="H192" s="10">
        <f>SUMIFS('Sales Log'!$D:$D,'Sales Log'!$C:$C,$A192)</f>
      </c>
      <c r="I192" s="10">
        <f>SUMIFS('Daily Stock Count'!$F:$F,'Daily Stock Count'!$B:$B,$A192)</f>
      </c>
      <c r="J192" s="10">
        <f>F192+G192-H192-I192</f>
      </c>
      <c r="K192" s="8"/>
      <c r="L192" s="11">
        <f>IF(J192&lt;=K192,"REORDER","OK")</f>
      </c>
    </row>
    <row r="193" ht="21" customHeight="1" spans="1:12" x14ac:dyDescent="0.25">
      <c r="A193" s="8"/>
      <c r="B193" s="8"/>
      <c r="C193" s="8"/>
      <c r="D193" s="9"/>
      <c r="E193" s="9"/>
      <c r="F193" s="8"/>
      <c r="G193" s="10">
        <f>SUMIFS(Purchases!$D:$D,Purchases!$C:$C,$A193)</f>
      </c>
      <c r="H193" s="10">
        <f>SUMIFS('Sales Log'!$D:$D,'Sales Log'!$C:$C,$A193)</f>
      </c>
      <c r="I193" s="10">
        <f>SUMIFS('Daily Stock Count'!$F:$F,'Daily Stock Count'!$B:$B,$A193)</f>
      </c>
      <c r="J193" s="10">
        <f>F193+G193-H193-I193</f>
      </c>
      <c r="K193" s="8"/>
      <c r="L193" s="11">
        <f>IF(J193&lt;=K193,"REORDER","OK")</f>
      </c>
    </row>
    <row r="194" ht="21" customHeight="1" spans="1:12" x14ac:dyDescent="0.25">
      <c r="A194" s="8"/>
      <c r="B194" s="8"/>
      <c r="C194" s="8"/>
      <c r="D194" s="9"/>
      <c r="E194" s="9"/>
      <c r="F194" s="8"/>
      <c r="G194" s="10">
        <f>SUMIFS(Purchases!$D:$D,Purchases!$C:$C,$A194)</f>
      </c>
      <c r="H194" s="10">
        <f>SUMIFS('Sales Log'!$D:$D,'Sales Log'!$C:$C,$A194)</f>
      </c>
      <c r="I194" s="10">
        <f>SUMIFS('Daily Stock Count'!$F:$F,'Daily Stock Count'!$B:$B,$A194)</f>
      </c>
      <c r="J194" s="10">
        <f>F194+G194-H194-I194</f>
      </c>
      <c r="K194" s="8"/>
      <c r="L194" s="11">
        <f>IF(J194&lt;=K194,"REORDER","OK")</f>
      </c>
    </row>
    <row r="195" ht="21" customHeight="1" spans="1:12" x14ac:dyDescent="0.25">
      <c r="A195" s="8"/>
      <c r="B195" s="8"/>
      <c r="C195" s="8"/>
      <c r="D195" s="9"/>
      <c r="E195" s="9"/>
      <c r="F195" s="8"/>
      <c r="G195" s="10">
        <f>SUMIFS(Purchases!$D:$D,Purchases!$C:$C,$A195)</f>
      </c>
      <c r="H195" s="10">
        <f>SUMIFS('Sales Log'!$D:$D,'Sales Log'!$C:$C,$A195)</f>
      </c>
      <c r="I195" s="10">
        <f>SUMIFS('Daily Stock Count'!$F:$F,'Daily Stock Count'!$B:$B,$A195)</f>
      </c>
      <c r="J195" s="10">
        <f>F195+G195-H195-I195</f>
      </c>
      <c r="K195" s="8"/>
      <c r="L195" s="11">
        <f>IF(J195&lt;=K195,"REORDER","OK")</f>
      </c>
    </row>
    <row r="196" ht="21" customHeight="1" spans="1:12" x14ac:dyDescent="0.25">
      <c r="A196" s="8"/>
      <c r="B196" s="8"/>
      <c r="C196" s="8"/>
      <c r="D196" s="9"/>
      <c r="E196" s="9"/>
      <c r="F196" s="8"/>
      <c r="G196" s="10">
        <f>SUMIFS(Purchases!$D:$D,Purchases!$C:$C,$A196)</f>
      </c>
      <c r="H196" s="10">
        <f>SUMIFS('Sales Log'!$D:$D,'Sales Log'!$C:$C,$A196)</f>
      </c>
      <c r="I196" s="10">
        <f>SUMIFS('Daily Stock Count'!$F:$F,'Daily Stock Count'!$B:$B,$A196)</f>
      </c>
      <c r="J196" s="10">
        <f>F196+G196-H196-I196</f>
      </c>
      <c r="K196" s="8"/>
      <c r="L196" s="11">
        <f>IF(J196&lt;=K196,"REORDER","OK")</f>
      </c>
    </row>
    <row r="197" ht="21" customHeight="1" spans="1:12" x14ac:dyDescent="0.25">
      <c r="A197" s="8"/>
      <c r="B197" s="8"/>
      <c r="C197" s="8"/>
      <c r="D197" s="9"/>
      <c r="E197" s="9"/>
      <c r="F197" s="8"/>
      <c r="G197" s="10">
        <f>SUMIFS(Purchases!$D:$D,Purchases!$C:$C,$A197)</f>
      </c>
      <c r="H197" s="10">
        <f>SUMIFS('Sales Log'!$D:$D,'Sales Log'!$C:$C,$A197)</f>
      </c>
      <c r="I197" s="10">
        <f>SUMIFS('Daily Stock Count'!$F:$F,'Daily Stock Count'!$B:$B,$A197)</f>
      </c>
      <c r="J197" s="10">
        <f>F197+G197-H197-I197</f>
      </c>
      <c r="K197" s="8"/>
      <c r="L197" s="11">
        <f>IF(J197&lt;=K197,"REORDER","OK")</f>
      </c>
    </row>
    <row r="198" ht="21" customHeight="1" spans="1:12" x14ac:dyDescent="0.25">
      <c r="A198" s="8"/>
      <c r="B198" s="8"/>
      <c r="C198" s="8"/>
      <c r="D198" s="9"/>
      <c r="E198" s="9"/>
      <c r="F198" s="8"/>
      <c r="G198" s="10">
        <f>SUMIFS(Purchases!$D:$D,Purchases!$C:$C,$A198)</f>
      </c>
      <c r="H198" s="10">
        <f>SUMIFS('Sales Log'!$D:$D,'Sales Log'!$C:$C,$A198)</f>
      </c>
      <c r="I198" s="10">
        <f>SUMIFS('Daily Stock Count'!$F:$F,'Daily Stock Count'!$B:$B,$A198)</f>
      </c>
      <c r="J198" s="10">
        <f>F198+G198-H198-I198</f>
      </c>
      <c r="K198" s="8"/>
      <c r="L198" s="11">
        <f>IF(J198&lt;=K198,"REORDER","OK")</f>
      </c>
    </row>
    <row r="199" ht="21" customHeight="1" spans="1:12" x14ac:dyDescent="0.25">
      <c r="A199" s="8"/>
      <c r="B199" s="8"/>
      <c r="C199" s="8"/>
      <c r="D199" s="9"/>
      <c r="E199" s="9"/>
      <c r="F199" s="8"/>
      <c r="G199" s="10">
        <f>SUMIFS(Purchases!$D:$D,Purchases!$C:$C,$A199)</f>
      </c>
      <c r="H199" s="10">
        <f>SUMIFS('Sales Log'!$D:$D,'Sales Log'!$C:$C,$A199)</f>
      </c>
      <c r="I199" s="10">
        <f>SUMIFS('Daily Stock Count'!$F:$F,'Daily Stock Count'!$B:$B,$A199)</f>
      </c>
      <c r="J199" s="10">
        <f>F199+G199-H199-I199</f>
      </c>
      <c r="K199" s="8"/>
      <c r="L199" s="11">
        <f>IF(J199&lt;=K199,"REORDER","OK")</f>
      </c>
    </row>
    <row r="200" ht="21" customHeight="1" spans="1:12" x14ac:dyDescent="0.25">
      <c r="A200" s="8"/>
      <c r="B200" s="8"/>
      <c r="C200" s="8"/>
      <c r="D200" s="9"/>
      <c r="E200" s="9"/>
      <c r="F200" s="8"/>
      <c r="G200" s="10">
        <f>SUMIFS(Purchases!$D:$D,Purchases!$C:$C,$A200)</f>
      </c>
      <c r="H200" s="10">
        <f>SUMIFS('Sales Log'!$D:$D,'Sales Log'!$C:$C,$A200)</f>
      </c>
      <c r="I200" s="10">
        <f>SUMIFS('Daily Stock Count'!$F:$F,'Daily Stock Count'!$B:$B,$A200)</f>
      </c>
      <c r="J200" s="10">
        <f>F200+G200-H200-I200</f>
      </c>
      <c r="K200" s="8"/>
      <c r="L200" s="11">
        <f>IF(J200&lt;=K200,"REORDER","OK")</f>
      </c>
    </row>
    <row r="201" ht="21" customHeight="1" spans="1:12" x14ac:dyDescent="0.25">
      <c r="A201" s="8"/>
      <c r="B201" s="8"/>
      <c r="C201" s="8"/>
      <c r="D201" s="9"/>
      <c r="E201" s="9"/>
      <c r="F201" s="8"/>
      <c r="G201" s="10">
        <f>SUMIFS(Purchases!$D:$D,Purchases!$C:$C,$A201)</f>
      </c>
      <c r="H201" s="10">
        <f>SUMIFS('Sales Log'!$D:$D,'Sales Log'!$C:$C,$A201)</f>
      </c>
      <c r="I201" s="10">
        <f>SUMIFS('Daily Stock Count'!$F:$F,'Daily Stock Count'!$B:$B,$A201)</f>
      </c>
      <c r="J201" s="10">
        <f>F201+G201-H201-I201</f>
      </c>
      <c r="K201" s="8"/>
      <c r="L201" s="11">
        <f>IF(J201&lt;=K201,"REORDER","OK")</f>
      </c>
    </row>
    <row r="202" ht="21" customHeight="1" spans="1:12" x14ac:dyDescent="0.25">
      <c r="A202" s="8"/>
      <c r="B202" s="8"/>
      <c r="C202" s="8"/>
      <c r="D202" s="9"/>
      <c r="E202" s="9"/>
      <c r="F202" s="8"/>
      <c r="G202" s="10">
        <f>SUMIFS(Purchases!$D:$D,Purchases!$C:$C,$A202)</f>
      </c>
      <c r="H202" s="10">
        <f>SUMIFS('Sales Log'!$D:$D,'Sales Log'!$C:$C,$A202)</f>
      </c>
      <c r="I202" s="10">
        <f>SUMIFS('Daily Stock Count'!$F:$F,'Daily Stock Count'!$B:$B,$A202)</f>
      </c>
      <c r="J202" s="10">
        <f>F202+G202-H202-I202</f>
      </c>
      <c r="K202" s="8"/>
      <c r="L202" s="11">
        <f>IF(J202&lt;=K202,"REORDER","OK")</f>
      </c>
    </row>
    <row r="203" ht="21" customHeight="1" spans="1:12" x14ac:dyDescent="0.25">
      <c r="A203" s="8"/>
      <c r="B203" s="8"/>
      <c r="C203" s="8"/>
      <c r="D203" s="9"/>
      <c r="E203" s="9"/>
      <c r="F203" s="8"/>
      <c r="G203" s="10">
        <f>SUMIFS(Purchases!$D:$D,Purchases!$C:$C,$A203)</f>
      </c>
      <c r="H203" s="10">
        <f>SUMIFS('Sales Log'!$D:$D,'Sales Log'!$C:$C,$A203)</f>
      </c>
      <c r="I203" s="10">
        <f>SUMIFS('Daily Stock Count'!$F:$F,'Daily Stock Count'!$B:$B,$A203)</f>
      </c>
      <c r="J203" s="10">
        <f>F203+G203-H203-I203</f>
      </c>
      <c r="K203" s="8"/>
      <c r="L203" s="11">
        <f>IF(J203&lt;=K203,"REORDER","OK")</f>
      </c>
    </row>
    <row r="204" ht="21" customHeight="1" spans="1:12" x14ac:dyDescent="0.25">
      <c r="A204" s="8"/>
      <c r="B204" s="8"/>
      <c r="C204" s="8"/>
      <c r="D204" s="9"/>
      <c r="E204" s="9"/>
      <c r="F204" s="8"/>
      <c r="G204" s="10">
        <f>SUMIFS(Purchases!$D:$D,Purchases!$C:$C,$A204)</f>
      </c>
      <c r="H204" s="10">
        <f>SUMIFS('Sales Log'!$D:$D,'Sales Log'!$C:$C,$A204)</f>
      </c>
      <c r="I204" s="10">
        <f>SUMIFS('Daily Stock Count'!$F:$F,'Daily Stock Count'!$B:$B,$A204)</f>
      </c>
      <c r="J204" s="10">
        <f>F204+G204-H204-I204</f>
      </c>
      <c r="K204" s="8"/>
      <c r="L204" s="11">
        <f>IF(J204&lt;=K204,"REORDER","OK")</f>
      </c>
    </row>
    <row r="205" ht="21" customHeight="1" spans="1:12" x14ac:dyDescent="0.25">
      <c r="A205" s="8"/>
      <c r="B205" s="8"/>
      <c r="C205" s="8"/>
      <c r="D205" s="9"/>
      <c r="E205" s="9"/>
      <c r="F205" s="8"/>
      <c r="G205" s="10">
        <f>SUMIFS(Purchases!$D:$D,Purchases!$C:$C,$A205)</f>
      </c>
      <c r="H205" s="10">
        <f>SUMIFS('Sales Log'!$D:$D,'Sales Log'!$C:$C,$A205)</f>
      </c>
      <c r="I205" s="10">
        <f>SUMIFS('Daily Stock Count'!$F:$F,'Daily Stock Count'!$B:$B,$A205)</f>
      </c>
      <c r="J205" s="10">
        <f>F205+G205-H205-I205</f>
      </c>
      <c r="K205" s="8"/>
      <c r="L205" s="11">
        <f>IF(J205&lt;=K205,"REORDER","OK")</f>
      </c>
    </row>
    <row r="206" ht="21" customHeight="1" spans="1:12" x14ac:dyDescent="0.25">
      <c r="A206" s="8"/>
      <c r="B206" s="8"/>
      <c r="C206" s="8"/>
      <c r="D206" s="9"/>
      <c r="E206" s="9"/>
      <c r="F206" s="8"/>
      <c r="G206" s="10">
        <f>SUMIFS(Purchases!$D:$D,Purchases!$C:$C,$A206)</f>
      </c>
      <c r="H206" s="10">
        <f>SUMIFS('Sales Log'!$D:$D,'Sales Log'!$C:$C,$A206)</f>
      </c>
      <c r="I206" s="10">
        <f>SUMIFS('Daily Stock Count'!$F:$F,'Daily Stock Count'!$B:$B,$A206)</f>
      </c>
      <c r="J206" s="10">
        <f>F206+G206-H206-I206</f>
      </c>
      <c r="K206" s="8"/>
      <c r="L206" s="11">
        <f>IF(J206&lt;=K206,"REORDER","OK")</f>
      </c>
    </row>
    <row r="207" ht="21" customHeight="1" spans="1:12" x14ac:dyDescent="0.25">
      <c r="A207" s="8"/>
      <c r="B207" s="8"/>
      <c r="C207" s="8"/>
      <c r="D207" s="9"/>
      <c r="E207" s="9"/>
      <c r="F207" s="8"/>
      <c r="G207" s="10">
        <f>SUMIFS(Purchases!$D:$D,Purchases!$C:$C,$A207)</f>
      </c>
      <c r="H207" s="10">
        <f>SUMIFS('Sales Log'!$D:$D,'Sales Log'!$C:$C,$A207)</f>
      </c>
      <c r="I207" s="10">
        <f>SUMIFS('Daily Stock Count'!$F:$F,'Daily Stock Count'!$B:$B,$A207)</f>
      </c>
      <c r="J207" s="10">
        <f>F207+G207-H207-I207</f>
      </c>
      <c r="K207" s="8"/>
      <c r="L207" s="11">
        <f>IF(J207&lt;=K207,"REORDER","OK")</f>
      </c>
    </row>
    <row r="208" ht="21" customHeight="1" spans="1:12" x14ac:dyDescent="0.25">
      <c r="A208" s="8"/>
      <c r="B208" s="8"/>
      <c r="C208" s="8"/>
      <c r="D208" s="9"/>
      <c r="E208" s="9"/>
      <c r="F208" s="8"/>
      <c r="G208" s="10">
        <f>SUMIFS(Purchases!$D:$D,Purchases!$C:$C,$A208)</f>
      </c>
      <c r="H208" s="10">
        <f>SUMIFS('Sales Log'!$D:$D,'Sales Log'!$C:$C,$A208)</f>
      </c>
      <c r="I208" s="10">
        <f>SUMIFS('Daily Stock Count'!$F:$F,'Daily Stock Count'!$B:$B,$A208)</f>
      </c>
      <c r="J208" s="10">
        <f>F208+G208-H208-I208</f>
      </c>
      <c r="K208" s="8"/>
      <c r="L208" s="11">
        <f>IF(J208&lt;=K208,"REORDER","OK")</f>
      </c>
    </row>
    <row r="209" ht="21" customHeight="1" spans="1:12" x14ac:dyDescent="0.25">
      <c r="A209" s="8"/>
      <c r="B209" s="8"/>
      <c r="C209" s="8"/>
      <c r="D209" s="9"/>
      <c r="E209" s="9"/>
      <c r="F209" s="8"/>
      <c r="G209" s="10">
        <f>SUMIFS(Purchases!$D:$D,Purchases!$C:$C,$A209)</f>
      </c>
      <c r="H209" s="10">
        <f>SUMIFS('Sales Log'!$D:$D,'Sales Log'!$C:$C,$A209)</f>
      </c>
      <c r="I209" s="10">
        <f>SUMIFS('Daily Stock Count'!$F:$F,'Daily Stock Count'!$B:$B,$A209)</f>
      </c>
      <c r="J209" s="10">
        <f>F209+G209-H209-I209</f>
      </c>
      <c r="K209" s="8"/>
      <c r="L209" s="11">
        <f>IF(J209&lt;=K209,"REORDER","OK")</f>
      </c>
    </row>
    <row r="210" ht="21" customHeight="1" spans="1:12" x14ac:dyDescent="0.25">
      <c r="A210" s="8"/>
      <c r="B210" s="8"/>
      <c r="C210" s="8"/>
      <c r="D210" s="9"/>
      <c r="E210" s="9"/>
      <c r="F210" s="8"/>
      <c r="G210" s="10">
        <f>SUMIFS(Purchases!$D:$D,Purchases!$C:$C,$A210)</f>
      </c>
      <c r="H210" s="10">
        <f>SUMIFS('Sales Log'!$D:$D,'Sales Log'!$C:$C,$A210)</f>
      </c>
      <c r="I210" s="10">
        <f>SUMIFS('Daily Stock Count'!$F:$F,'Daily Stock Count'!$B:$B,$A210)</f>
      </c>
      <c r="J210" s="10">
        <f>F210+G210-H210-I210</f>
      </c>
      <c r="K210" s="8"/>
      <c r="L210" s="11">
        <f>IF(J210&lt;=K210,"REORDER","OK")</f>
      </c>
    </row>
    <row r="211" ht="21" customHeight="1" spans="1:12" x14ac:dyDescent="0.25">
      <c r="A211" s="8"/>
      <c r="B211" s="8"/>
      <c r="C211" s="8"/>
      <c r="D211" s="9"/>
      <c r="E211" s="9"/>
      <c r="F211" s="8"/>
      <c r="G211" s="10">
        <f>SUMIFS(Purchases!$D:$D,Purchases!$C:$C,$A211)</f>
      </c>
      <c r="H211" s="10">
        <f>SUMIFS('Sales Log'!$D:$D,'Sales Log'!$C:$C,$A211)</f>
      </c>
      <c r="I211" s="10">
        <f>SUMIFS('Daily Stock Count'!$F:$F,'Daily Stock Count'!$B:$B,$A211)</f>
      </c>
      <c r="J211" s="10">
        <f>F211+G211-H211-I211</f>
      </c>
      <c r="K211" s="8"/>
      <c r="L211" s="11">
        <f>IF(J211&lt;=K211,"REORDER","OK")</f>
      </c>
    </row>
    <row r="212" ht="21" customHeight="1" spans="1:12" x14ac:dyDescent="0.25">
      <c r="A212" s="8"/>
      <c r="B212" s="8"/>
      <c r="C212" s="8"/>
      <c r="D212" s="9"/>
      <c r="E212" s="9"/>
      <c r="F212" s="8"/>
      <c r="G212" s="10">
        <f>SUMIFS(Purchases!$D:$D,Purchases!$C:$C,$A212)</f>
      </c>
      <c r="H212" s="10">
        <f>SUMIFS('Sales Log'!$D:$D,'Sales Log'!$C:$C,$A212)</f>
      </c>
      <c r="I212" s="10">
        <f>SUMIFS('Daily Stock Count'!$F:$F,'Daily Stock Count'!$B:$B,$A212)</f>
      </c>
      <c r="J212" s="10">
        <f>F212+G212-H212-I212</f>
      </c>
      <c r="K212" s="8"/>
      <c r="L212" s="11">
        <f>IF(J212&lt;=K212,"REORDER","OK")</f>
      </c>
    </row>
    <row r="213" ht="21" customHeight="1" spans="1:12" x14ac:dyDescent="0.25">
      <c r="A213" s="8"/>
      <c r="B213" s="8"/>
      <c r="C213" s="8"/>
      <c r="D213" s="9"/>
      <c r="E213" s="9"/>
      <c r="F213" s="8"/>
      <c r="G213" s="10">
        <f>SUMIFS(Purchases!$D:$D,Purchases!$C:$C,$A213)</f>
      </c>
      <c r="H213" s="10">
        <f>SUMIFS('Sales Log'!$D:$D,'Sales Log'!$C:$C,$A213)</f>
      </c>
      <c r="I213" s="10">
        <f>SUMIFS('Daily Stock Count'!$F:$F,'Daily Stock Count'!$B:$B,$A213)</f>
      </c>
      <c r="J213" s="10">
        <f>F213+G213-H213-I213</f>
      </c>
      <c r="K213" s="8"/>
      <c r="L213" s="11">
        <f>IF(J213&lt;=K213,"REORDER","OK")</f>
      </c>
    </row>
    <row r="214" ht="21" customHeight="1" spans="1:12" x14ac:dyDescent="0.25">
      <c r="A214" s="8"/>
      <c r="B214" s="8"/>
      <c r="C214" s="8"/>
      <c r="D214" s="9"/>
      <c r="E214" s="9"/>
      <c r="F214" s="8"/>
      <c r="G214" s="10">
        <f>SUMIFS(Purchases!$D:$D,Purchases!$C:$C,$A214)</f>
      </c>
      <c r="H214" s="10">
        <f>SUMIFS('Sales Log'!$D:$D,'Sales Log'!$C:$C,$A214)</f>
      </c>
      <c r="I214" s="10">
        <f>SUMIFS('Daily Stock Count'!$F:$F,'Daily Stock Count'!$B:$B,$A214)</f>
      </c>
      <c r="J214" s="10">
        <f>F214+G214-H214-I214</f>
      </c>
      <c r="K214" s="8"/>
      <c r="L214" s="11">
        <f>IF(J214&lt;=K214,"REORDER","OK")</f>
      </c>
    </row>
    <row r="215" ht="21" customHeight="1" spans="1:12" x14ac:dyDescent="0.25">
      <c r="A215" s="8"/>
      <c r="B215" s="8"/>
      <c r="C215" s="8"/>
      <c r="D215" s="9"/>
      <c r="E215" s="9"/>
      <c r="F215" s="8"/>
      <c r="G215" s="10">
        <f>SUMIFS(Purchases!$D:$D,Purchases!$C:$C,$A215)</f>
      </c>
      <c r="H215" s="10">
        <f>SUMIFS('Sales Log'!$D:$D,'Sales Log'!$C:$C,$A215)</f>
      </c>
      <c r="I215" s="10">
        <f>SUMIFS('Daily Stock Count'!$F:$F,'Daily Stock Count'!$B:$B,$A215)</f>
      </c>
      <c r="J215" s="10">
        <f>F215+G215-H215-I215</f>
      </c>
      <c r="K215" s="8"/>
      <c r="L215" s="11">
        <f>IF(J215&lt;=K215,"REORDER","OK")</f>
      </c>
    </row>
    <row r="216" ht="21" customHeight="1" spans="1:12" x14ac:dyDescent="0.25">
      <c r="A216" s="8"/>
      <c r="B216" s="8"/>
      <c r="C216" s="8"/>
      <c r="D216" s="9"/>
      <c r="E216" s="9"/>
      <c r="F216" s="8"/>
      <c r="G216" s="10">
        <f>SUMIFS(Purchases!$D:$D,Purchases!$C:$C,$A216)</f>
      </c>
      <c r="H216" s="10">
        <f>SUMIFS('Sales Log'!$D:$D,'Sales Log'!$C:$C,$A216)</f>
      </c>
      <c r="I216" s="10">
        <f>SUMIFS('Daily Stock Count'!$F:$F,'Daily Stock Count'!$B:$B,$A216)</f>
      </c>
      <c r="J216" s="10">
        <f>F216+G216-H216-I216</f>
      </c>
      <c r="K216" s="8"/>
      <c r="L216" s="11">
        <f>IF(J216&lt;=K216,"REORDER","OK")</f>
      </c>
    </row>
    <row r="217" ht="21" customHeight="1" spans="1:12" x14ac:dyDescent="0.25">
      <c r="A217" s="8"/>
      <c r="B217" s="8"/>
      <c r="C217" s="8"/>
      <c r="D217" s="9"/>
      <c r="E217" s="9"/>
      <c r="F217" s="8"/>
      <c r="G217" s="10">
        <f>SUMIFS(Purchases!$D:$D,Purchases!$C:$C,$A217)</f>
      </c>
      <c r="H217" s="10">
        <f>SUMIFS('Sales Log'!$D:$D,'Sales Log'!$C:$C,$A217)</f>
      </c>
      <c r="I217" s="10">
        <f>SUMIFS('Daily Stock Count'!$F:$F,'Daily Stock Count'!$B:$B,$A217)</f>
      </c>
      <c r="J217" s="10">
        <f>F217+G217-H217-I217</f>
      </c>
      <c r="K217" s="8"/>
      <c r="L217" s="11">
        <f>IF(J217&lt;=K217,"REORDER","OK")</f>
      </c>
    </row>
    <row r="218" ht="21" customHeight="1" spans="1:12" x14ac:dyDescent="0.25">
      <c r="A218" s="8"/>
      <c r="B218" s="8"/>
      <c r="C218" s="8"/>
      <c r="D218" s="9"/>
      <c r="E218" s="9"/>
      <c r="F218" s="8"/>
      <c r="G218" s="10">
        <f>SUMIFS(Purchases!$D:$D,Purchases!$C:$C,$A218)</f>
      </c>
      <c r="H218" s="10">
        <f>SUMIFS('Sales Log'!$D:$D,'Sales Log'!$C:$C,$A218)</f>
      </c>
      <c r="I218" s="10">
        <f>SUMIFS('Daily Stock Count'!$F:$F,'Daily Stock Count'!$B:$B,$A218)</f>
      </c>
      <c r="J218" s="10">
        <f>F218+G218-H218-I218</f>
      </c>
      <c r="K218" s="8"/>
      <c r="L218" s="11">
        <f>IF(J218&lt;=K218,"REORDER","OK")</f>
      </c>
    </row>
    <row r="219" ht="21" customHeight="1" spans="1:12" x14ac:dyDescent="0.25">
      <c r="A219" s="8"/>
      <c r="B219" s="8"/>
      <c r="C219" s="8"/>
      <c r="D219" s="9"/>
      <c r="E219" s="9"/>
      <c r="F219" s="8"/>
      <c r="G219" s="10">
        <f>SUMIFS(Purchases!$D:$D,Purchases!$C:$C,$A219)</f>
      </c>
      <c r="H219" s="10">
        <f>SUMIFS('Sales Log'!$D:$D,'Sales Log'!$C:$C,$A219)</f>
      </c>
      <c r="I219" s="10">
        <f>SUMIFS('Daily Stock Count'!$F:$F,'Daily Stock Count'!$B:$B,$A219)</f>
      </c>
      <c r="J219" s="10">
        <f>F219+G219-H219-I219</f>
      </c>
      <c r="K219" s="8"/>
      <c r="L219" s="11">
        <f>IF(J219&lt;=K219,"REORDER","OK")</f>
      </c>
    </row>
    <row r="220" ht="21" customHeight="1" spans="1:12" x14ac:dyDescent="0.25">
      <c r="A220" s="8"/>
      <c r="B220" s="8"/>
      <c r="C220" s="8"/>
      <c r="D220" s="9"/>
      <c r="E220" s="9"/>
      <c r="F220" s="8"/>
      <c r="G220" s="10">
        <f>SUMIFS(Purchases!$D:$D,Purchases!$C:$C,$A220)</f>
      </c>
      <c r="H220" s="10">
        <f>SUMIFS('Sales Log'!$D:$D,'Sales Log'!$C:$C,$A220)</f>
      </c>
      <c r="I220" s="10">
        <f>SUMIFS('Daily Stock Count'!$F:$F,'Daily Stock Count'!$B:$B,$A220)</f>
      </c>
      <c r="J220" s="10">
        <f>F220+G220-H220-I220</f>
      </c>
      <c r="K220" s="8"/>
      <c r="L220" s="11">
        <f>IF(J220&lt;=K220,"REORDER","OK")</f>
      </c>
    </row>
    <row r="221" ht="21" customHeight="1" spans="1:12" x14ac:dyDescent="0.25">
      <c r="A221" s="8"/>
      <c r="B221" s="8"/>
      <c r="C221" s="8"/>
      <c r="D221" s="9"/>
      <c r="E221" s="9"/>
      <c r="F221" s="8"/>
      <c r="G221" s="10">
        <f>SUMIFS(Purchases!$D:$D,Purchases!$C:$C,$A221)</f>
      </c>
      <c r="H221" s="10">
        <f>SUMIFS('Sales Log'!$D:$D,'Sales Log'!$C:$C,$A221)</f>
      </c>
      <c r="I221" s="10">
        <f>SUMIFS('Daily Stock Count'!$F:$F,'Daily Stock Count'!$B:$B,$A221)</f>
      </c>
      <c r="J221" s="10">
        <f>F221+G221-H221-I221</f>
      </c>
      <c r="K221" s="8"/>
      <c r="L221" s="11">
        <f>IF(J221&lt;=K221,"REORDER","OK")</f>
      </c>
    </row>
    <row r="222" ht="21" customHeight="1" spans="1:12" x14ac:dyDescent="0.25">
      <c r="A222" s="8"/>
      <c r="B222" s="8"/>
      <c r="C222" s="8"/>
      <c r="D222" s="9"/>
      <c r="E222" s="9"/>
      <c r="F222" s="8"/>
      <c r="G222" s="10">
        <f>SUMIFS(Purchases!$D:$D,Purchases!$C:$C,$A222)</f>
      </c>
      <c r="H222" s="10">
        <f>SUMIFS('Sales Log'!$D:$D,'Sales Log'!$C:$C,$A222)</f>
      </c>
      <c r="I222" s="10">
        <f>SUMIFS('Daily Stock Count'!$F:$F,'Daily Stock Count'!$B:$B,$A222)</f>
      </c>
      <c r="J222" s="10">
        <f>F222+G222-H222-I222</f>
      </c>
      <c r="K222" s="8"/>
      <c r="L222" s="11">
        <f>IF(J222&lt;=K222,"REORDER","OK")</f>
      </c>
    </row>
    <row r="223" ht="21" customHeight="1" spans="1:12" x14ac:dyDescent="0.25">
      <c r="A223" s="8"/>
      <c r="B223" s="8"/>
      <c r="C223" s="8"/>
      <c r="D223" s="9"/>
      <c r="E223" s="9"/>
      <c r="F223" s="8"/>
      <c r="G223" s="10">
        <f>SUMIFS(Purchases!$D:$D,Purchases!$C:$C,$A223)</f>
      </c>
      <c r="H223" s="10">
        <f>SUMIFS('Sales Log'!$D:$D,'Sales Log'!$C:$C,$A223)</f>
      </c>
      <c r="I223" s="10">
        <f>SUMIFS('Daily Stock Count'!$F:$F,'Daily Stock Count'!$B:$B,$A223)</f>
      </c>
      <c r="J223" s="10">
        <f>F223+G223-H223-I223</f>
      </c>
      <c r="K223" s="8"/>
      <c r="L223" s="11">
        <f>IF(J223&lt;=K223,"REORDER","OK")</f>
      </c>
    </row>
    <row r="224" ht="21" customHeight="1" spans="1:12" x14ac:dyDescent="0.25">
      <c r="A224" s="8"/>
      <c r="B224" s="8"/>
      <c r="C224" s="8"/>
      <c r="D224" s="9"/>
      <c r="E224" s="9"/>
      <c r="F224" s="8"/>
      <c r="G224" s="10">
        <f>SUMIFS(Purchases!$D:$D,Purchases!$C:$C,$A224)</f>
      </c>
      <c r="H224" s="10">
        <f>SUMIFS('Sales Log'!$D:$D,'Sales Log'!$C:$C,$A224)</f>
      </c>
      <c r="I224" s="10">
        <f>SUMIFS('Daily Stock Count'!$F:$F,'Daily Stock Count'!$B:$B,$A224)</f>
      </c>
      <c r="J224" s="10">
        <f>F224+G224-H224-I224</f>
      </c>
      <c r="K224" s="8"/>
      <c r="L224" s="11">
        <f>IF(J224&lt;=K224,"REORDER","OK")</f>
      </c>
    </row>
    <row r="225" ht="21" customHeight="1" spans="1:12" x14ac:dyDescent="0.25">
      <c r="A225" s="8"/>
      <c r="B225" s="8"/>
      <c r="C225" s="8"/>
      <c r="D225" s="9"/>
      <c r="E225" s="9"/>
      <c r="F225" s="8"/>
      <c r="G225" s="10">
        <f>SUMIFS(Purchases!$D:$D,Purchases!$C:$C,$A225)</f>
      </c>
      <c r="H225" s="10">
        <f>SUMIFS('Sales Log'!$D:$D,'Sales Log'!$C:$C,$A225)</f>
      </c>
      <c r="I225" s="10">
        <f>SUMIFS('Daily Stock Count'!$F:$F,'Daily Stock Count'!$B:$B,$A225)</f>
      </c>
      <c r="J225" s="10">
        <f>F225+G225-H225-I225</f>
      </c>
      <c r="K225" s="8"/>
      <c r="L225" s="11">
        <f>IF(J225&lt;=K225,"REORDER","OK")</f>
      </c>
    </row>
    <row r="226" ht="21" customHeight="1" spans="1:12" x14ac:dyDescent="0.25">
      <c r="A226" s="8"/>
      <c r="B226" s="8"/>
      <c r="C226" s="8"/>
      <c r="D226" s="9"/>
      <c r="E226" s="9"/>
      <c r="F226" s="8"/>
      <c r="G226" s="10">
        <f>SUMIFS(Purchases!$D:$D,Purchases!$C:$C,$A226)</f>
      </c>
      <c r="H226" s="10">
        <f>SUMIFS('Sales Log'!$D:$D,'Sales Log'!$C:$C,$A226)</f>
      </c>
      <c r="I226" s="10">
        <f>SUMIFS('Daily Stock Count'!$F:$F,'Daily Stock Count'!$B:$B,$A226)</f>
      </c>
      <c r="J226" s="10">
        <f>F226+G226-H226-I226</f>
      </c>
      <c r="K226" s="8"/>
      <c r="L226" s="11">
        <f>IF(J226&lt;=K226,"REORDER","OK")</f>
      </c>
    </row>
    <row r="227" ht="21" customHeight="1" spans="1:12" x14ac:dyDescent="0.25">
      <c r="A227" s="8"/>
      <c r="B227" s="8"/>
      <c r="C227" s="8"/>
      <c r="D227" s="9"/>
      <c r="E227" s="9"/>
      <c r="F227" s="8"/>
      <c r="G227" s="10">
        <f>SUMIFS(Purchases!$D:$D,Purchases!$C:$C,$A227)</f>
      </c>
      <c r="H227" s="10">
        <f>SUMIFS('Sales Log'!$D:$D,'Sales Log'!$C:$C,$A227)</f>
      </c>
      <c r="I227" s="10">
        <f>SUMIFS('Daily Stock Count'!$F:$F,'Daily Stock Count'!$B:$B,$A227)</f>
      </c>
      <c r="J227" s="10">
        <f>F227+G227-H227-I227</f>
      </c>
      <c r="K227" s="8"/>
      <c r="L227" s="11">
        <f>IF(J227&lt;=K227,"REORDER","OK")</f>
      </c>
    </row>
    <row r="228" ht="21" customHeight="1" spans="1:12" x14ac:dyDescent="0.25">
      <c r="A228" s="8"/>
      <c r="B228" s="8"/>
      <c r="C228" s="8"/>
      <c r="D228" s="9"/>
      <c r="E228" s="9"/>
      <c r="F228" s="8"/>
      <c r="G228" s="10">
        <f>SUMIFS(Purchases!$D:$D,Purchases!$C:$C,$A228)</f>
      </c>
      <c r="H228" s="10">
        <f>SUMIFS('Sales Log'!$D:$D,'Sales Log'!$C:$C,$A228)</f>
      </c>
      <c r="I228" s="10">
        <f>SUMIFS('Daily Stock Count'!$F:$F,'Daily Stock Count'!$B:$B,$A228)</f>
      </c>
      <c r="J228" s="10">
        <f>F228+G228-H228-I228</f>
      </c>
      <c r="K228" s="8"/>
      <c r="L228" s="11">
        <f>IF(J228&lt;=K228,"REORDER","OK")</f>
      </c>
    </row>
    <row r="229" ht="21" customHeight="1" spans="1:12" x14ac:dyDescent="0.25">
      <c r="A229" s="8"/>
      <c r="B229" s="8"/>
      <c r="C229" s="8"/>
      <c r="D229" s="9"/>
      <c r="E229" s="9"/>
      <c r="F229" s="8"/>
      <c r="G229" s="10">
        <f>SUMIFS(Purchases!$D:$D,Purchases!$C:$C,$A229)</f>
      </c>
      <c r="H229" s="10">
        <f>SUMIFS('Sales Log'!$D:$D,'Sales Log'!$C:$C,$A229)</f>
      </c>
      <c r="I229" s="10">
        <f>SUMIFS('Daily Stock Count'!$F:$F,'Daily Stock Count'!$B:$B,$A229)</f>
      </c>
      <c r="J229" s="10">
        <f>F229+G229-H229-I229</f>
      </c>
      <c r="K229" s="8"/>
      <c r="L229" s="11">
        <f>IF(J229&lt;=K229,"REORDER","OK")</f>
      </c>
    </row>
    <row r="230" ht="21" customHeight="1" spans="1:12" x14ac:dyDescent="0.25">
      <c r="A230" s="8"/>
      <c r="B230" s="8"/>
      <c r="C230" s="8"/>
      <c r="D230" s="9"/>
      <c r="E230" s="9"/>
      <c r="F230" s="8"/>
      <c r="G230" s="10">
        <f>SUMIFS(Purchases!$D:$D,Purchases!$C:$C,$A230)</f>
      </c>
      <c r="H230" s="10">
        <f>SUMIFS('Sales Log'!$D:$D,'Sales Log'!$C:$C,$A230)</f>
      </c>
      <c r="I230" s="10">
        <f>SUMIFS('Daily Stock Count'!$F:$F,'Daily Stock Count'!$B:$B,$A230)</f>
      </c>
      <c r="J230" s="10">
        <f>F230+G230-H230-I230</f>
      </c>
      <c r="K230" s="8"/>
      <c r="L230" s="11">
        <f>IF(J230&lt;=K230,"REORDER","OK")</f>
      </c>
    </row>
    <row r="231" ht="21" customHeight="1" spans="1:12" x14ac:dyDescent="0.25">
      <c r="A231" s="8"/>
      <c r="B231" s="8"/>
      <c r="C231" s="8"/>
      <c r="D231" s="9"/>
      <c r="E231" s="9"/>
      <c r="F231" s="8"/>
      <c r="G231" s="10">
        <f>SUMIFS(Purchases!$D:$D,Purchases!$C:$C,$A231)</f>
      </c>
      <c r="H231" s="10">
        <f>SUMIFS('Sales Log'!$D:$D,'Sales Log'!$C:$C,$A231)</f>
      </c>
      <c r="I231" s="10">
        <f>SUMIFS('Daily Stock Count'!$F:$F,'Daily Stock Count'!$B:$B,$A231)</f>
      </c>
      <c r="J231" s="10">
        <f>F231+G231-H231-I231</f>
      </c>
      <c r="K231" s="8"/>
      <c r="L231" s="11">
        <f>IF(J231&lt;=K231,"REORDER","OK")</f>
      </c>
    </row>
    <row r="232" ht="21" customHeight="1" spans="1:12" x14ac:dyDescent="0.25">
      <c r="A232" s="8"/>
      <c r="B232" s="8"/>
      <c r="C232" s="8"/>
      <c r="D232" s="9"/>
      <c r="E232" s="9"/>
      <c r="F232" s="8"/>
      <c r="G232" s="10">
        <f>SUMIFS(Purchases!$D:$D,Purchases!$C:$C,$A232)</f>
      </c>
      <c r="H232" s="10">
        <f>SUMIFS('Sales Log'!$D:$D,'Sales Log'!$C:$C,$A232)</f>
      </c>
      <c r="I232" s="10">
        <f>SUMIFS('Daily Stock Count'!$F:$F,'Daily Stock Count'!$B:$B,$A232)</f>
      </c>
      <c r="J232" s="10">
        <f>F232+G232-H232-I232</f>
      </c>
      <c r="K232" s="8"/>
      <c r="L232" s="11">
        <f>IF(J232&lt;=K232,"REORDER","OK")</f>
      </c>
    </row>
    <row r="233" ht="21" customHeight="1" spans="1:12" x14ac:dyDescent="0.25">
      <c r="A233" s="8"/>
      <c r="B233" s="8"/>
      <c r="C233" s="8"/>
      <c r="D233" s="9"/>
      <c r="E233" s="9"/>
      <c r="F233" s="8"/>
      <c r="G233" s="10">
        <f>SUMIFS(Purchases!$D:$D,Purchases!$C:$C,$A233)</f>
      </c>
      <c r="H233" s="10">
        <f>SUMIFS('Sales Log'!$D:$D,'Sales Log'!$C:$C,$A233)</f>
      </c>
      <c r="I233" s="10">
        <f>SUMIFS('Daily Stock Count'!$F:$F,'Daily Stock Count'!$B:$B,$A233)</f>
      </c>
      <c r="J233" s="10">
        <f>F233+G233-H233-I233</f>
      </c>
      <c r="K233" s="8"/>
      <c r="L233" s="11">
        <f>IF(J233&lt;=K233,"REORDER","OK")</f>
      </c>
    </row>
    <row r="234" ht="21" customHeight="1" spans="1:12" x14ac:dyDescent="0.25">
      <c r="A234" s="8"/>
      <c r="B234" s="8"/>
      <c r="C234" s="8"/>
      <c r="D234" s="9"/>
      <c r="E234" s="9"/>
      <c r="F234" s="8"/>
      <c r="G234" s="10">
        <f>SUMIFS(Purchases!$D:$D,Purchases!$C:$C,$A234)</f>
      </c>
      <c r="H234" s="10">
        <f>SUMIFS('Sales Log'!$D:$D,'Sales Log'!$C:$C,$A234)</f>
      </c>
      <c r="I234" s="10">
        <f>SUMIFS('Daily Stock Count'!$F:$F,'Daily Stock Count'!$B:$B,$A234)</f>
      </c>
      <c r="J234" s="10">
        <f>F234+G234-H234-I234</f>
      </c>
      <c r="K234" s="8"/>
      <c r="L234" s="11">
        <f>IF(J234&lt;=K234,"REORDER","OK")</f>
      </c>
    </row>
    <row r="235" ht="21" customHeight="1" spans="1:12" x14ac:dyDescent="0.25">
      <c r="A235" s="8"/>
      <c r="B235" s="8"/>
      <c r="C235" s="8"/>
      <c r="D235" s="9"/>
      <c r="E235" s="9"/>
      <c r="F235" s="8"/>
      <c r="G235" s="10">
        <f>SUMIFS(Purchases!$D:$D,Purchases!$C:$C,$A235)</f>
      </c>
      <c r="H235" s="10">
        <f>SUMIFS('Sales Log'!$D:$D,'Sales Log'!$C:$C,$A235)</f>
      </c>
      <c r="I235" s="10">
        <f>SUMIFS('Daily Stock Count'!$F:$F,'Daily Stock Count'!$B:$B,$A235)</f>
      </c>
      <c r="J235" s="10">
        <f>F235+G235-H235-I235</f>
      </c>
      <c r="K235" s="8"/>
      <c r="L235" s="11">
        <f>IF(J235&lt;=K235,"REORDER","OK")</f>
      </c>
    </row>
    <row r="236" ht="21" customHeight="1" spans="1:12" x14ac:dyDescent="0.25">
      <c r="A236" s="8"/>
      <c r="B236" s="8"/>
      <c r="C236" s="8"/>
      <c r="D236" s="9"/>
      <c r="E236" s="9"/>
      <c r="F236" s="8"/>
      <c r="G236" s="10">
        <f>SUMIFS(Purchases!$D:$D,Purchases!$C:$C,$A236)</f>
      </c>
      <c r="H236" s="10">
        <f>SUMIFS('Sales Log'!$D:$D,'Sales Log'!$C:$C,$A236)</f>
      </c>
      <c r="I236" s="10">
        <f>SUMIFS('Daily Stock Count'!$F:$F,'Daily Stock Count'!$B:$B,$A236)</f>
      </c>
      <c r="J236" s="10">
        <f>F236+G236-H236-I236</f>
      </c>
      <c r="K236" s="8"/>
      <c r="L236" s="11">
        <f>IF(J236&lt;=K236,"REORDER","OK")</f>
      </c>
    </row>
    <row r="237" ht="21" customHeight="1" spans="1:12" x14ac:dyDescent="0.25">
      <c r="A237" s="8"/>
      <c r="B237" s="8"/>
      <c r="C237" s="8"/>
      <c r="D237" s="9"/>
      <c r="E237" s="9"/>
      <c r="F237" s="8"/>
      <c r="G237" s="10">
        <f>SUMIFS(Purchases!$D:$D,Purchases!$C:$C,$A237)</f>
      </c>
      <c r="H237" s="10">
        <f>SUMIFS('Sales Log'!$D:$D,'Sales Log'!$C:$C,$A237)</f>
      </c>
      <c r="I237" s="10">
        <f>SUMIFS('Daily Stock Count'!$F:$F,'Daily Stock Count'!$B:$B,$A237)</f>
      </c>
      <c r="J237" s="10">
        <f>F237+G237-H237-I237</f>
      </c>
      <c r="K237" s="8"/>
      <c r="L237" s="11">
        <f>IF(J237&lt;=K237,"REORDER","OK")</f>
      </c>
    </row>
    <row r="238" ht="21" customHeight="1" spans="1:12" x14ac:dyDescent="0.25">
      <c r="A238" s="8"/>
      <c r="B238" s="8"/>
      <c r="C238" s="8"/>
      <c r="D238" s="9"/>
      <c r="E238" s="9"/>
      <c r="F238" s="8"/>
      <c r="G238" s="10">
        <f>SUMIFS(Purchases!$D:$D,Purchases!$C:$C,$A238)</f>
      </c>
      <c r="H238" s="10">
        <f>SUMIFS('Sales Log'!$D:$D,'Sales Log'!$C:$C,$A238)</f>
      </c>
      <c r="I238" s="10">
        <f>SUMIFS('Daily Stock Count'!$F:$F,'Daily Stock Count'!$B:$B,$A238)</f>
      </c>
      <c r="J238" s="10">
        <f>F238+G238-H238-I238</f>
      </c>
      <c r="K238" s="8"/>
      <c r="L238" s="11">
        <f>IF(J238&lt;=K238,"REORDER","OK")</f>
      </c>
    </row>
    <row r="239" ht="21" customHeight="1" spans="1:12" x14ac:dyDescent="0.25">
      <c r="A239" s="8"/>
      <c r="B239" s="8"/>
      <c r="C239" s="8"/>
      <c r="D239" s="9"/>
      <c r="E239" s="9"/>
      <c r="F239" s="8"/>
      <c r="G239" s="10">
        <f>SUMIFS(Purchases!$D:$D,Purchases!$C:$C,$A239)</f>
      </c>
      <c r="H239" s="10">
        <f>SUMIFS('Sales Log'!$D:$D,'Sales Log'!$C:$C,$A239)</f>
      </c>
      <c r="I239" s="10">
        <f>SUMIFS('Daily Stock Count'!$F:$F,'Daily Stock Count'!$B:$B,$A239)</f>
      </c>
      <c r="J239" s="10">
        <f>F239+G239-H239-I239</f>
      </c>
      <c r="K239" s="8"/>
      <c r="L239" s="11">
        <f>IF(J239&lt;=K239,"REORDER","OK")</f>
      </c>
    </row>
    <row r="240" ht="21" customHeight="1" spans="1:12" x14ac:dyDescent="0.25">
      <c r="A240" s="8"/>
      <c r="B240" s="8"/>
      <c r="C240" s="8"/>
      <c r="D240" s="9"/>
      <c r="E240" s="9"/>
      <c r="F240" s="8"/>
      <c r="G240" s="10">
        <f>SUMIFS(Purchases!$D:$D,Purchases!$C:$C,$A240)</f>
      </c>
      <c r="H240" s="10">
        <f>SUMIFS('Sales Log'!$D:$D,'Sales Log'!$C:$C,$A240)</f>
      </c>
      <c r="I240" s="10">
        <f>SUMIFS('Daily Stock Count'!$F:$F,'Daily Stock Count'!$B:$B,$A240)</f>
      </c>
      <c r="J240" s="10">
        <f>F240+G240-H240-I240</f>
      </c>
      <c r="K240" s="8"/>
      <c r="L240" s="11">
        <f>IF(J240&lt;=K240,"REORDER","OK")</f>
      </c>
    </row>
    <row r="241" ht="21" customHeight="1" spans="1:12" x14ac:dyDescent="0.25">
      <c r="A241" s="8"/>
      <c r="B241" s="8"/>
      <c r="C241" s="8"/>
      <c r="D241" s="9"/>
      <c r="E241" s="9"/>
      <c r="F241" s="8"/>
      <c r="G241" s="10">
        <f>SUMIFS(Purchases!$D:$D,Purchases!$C:$C,$A241)</f>
      </c>
      <c r="H241" s="10">
        <f>SUMIFS('Sales Log'!$D:$D,'Sales Log'!$C:$C,$A241)</f>
      </c>
      <c r="I241" s="10">
        <f>SUMIFS('Daily Stock Count'!$F:$F,'Daily Stock Count'!$B:$B,$A241)</f>
      </c>
      <c r="J241" s="10">
        <f>F241+G241-H241-I241</f>
      </c>
      <c r="K241" s="8"/>
      <c r="L241" s="11">
        <f>IF(J241&lt;=K241,"REORDER","OK")</f>
      </c>
    </row>
    <row r="242" ht="21" customHeight="1" spans="1:12" x14ac:dyDescent="0.25">
      <c r="A242" s="8"/>
      <c r="B242" s="8"/>
      <c r="C242" s="8"/>
      <c r="D242" s="9"/>
      <c r="E242" s="9"/>
      <c r="F242" s="8"/>
      <c r="G242" s="10">
        <f>SUMIFS(Purchases!$D:$D,Purchases!$C:$C,$A242)</f>
      </c>
      <c r="H242" s="10">
        <f>SUMIFS('Sales Log'!$D:$D,'Sales Log'!$C:$C,$A242)</f>
      </c>
      <c r="I242" s="10">
        <f>SUMIFS('Daily Stock Count'!$F:$F,'Daily Stock Count'!$B:$B,$A242)</f>
      </c>
      <c r="J242" s="10">
        <f>F242+G242-H242-I242</f>
      </c>
      <c r="K242" s="8"/>
      <c r="L242" s="11">
        <f>IF(J242&lt;=K242,"REORDER","OK")</f>
      </c>
    </row>
    <row r="243" ht="21" customHeight="1" spans="1:12" x14ac:dyDescent="0.25">
      <c r="A243" s="8"/>
      <c r="B243" s="8"/>
      <c r="C243" s="8"/>
      <c r="D243" s="9"/>
      <c r="E243" s="9"/>
      <c r="F243" s="8"/>
      <c r="G243" s="10">
        <f>SUMIFS(Purchases!$D:$D,Purchases!$C:$C,$A243)</f>
      </c>
      <c r="H243" s="10">
        <f>SUMIFS('Sales Log'!$D:$D,'Sales Log'!$C:$C,$A243)</f>
      </c>
      <c r="I243" s="10">
        <f>SUMIFS('Daily Stock Count'!$F:$F,'Daily Stock Count'!$B:$B,$A243)</f>
      </c>
      <c r="J243" s="10">
        <f>F243+G243-H243-I243</f>
      </c>
      <c r="K243" s="8"/>
      <c r="L243" s="11">
        <f>IF(J243&lt;=K243,"REORDER","OK")</f>
      </c>
    </row>
    <row r="244" ht="21" customHeight="1" spans="1:12" x14ac:dyDescent="0.25">
      <c r="A244" s="8"/>
      <c r="B244" s="8"/>
      <c r="C244" s="8"/>
      <c r="D244" s="9"/>
      <c r="E244" s="9"/>
      <c r="F244" s="8"/>
      <c r="G244" s="10">
        <f>SUMIFS(Purchases!$D:$D,Purchases!$C:$C,$A244)</f>
      </c>
      <c r="H244" s="10">
        <f>SUMIFS('Sales Log'!$D:$D,'Sales Log'!$C:$C,$A244)</f>
      </c>
      <c r="I244" s="10">
        <f>SUMIFS('Daily Stock Count'!$F:$F,'Daily Stock Count'!$B:$B,$A244)</f>
      </c>
      <c r="J244" s="10">
        <f>F244+G244-H244-I244</f>
      </c>
      <c r="K244" s="8"/>
      <c r="L244" s="11">
        <f>IF(J244&lt;=K244,"REORDER","OK")</f>
      </c>
    </row>
    <row r="245" ht="21" customHeight="1" spans="1:12" x14ac:dyDescent="0.25">
      <c r="A245" s="8"/>
      <c r="B245" s="8"/>
      <c r="C245" s="8"/>
      <c r="D245" s="9"/>
      <c r="E245" s="9"/>
      <c r="F245" s="8"/>
      <c r="G245" s="10">
        <f>SUMIFS(Purchases!$D:$D,Purchases!$C:$C,$A245)</f>
      </c>
      <c r="H245" s="10">
        <f>SUMIFS('Sales Log'!$D:$D,'Sales Log'!$C:$C,$A245)</f>
      </c>
      <c r="I245" s="10">
        <f>SUMIFS('Daily Stock Count'!$F:$F,'Daily Stock Count'!$B:$B,$A245)</f>
      </c>
      <c r="J245" s="10">
        <f>F245+G245-H245-I245</f>
      </c>
      <c r="K245" s="8"/>
      <c r="L245" s="11">
        <f>IF(J245&lt;=K245,"REORDER","OK")</f>
      </c>
    </row>
    <row r="246" ht="21" customHeight="1" spans="1:12" x14ac:dyDescent="0.25">
      <c r="A246" s="8"/>
      <c r="B246" s="8"/>
      <c r="C246" s="8"/>
      <c r="D246" s="9"/>
      <c r="E246" s="9"/>
      <c r="F246" s="8"/>
      <c r="G246" s="10">
        <f>SUMIFS(Purchases!$D:$D,Purchases!$C:$C,$A246)</f>
      </c>
      <c r="H246" s="10">
        <f>SUMIFS('Sales Log'!$D:$D,'Sales Log'!$C:$C,$A246)</f>
      </c>
      <c r="I246" s="10">
        <f>SUMIFS('Daily Stock Count'!$F:$F,'Daily Stock Count'!$B:$B,$A246)</f>
      </c>
      <c r="J246" s="10">
        <f>F246+G246-H246-I246</f>
      </c>
      <c r="K246" s="8"/>
      <c r="L246" s="11">
        <f>IF(J246&lt;=K246,"REORDER","OK")</f>
      </c>
    </row>
    <row r="247" ht="21" customHeight="1" spans="1:12" x14ac:dyDescent="0.25">
      <c r="A247" s="8"/>
      <c r="B247" s="8"/>
      <c r="C247" s="8"/>
      <c r="D247" s="9"/>
      <c r="E247" s="9"/>
      <c r="F247" s="8"/>
      <c r="G247" s="10">
        <f>SUMIFS(Purchases!$D:$D,Purchases!$C:$C,$A247)</f>
      </c>
      <c r="H247" s="10">
        <f>SUMIFS('Sales Log'!$D:$D,'Sales Log'!$C:$C,$A247)</f>
      </c>
      <c r="I247" s="10">
        <f>SUMIFS('Daily Stock Count'!$F:$F,'Daily Stock Count'!$B:$B,$A247)</f>
      </c>
      <c r="J247" s="10">
        <f>F247+G247-H247-I247</f>
      </c>
      <c r="K247" s="8"/>
      <c r="L247" s="11">
        <f>IF(J247&lt;=K247,"REORDER","OK")</f>
      </c>
    </row>
    <row r="248" ht="21" customHeight="1" spans="1:12" x14ac:dyDescent="0.25">
      <c r="A248" s="8"/>
      <c r="B248" s="8"/>
      <c r="C248" s="8"/>
      <c r="D248" s="9"/>
      <c r="E248" s="9"/>
      <c r="F248" s="8"/>
      <c r="G248" s="10">
        <f>SUMIFS(Purchases!$D:$D,Purchases!$C:$C,$A248)</f>
      </c>
      <c r="H248" s="10">
        <f>SUMIFS('Sales Log'!$D:$D,'Sales Log'!$C:$C,$A248)</f>
      </c>
      <c r="I248" s="10">
        <f>SUMIFS('Daily Stock Count'!$F:$F,'Daily Stock Count'!$B:$B,$A248)</f>
      </c>
      <c r="J248" s="10">
        <f>F248+G248-H248-I248</f>
      </c>
      <c r="K248" s="8"/>
      <c r="L248" s="11">
        <f>IF(J248&lt;=K248,"REORDER","OK")</f>
      </c>
    </row>
    <row r="249" ht="21" customHeight="1" spans="1:12" x14ac:dyDescent="0.25">
      <c r="A249" s="8"/>
      <c r="B249" s="8"/>
      <c r="C249" s="8"/>
      <c r="D249" s="9"/>
      <c r="E249" s="9"/>
      <c r="F249" s="8"/>
      <c r="G249" s="10">
        <f>SUMIFS(Purchases!$D:$D,Purchases!$C:$C,$A249)</f>
      </c>
      <c r="H249" s="10">
        <f>SUMIFS('Sales Log'!$D:$D,'Sales Log'!$C:$C,$A249)</f>
      </c>
      <c r="I249" s="10">
        <f>SUMIFS('Daily Stock Count'!$F:$F,'Daily Stock Count'!$B:$B,$A249)</f>
      </c>
      <c r="J249" s="10">
        <f>F249+G249-H249-I249</f>
      </c>
      <c r="K249" s="8"/>
      <c r="L249" s="11">
        <f>IF(J249&lt;=K249,"REORDER","OK")</f>
      </c>
    </row>
    <row r="250" ht="21" customHeight="1" spans="1:12" x14ac:dyDescent="0.25">
      <c r="A250" s="8"/>
      <c r="B250" s="8"/>
      <c r="C250" s="8"/>
      <c r="D250" s="9"/>
      <c r="E250" s="9"/>
      <c r="F250" s="8"/>
      <c r="G250" s="10">
        <f>SUMIFS(Purchases!$D:$D,Purchases!$C:$C,$A250)</f>
      </c>
      <c r="H250" s="10">
        <f>SUMIFS('Sales Log'!$D:$D,'Sales Log'!$C:$C,$A250)</f>
      </c>
      <c r="I250" s="10">
        <f>SUMIFS('Daily Stock Count'!$F:$F,'Daily Stock Count'!$B:$B,$A250)</f>
      </c>
      <c r="J250" s="10">
        <f>F250+G250-H250-I250</f>
      </c>
      <c r="K250" s="8"/>
      <c r="L250" s="11">
        <f>IF(J250&lt;=K250,"REORDER","OK")</f>
      </c>
    </row>
    <row r="251" ht="21" customHeight="1" spans="1:12" x14ac:dyDescent="0.25">
      <c r="A251" s="8"/>
      <c r="B251" s="8"/>
      <c r="C251" s="8"/>
      <c r="D251" s="9"/>
      <c r="E251" s="9"/>
      <c r="F251" s="8"/>
      <c r="G251" s="10">
        <f>SUMIFS(Purchases!$D:$D,Purchases!$C:$C,$A251)</f>
      </c>
      <c r="H251" s="10">
        <f>SUMIFS('Sales Log'!$D:$D,'Sales Log'!$C:$C,$A251)</f>
      </c>
      <c r="I251" s="10">
        <f>SUMIFS('Daily Stock Count'!$F:$F,'Daily Stock Count'!$B:$B,$A251)</f>
      </c>
      <c r="J251" s="10">
        <f>F251+G251-H251-I251</f>
      </c>
      <c r="K251" s="8"/>
      <c r="L251" s="11">
        <f>IF(J251&lt;=K251,"REORDER","OK")</f>
      </c>
    </row>
    <row r="252" ht="21" customHeight="1" spans="1:12" x14ac:dyDescent="0.25">
      <c r="A252" s="8"/>
      <c r="B252" s="8"/>
      <c r="C252" s="8"/>
      <c r="D252" s="9"/>
      <c r="E252" s="9"/>
      <c r="F252" s="8"/>
      <c r="G252" s="10">
        <f>SUMIFS(Purchases!$D:$D,Purchases!$C:$C,$A252)</f>
      </c>
      <c r="H252" s="10">
        <f>SUMIFS('Sales Log'!$D:$D,'Sales Log'!$C:$C,$A252)</f>
      </c>
      <c r="I252" s="10">
        <f>SUMIFS('Daily Stock Count'!$F:$F,'Daily Stock Count'!$B:$B,$A252)</f>
      </c>
      <c r="J252" s="10">
        <f>F252+G252-H252-I252</f>
      </c>
      <c r="K252" s="8"/>
      <c r="L252" s="11">
        <f>IF(J252&lt;=K252,"REORDER","OK")</f>
      </c>
    </row>
    <row r="253" ht="21" customHeight="1" spans="1:12" x14ac:dyDescent="0.25">
      <c r="A253" s="8"/>
      <c r="B253" s="8"/>
      <c r="C253" s="8"/>
      <c r="D253" s="9"/>
      <c r="E253" s="9"/>
      <c r="F253" s="8"/>
      <c r="G253" s="10">
        <f>SUMIFS(Purchases!$D:$D,Purchases!$C:$C,$A253)</f>
      </c>
      <c r="H253" s="10">
        <f>SUMIFS('Sales Log'!$D:$D,'Sales Log'!$C:$C,$A253)</f>
      </c>
      <c r="I253" s="10">
        <f>SUMIFS('Daily Stock Count'!$F:$F,'Daily Stock Count'!$B:$B,$A253)</f>
      </c>
      <c r="J253" s="10">
        <f>F253+G253-H253-I253</f>
      </c>
      <c r="K253" s="8"/>
      <c r="L253" s="11">
        <f>IF(J253&lt;=K253,"REORDER","OK")</f>
      </c>
    </row>
    <row r="254" ht="21" customHeight="1" spans="1:12" x14ac:dyDescent="0.25">
      <c r="A254" s="8"/>
      <c r="B254" s="8"/>
      <c r="C254" s="8"/>
      <c r="D254" s="9"/>
      <c r="E254" s="9"/>
      <c r="F254" s="8"/>
      <c r="G254" s="10">
        <f>SUMIFS(Purchases!$D:$D,Purchases!$C:$C,$A254)</f>
      </c>
      <c r="H254" s="10">
        <f>SUMIFS('Sales Log'!$D:$D,'Sales Log'!$C:$C,$A254)</f>
      </c>
      <c r="I254" s="10">
        <f>SUMIFS('Daily Stock Count'!$F:$F,'Daily Stock Count'!$B:$B,$A254)</f>
      </c>
      <c r="J254" s="10">
        <f>F254+G254-H254-I254</f>
      </c>
      <c r="K254" s="8"/>
      <c r="L254" s="11">
        <f>IF(J254&lt;=K254,"REORDER","OK")</f>
      </c>
    </row>
    <row r="255" ht="21" customHeight="1" spans="1:12" x14ac:dyDescent="0.25">
      <c r="A255" s="8"/>
      <c r="B255" s="8"/>
      <c r="C255" s="8"/>
      <c r="D255" s="9"/>
      <c r="E255" s="9"/>
      <c r="F255" s="8"/>
      <c r="G255" s="10">
        <f>SUMIFS(Purchases!$D:$D,Purchases!$C:$C,$A255)</f>
      </c>
      <c r="H255" s="10">
        <f>SUMIFS('Sales Log'!$D:$D,'Sales Log'!$C:$C,$A255)</f>
      </c>
      <c r="I255" s="10">
        <f>SUMIFS('Daily Stock Count'!$F:$F,'Daily Stock Count'!$B:$B,$A255)</f>
      </c>
      <c r="J255" s="10">
        <f>F255+G255-H255-I255</f>
      </c>
      <c r="K255" s="8"/>
      <c r="L255" s="11">
        <f>IF(J255&lt;=K255,"REORDER","OK")</f>
      </c>
    </row>
    <row r="256" ht="21" customHeight="1" spans="1:12" x14ac:dyDescent="0.25">
      <c r="A256" s="8"/>
      <c r="B256" s="8"/>
      <c r="C256" s="8"/>
      <c r="D256" s="9"/>
      <c r="E256" s="9"/>
      <c r="F256" s="8"/>
      <c r="G256" s="10">
        <f>SUMIFS(Purchases!$D:$D,Purchases!$C:$C,$A256)</f>
      </c>
      <c r="H256" s="10">
        <f>SUMIFS('Sales Log'!$D:$D,'Sales Log'!$C:$C,$A256)</f>
      </c>
      <c r="I256" s="10">
        <f>SUMIFS('Daily Stock Count'!$F:$F,'Daily Stock Count'!$B:$B,$A256)</f>
      </c>
      <c r="J256" s="10">
        <f>F256+G256-H256-I256</f>
      </c>
      <c r="K256" s="8"/>
      <c r="L256" s="11">
        <f>IF(J256&lt;=K256,"REORDER","OK")</f>
      </c>
    </row>
    <row r="257" ht="21" customHeight="1" spans="1:12" x14ac:dyDescent="0.25">
      <c r="A257" s="8"/>
      <c r="B257" s="8"/>
      <c r="C257" s="8"/>
      <c r="D257" s="9"/>
      <c r="E257" s="9"/>
      <c r="F257" s="8"/>
      <c r="G257" s="10">
        <f>SUMIFS(Purchases!$D:$D,Purchases!$C:$C,$A257)</f>
      </c>
      <c r="H257" s="10">
        <f>SUMIFS('Sales Log'!$D:$D,'Sales Log'!$C:$C,$A257)</f>
      </c>
      <c r="I257" s="10">
        <f>SUMIFS('Daily Stock Count'!$F:$F,'Daily Stock Count'!$B:$B,$A257)</f>
      </c>
      <c r="J257" s="10">
        <f>F257+G257-H257-I257</f>
      </c>
      <c r="K257" s="8"/>
      <c r="L257" s="11">
        <f>IF(J257&lt;=K257,"REORDER","OK")</f>
      </c>
    </row>
    <row r="258" ht="21" customHeight="1" spans="1:12" x14ac:dyDescent="0.25">
      <c r="A258" s="8"/>
      <c r="B258" s="8"/>
      <c r="C258" s="8"/>
      <c r="D258" s="9"/>
      <c r="E258" s="9"/>
      <c r="F258" s="8"/>
      <c r="G258" s="10">
        <f>SUMIFS(Purchases!$D:$D,Purchases!$C:$C,$A258)</f>
      </c>
      <c r="H258" s="10">
        <f>SUMIFS('Sales Log'!$D:$D,'Sales Log'!$C:$C,$A258)</f>
      </c>
      <c r="I258" s="10">
        <f>SUMIFS('Daily Stock Count'!$F:$F,'Daily Stock Count'!$B:$B,$A258)</f>
      </c>
      <c r="J258" s="10">
        <f>F258+G258-H258-I258</f>
      </c>
      <c r="K258" s="8"/>
      <c r="L258" s="11">
        <f>IF(J258&lt;=K258,"REORDER","OK")</f>
      </c>
    </row>
    <row r="259" ht="21" customHeight="1" spans="1:12" x14ac:dyDescent="0.25">
      <c r="A259" s="8"/>
      <c r="B259" s="8"/>
      <c r="C259" s="8"/>
      <c r="D259" s="9"/>
      <c r="E259" s="9"/>
      <c r="F259" s="8"/>
      <c r="G259" s="10">
        <f>SUMIFS(Purchases!$D:$D,Purchases!$C:$C,$A259)</f>
      </c>
      <c r="H259" s="10">
        <f>SUMIFS('Sales Log'!$D:$D,'Sales Log'!$C:$C,$A259)</f>
      </c>
      <c r="I259" s="10">
        <f>SUMIFS('Daily Stock Count'!$F:$F,'Daily Stock Count'!$B:$B,$A259)</f>
      </c>
      <c r="J259" s="10">
        <f>F259+G259-H259-I259</f>
      </c>
      <c r="K259" s="8"/>
      <c r="L259" s="11">
        <f>IF(J259&lt;=K259,"REORDER","OK")</f>
      </c>
    </row>
    <row r="260" ht="21" customHeight="1" spans="1:12" x14ac:dyDescent="0.25">
      <c r="A260" s="8"/>
      <c r="B260" s="8"/>
      <c r="C260" s="8"/>
      <c r="D260" s="9"/>
      <c r="E260" s="9"/>
      <c r="F260" s="8"/>
      <c r="G260" s="10">
        <f>SUMIFS(Purchases!$D:$D,Purchases!$C:$C,$A260)</f>
      </c>
      <c r="H260" s="10">
        <f>SUMIFS('Sales Log'!$D:$D,'Sales Log'!$C:$C,$A260)</f>
      </c>
      <c r="I260" s="10">
        <f>SUMIFS('Daily Stock Count'!$F:$F,'Daily Stock Count'!$B:$B,$A260)</f>
      </c>
      <c r="J260" s="10">
        <f>F260+G260-H260-I260</f>
      </c>
      <c r="K260" s="8"/>
      <c r="L260" s="11">
        <f>IF(J260&lt;=K260,"REORDER","OK")</f>
      </c>
    </row>
    <row r="261" ht="21" customHeight="1" spans="1:12" x14ac:dyDescent="0.25">
      <c r="A261" s="8"/>
      <c r="B261" s="8"/>
      <c r="C261" s="8"/>
      <c r="D261" s="9"/>
      <c r="E261" s="9"/>
      <c r="F261" s="8"/>
      <c r="G261" s="10">
        <f>SUMIFS(Purchases!$D:$D,Purchases!$C:$C,$A261)</f>
      </c>
      <c r="H261" s="10">
        <f>SUMIFS('Sales Log'!$D:$D,'Sales Log'!$C:$C,$A261)</f>
      </c>
      <c r="I261" s="10">
        <f>SUMIFS('Daily Stock Count'!$F:$F,'Daily Stock Count'!$B:$B,$A261)</f>
      </c>
      <c r="J261" s="10">
        <f>F261+G261-H261-I261</f>
      </c>
      <c r="K261" s="8"/>
      <c r="L261" s="11">
        <f>IF(J261&lt;=K261,"REORDER","OK")</f>
      </c>
    </row>
    <row r="262" ht="21" customHeight="1" spans="1:12" x14ac:dyDescent="0.25">
      <c r="A262" s="8"/>
      <c r="B262" s="8"/>
      <c r="C262" s="8"/>
      <c r="D262" s="9"/>
      <c r="E262" s="9"/>
      <c r="F262" s="8"/>
      <c r="G262" s="10">
        <f>SUMIFS(Purchases!$D:$D,Purchases!$C:$C,$A262)</f>
      </c>
      <c r="H262" s="10">
        <f>SUMIFS('Sales Log'!$D:$D,'Sales Log'!$C:$C,$A262)</f>
      </c>
      <c r="I262" s="10">
        <f>SUMIFS('Daily Stock Count'!$F:$F,'Daily Stock Count'!$B:$B,$A262)</f>
      </c>
      <c r="J262" s="10">
        <f>F262+G262-H262-I262</f>
      </c>
      <c r="K262" s="8"/>
      <c r="L262" s="11">
        <f>IF(J262&lt;=K262,"REORDER","OK")</f>
      </c>
    </row>
    <row r="263" ht="21" customHeight="1" spans="1:12" x14ac:dyDescent="0.25">
      <c r="A263" s="8"/>
      <c r="B263" s="8"/>
      <c r="C263" s="8"/>
      <c r="D263" s="9"/>
      <c r="E263" s="9"/>
      <c r="F263" s="8"/>
      <c r="G263" s="10">
        <f>SUMIFS(Purchases!$D:$D,Purchases!$C:$C,$A263)</f>
      </c>
      <c r="H263" s="10">
        <f>SUMIFS('Sales Log'!$D:$D,'Sales Log'!$C:$C,$A263)</f>
      </c>
      <c r="I263" s="10">
        <f>SUMIFS('Daily Stock Count'!$F:$F,'Daily Stock Count'!$B:$B,$A263)</f>
      </c>
      <c r="J263" s="10">
        <f>F263+G263-H263-I263</f>
      </c>
      <c r="K263" s="8"/>
      <c r="L263" s="11">
        <f>IF(J263&lt;=K263,"REORDER","OK")</f>
      </c>
    </row>
    <row r="264" ht="21" customHeight="1" spans="1:12" x14ac:dyDescent="0.25">
      <c r="A264" s="8"/>
      <c r="B264" s="8"/>
      <c r="C264" s="8"/>
      <c r="D264" s="9"/>
      <c r="E264" s="9"/>
      <c r="F264" s="8"/>
      <c r="G264" s="10">
        <f>SUMIFS(Purchases!$D:$D,Purchases!$C:$C,$A264)</f>
      </c>
      <c r="H264" s="10">
        <f>SUMIFS('Sales Log'!$D:$D,'Sales Log'!$C:$C,$A264)</f>
      </c>
      <c r="I264" s="10">
        <f>SUMIFS('Daily Stock Count'!$F:$F,'Daily Stock Count'!$B:$B,$A264)</f>
      </c>
      <c r="J264" s="10">
        <f>F264+G264-H264-I264</f>
      </c>
      <c r="K264" s="8"/>
      <c r="L264" s="11">
        <f>IF(J264&lt;=K264,"REORDER","OK")</f>
      </c>
    </row>
    <row r="265" ht="21" customHeight="1" spans="1:12" x14ac:dyDescent="0.25">
      <c r="A265" s="8"/>
      <c r="B265" s="8"/>
      <c r="C265" s="8"/>
      <c r="D265" s="9"/>
      <c r="E265" s="9"/>
      <c r="F265" s="8"/>
      <c r="G265" s="10">
        <f>SUMIFS(Purchases!$D:$D,Purchases!$C:$C,$A265)</f>
      </c>
      <c r="H265" s="10">
        <f>SUMIFS('Sales Log'!$D:$D,'Sales Log'!$C:$C,$A265)</f>
      </c>
      <c r="I265" s="10">
        <f>SUMIFS('Daily Stock Count'!$F:$F,'Daily Stock Count'!$B:$B,$A265)</f>
      </c>
      <c r="J265" s="10">
        <f>F265+G265-H265-I265</f>
      </c>
      <c r="K265" s="8"/>
      <c r="L265" s="11">
        <f>IF(J265&lt;=K265,"REORDER","OK")</f>
      </c>
    </row>
    <row r="266" ht="21" customHeight="1" spans="1:12" x14ac:dyDescent="0.25">
      <c r="A266" s="8"/>
      <c r="B266" s="8"/>
      <c r="C266" s="8"/>
      <c r="D266" s="9"/>
      <c r="E266" s="9"/>
      <c r="F266" s="8"/>
      <c r="G266" s="10">
        <f>SUMIFS(Purchases!$D:$D,Purchases!$C:$C,$A266)</f>
      </c>
      <c r="H266" s="10">
        <f>SUMIFS('Sales Log'!$D:$D,'Sales Log'!$C:$C,$A266)</f>
      </c>
      <c r="I266" s="10">
        <f>SUMIFS('Daily Stock Count'!$F:$F,'Daily Stock Count'!$B:$B,$A266)</f>
      </c>
      <c r="J266" s="10">
        <f>F266+G266-H266-I266</f>
      </c>
      <c r="K266" s="8"/>
      <c r="L266" s="11">
        <f>IF(J266&lt;=K266,"REORDER","OK")</f>
      </c>
    </row>
    <row r="267" ht="21" customHeight="1" spans="1:12" x14ac:dyDescent="0.25">
      <c r="A267" s="8"/>
      <c r="B267" s="8"/>
      <c r="C267" s="8"/>
      <c r="D267" s="9"/>
      <c r="E267" s="9"/>
      <c r="F267" s="8"/>
      <c r="G267" s="10">
        <f>SUMIFS(Purchases!$D:$D,Purchases!$C:$C,$A267)</f>
      </c>
      <c r="H267" s="10">
        <f>SUMIFS('Sales Log'!$D:$D,'Sales Log'!$C:$C,$A267)</f>
      </c>
      <c r="I267" s="10">
        <f>SUMIFS('Daily Stock Count'!$F:$F,'Daily Stock Count'!$B:$B,$A267)</f>
      </c>
      <c r="J267" s="10">
        <f>F267+G267-H267-I267</f>
      </c>
      <c r="K267" s="8"/>
      <c r="L267" s="11">
        <f>IF(J267&lt;=K267,"REORDER","OK")</f>
      </c>
    </row>
    <row r="268" ht="21" customHeight="1" spans="1:12" x14ac:dyDescent="0.25">
      <c r="A268" s="8"/>
      <c r="B268" s="8"/>
      <c r="C268" s="8"/>
      <c r="D268" s="9"/>
      <c r="E268" s="9"/>
      <c r="F268" s="8"/>
      <c r="G268" s="10">
        <f>SUMIFS(Purchases!$D:$D,Purchases!$C:$C,$A268)</f>
      </c>
      <c r="H268" s="10">
        <f>SUMIFS('Sales Log'!$D:$D,'Sales Log'!$C:$C,$A268)</f>
      </c>
      <c r="I268" s="10">
        <f>SUMIFS('Daily Stock Count'!$F:$F,'Daily Stock Count'!$B:$B,$A268)</f>
      </c>
      <c r="J268" s="10">
        <f>F268+G268-H268-I268</f>
      </c>
      <c r="K268" s="8"/>
      <c r="L268" s="11">
        <f>IF(J268&lt;=K268,"REORDER","OK")</f>
      </c>
    </row>
    <row r="269" ht="21" customHeight="1" spans="1:12" x14ac:dyDescent="0.25">
      <c r="A269" s="8"/>
      <c r="B269" s="8"/>
      <c r="C269" s="8"/>
      <c r="D269" s="9"/>
      <c r="E269" s="9"/>
      <c r="F269" s="8"/>
      <c r="G269" s="10">
        <f>SUMIFS(Purchases!$D:$D,Purchases!$C:$C,$A269)</f>
      </c>
      <c r="H269" s="10">
        <f>SUMIFS('Sales Log'!$D:$D,'Sales Log'!$C:$C,$A269)</f>
      </c>
      <c r="I269" s="10">
        <f>SUMIFS('Daily Stock Count'!$F:$F,'Daily Stock Count'!$B:$B,$A269)</f>
      </c>
      <c r="J269" s="10">
        <f>F269+G269-H269-I269</f>
      </c>
      <c r="K269" s="8"/>
      <c r="L269" s="11">
        <f>IF(J269&lt;=K269,"REORDER","OK")</f>
      </c>
    </row>
    <row r="270" ht="21" customHeight="1" spans="1:12" x14ac:dyDescent="0.25">
      <c r="A270" s="8"/>
      <c r="B270" s="8"/>
      <c r="C270" s="8"/>
      <c r="D270" s="9"/>
      <c r="E270" s="9"/>
      <c r="F270" s="8"/>
      <c r="G270" s="10">
        <f>SUMIFS(Purchases!$D:$D,Purchases!$C:$C,$A270)</f>
      </c>
      <c r="H270" s="10">
        <f>SUMIFS('Sales Log'!$D:$D,'Sales Log'!$C:$C,$A270)</f>
      </c>
      <c r="I270" s="10">
        <f>SUMIFS('Daily Stock Count'!$F:$F,'Daily Stock Count'!$B:$B,$A270)</f>
      </c>
      <c r="J270" s="10">
        <f>F270+G270-H270-I270</f>
      </c>
      <c r="K270" s="8"/>
      <c r="L270" s="11">
        <f>IF(J270&lt;=K270,"REORDER","OK")</f>
      </c>
    </row>
    <row r="271" ht="21" customHeight="1" spans="1:12" x14ac:dyDescent="0.25">
      <c r="A271" s="8"/>
      <c r="B271" s="8"/>
      <c r="C271" s="8"/>
      <c r="D271" s="9"/>
      <c r="E271" s="9"/>
      <c r="F271" s="8"/>
      <c r="G271" s="10">
        <f>SUMIFS(Purchases!$D:$D,Purchases!$C:$C,$A271)</f>
      </c>
      <c r="H271" s="10">
        <f>SUMIFS('Sales Log'!$D:$D,'Sales Log'!$C:$C,$A271)</f>
      </c>
      <c r="I271" s="10">
        <f>SUMIFS('Daily Stock Count'!$F:$F,'Daily Stock Count'!$B:$B,$A271)</f>
      </c>
      <c r="J271" s="10">
        <f>F271+G271-H271-I271</f>
      </c>
      <c r="K271" s="8"/>
      <c r="L271" s="11">
        <f>IF(J271&lt;=K271,"REORDER","OK")</f>
      </c>
    </row>
    <row r="272" ht="21" customHeight="1" spans="1:12" x14ac:dyDescent="0.25">
      <c r="A272" s="8"/>
      <c r="B272" s="8"/>
      <c r="C272" s="8"/>
      <c r="D272" s="9"/>
      <c r="E272" s="9"/>
      <c r="F272" s="8"/>
      <c r="G272" s="10">
        <f>SUMIFS(Purchases!$D:$D,Purchases!$C:$C,$A272)</f>
      </c>
      <c r="H272" s="10">
        <f>SUMIFS('Sales Log'!$D:$D,'Sales Log'!$C:$C,$A272)</f>
      </c>
      <c r="I272" s="10">
        <f>SUMIFS('Daily Stock Count'!$F:$F,'Daily Stock Count'!$B:$B,$A272)</f>
      </c>
      <c r="J272" s="10">
        <f>F272+G272-H272-I272</f>
      </c>
      <c r="K272" s="8"/>
      <c r="L272" s="11">
        <f>IF(J272&lt;=K272,"REORDER","OK")</f>
      </c>
    </row>
    <row r="273" ht="21" customHeight="1" spans="1:12" x14ac:dyDescent="0.25">
      <c r="A273" s="8"/>
      <c r="B273" s="8"/>
      <c r="C273" s="8"/>
      <c r="D273" s="9"/>
      <c r="E273" s="9"/>
      <c r="F273" s="8"/>
      <c r="G273" s="10">
        <f>SUMIFS(Purchases!$D:$D,Purchases!$C:$C,$A273)</f>
      </c>
      <c r="H273" s="10">
        <f>SUMIFS('Sales Log'!$D:$D,'Sales Log'!$C:$C,$A273)</f>
      </c>
      <c r="I273" s="10">
        <f>SUMIFS('Daily Stock Count'!$F:$F,'Daily Stock Count'!$B:$B,$A273)</f>
      </c>
      <c r="J273" s="10">
        <f>F273+G273-H273-I273</f>
      </c>
      <c r="K273" s="8"/>
      <c r="L273" s="11">
        <f>IF(J273&lt;=K273,"REORDER","OK")</f>
      </c>
    </row>
    <row r="274" ht="21" customHeight="1" spans="1:12" x14ac:dyDescent="0.25">
      <c r="A274" s="8"/>
      <c r="B274" s="8"/>
      <c r="C274" s="8"/>
      <c r="D274" s="9"/>
      <c r="E274" s="9"/>
      <c r="F274" s="8"/>
      <c r="G274" s="10">
        <f>SUMIFS(Purchases!$D:$D,Purchases!$C:$C,$A274)</f>
      </c>
      <c r="H274" s="10">
        <f>SUMIFS('Sales Log'!$D:$D,'Sales Log'!$C:$C,$A274)</f>
      </c>
      <c r="I274" s="10">
        <f>SUMIFS('Daily Stock Count'!$F:$F,'Daily Stock Count'!$B:$B,$A274)</f>
      </c>
      <c r="J274" s="10">
        <f>F274+G274-H274-I274</f>
      </c>
      <c r="K274" s="8"/>
      <c r="L274" s="11">
        <f>IF(J274&lt;=K274,"REORDER","OK")</f>
      </c>
    </row>
    <row r="275" ht="21" customHeight="1" spans="1:12" x14ac:dyDescent="0.25">
      <c r="A275" s="8"/>
      <c r="B275" s="8"/>
      <c r="C275" s="8"/>
      <c r="D275" s="9"/>
      <c r="E275" s="9"/>
      <c r="F275" s="8"/>
      <c r="G275" s="10">
        <f>SUMIFS(Purchases!$D:$D,Purchases!$C:$C,$A275)</f>
      </c>
      <c r="H275" s="10">
        <f>SUMIFS('Sales Log'!$D:$D,'Sales Log'!$C:$C,$A275)</f>
      </c>
      <c r="I275" s="10">
        <f>SUMIFS('Daily Stock Count'!$F:$F,'Daily Stock Count'!$B:$B,$A275)</f>
      </c>
      <c r="J275" s="10">
        <f>F275+G275-H275-I275</f>
      </c>
      <c r="K275" s="8"/>
      <c r="L275" s="11">
        <f>IF(J275&lt;=K275,"REORDER","OK")</f>
      </c>
    </row>
    <row r="276" ht="21" customHeight="1" spans="1:12" x14ac:dyDescent="0.25">
      <c r="A276" s="8"/>
      <c r="B276" s="8"/>
      <c r="C276" s="8"/>
      <c r="D276" s="9"/>
      <c r="E276" s="9"/>
      <c r="F276" s="8"/>
      <c r="G276" s="10">
        <f>SUMIFS(Purchases!$D:$D,Purchases!$C:$C,$A276)</f>
      </c>
      <c r="H276" s="10">
        <f>SUMIFS('Sales Log'!$D:$D,'Sales Log'!$C:$C,$A276)</f>
      </c>
      <c r="I276" s="10">
        <f>SUMIFS('Daily Stock Count'!$F:$F,'Daily Stock Count'!$B:$B,$A276)</f>
      </c>
      <c r="J276" s="10">
        <f>F276+G276-H276-I276</f>
      </c>
      <c r="K276" s="8"/>
      <c r="L276" s="11">
        <f>IF(J276&lt;=K276,"REORDER","OK")</f>
      </c>
    </row>
    <row r="277" ht="21" customHeight="1" spans="1:12" x14ac:dyDescent="0.25">
      <c r="A277" s="8"/>
      <c r="B277" s="8"/>
      <c r="C277" s="8"/>
      <c r="D277" s="9"/>
      <c r="E277" s="9"/>
      <c r="F277" s="8"/>
      <c r="G277" s="10">
        <f>SUMIFS(Purchases!$D:$D,Purchases!$C:$C,$A277)</f>
      </c>
      <c r="H277" s="10">
        <f>SUMIFS('Sales Log'!$D:$D,'Sales Log'!$C:$C,$A277)</f>
      </c>
      <c r="I277" s="10">
        <f>SUMIFS('Daily Stock Count'!$F:$F,'Daily Stock Count'!$B:$B,$A277)</f>
      </c>
      <c r="J277" s="10">
        <f>F277+G277-H277-I277</f>
      </c>
      <c r="K277" s="8"/>
      <c r="L277" s="11">
        <f>IF(J277&lt;=K277,"REORDER","OK")</f>
      </c>
    </row>
    <row r="278" ht="21" customHeight="1" spans="1:12" x14ac:dyDescent="0.25">
      <c r="A278" s="8"/>
      <c r="B278" s="8"/>
      <c r="C278" s="8"/>
      <c r="D278" s="9"/>
      <c r="E278" s="9"/>
      <c r="F278" s="8"/>
      <c r="G278" s="10">
        <f>SUMIFS(Purchases!$D:$D,Purchases!$C:$C,$A278)</f>
      </c>
      <c r="H278" s="10">
        <f>SUMIFS('Sales Log'!$D:$D,'Sales Log'!$C:$C,$A278)</f>
      </c>
      <c r="I278" s="10">
        <f>SUMIFS('Daily Stock Count'!$F:$F,'Daily Stock Count'!$B:$B,$A278)</f>
      </c>
      <c r="J278" s="10">
        <f>F278+G278-H278-I278</f>
      </c>
      <c r="K278" s="8"/>
      <c r="L278" s="11">
        <f>IF(J278&lt;=K278,"REORDER","OK")</f>
      </c>
    </row>
    <row r="279" ht="21" customHeight="1" spans="1:12" x14ac:dyDescent="0.25">
      <c r="A279" s="8"/>
      <c r="B279" s="8"/>
      <c r="C279" s="8"/>
      <c r="D279" s="9"/>
      <c r="E279" s="9"/>
      <c r="F279" s="8"/>
      <c r="G279" s="10">
        <f>SUMIFS(Purchases!$D:$D,Purchases!$C:$C,$A279)</f>
      </c>
      <c r="H279" s="10">
        <f>SUMIFS('Sales Log'!$D:$D,'Sales Log'!$C:$C,$A279)</f>
      </c>
      <c r="I279" s="10">
        <f>SUMIFS('Daily Stock Count'!$F:$F,'Daily Stock Count'!$B:$B,$A279)</f>
      </c>
      <c r="J279" s="10">
        <f>F279+G279-H279-I279</f>
      </c>
      <c r="K279" s="8"/>
      <c r="L279" s="11">
        <f>IF(J279&lt;=K279,"REORDER","OK")</f>
      </c>
    </row>
    <row r="280" ht="21" customHeight="1" spans="1:12" x14ac:dyDescent="0.25">
      <c r="A280" s="8"/>
      <c r="B280" s="8"/>
      <c r="C280" s="8"/>
      <c r="D280" s="9"/>
      <c r="E280" s="9"/>
      <c r="F280" s="8"/>
      <c r="G280" s="10">
        <f>SUMIFS(Purchases!$D:$D,Purchases!$C:$C,$A280)</f>
      </c>
      <c r="H280" s="10">
        <f>SUMIFS('Sales Log'!$D:$D,'Sales Log'!$C:$C,$A280)</f>
      </c>
      <c r="I280" s="10">
        <f>SUMIFS('Daily Stock Count'!$F:$F,'Daily Stock Count'!$B:$B,$A280)</f>
      </c>
      <c r="J280" s="10">
        <f>F280+G280-H280-I280</f>
      </c>
      <c r="K280" s="8"/>
      <c r="L280" s="11">
        <f>IF(J280&lt;=K280,"REORDER","OK")</f>
      </c>
    </row>
    <row r="281" ht="21" customHeight="1" spans="1:12" x14ac:dyDescent="0.25">
      <c r="A281" s="8"/>
      <c r="B281" s="8"/>
      <c r="C281" s="8"/>
      <c r="D281" s="9"/>
      <c r="E281" s="9"/>
      <c r="F281" s="8"/>
      <c r="G281" s="10">
        <f>SUMIFS(Purchases!$D:$D,Purchases!$C:$C,$A281)</f>
      </c>
      <c r="H281" s="10">
        <f>SUMIFS('Sales Log'!$D:$D,'Sales Log'!$C:$C,$A281)</f>
      </c>
      <c r="I281" s="10">
        <f>SUMIFS('Daily Stock Count'!$F:$F,'Daily Stock Count'!$B:$B,$A281)</f>
      </c>
      <c r="J281" s="10">
        <f>F281+G281-H281-I281</f>
      </c>
      <c r="K281" s="8"/>
      <c r="L281" s="11">
        <f>IF(J281&lt;=K281,"REORDER","OK")</f>
      </c>
    </row>
    <row r="282" ht="21" customHeight="1" spans="1:12" x14ac:dyDescent="0.25">
      <c r="A282" s="8"/>
      <c r="B282" s="8"/>
      <c r="C282" s="8"/>
      <c r="D282" s="9"/>
      <c r="E282" s="9"/>
      <c r="F282" s="8"/>
      <c r="G282" s="10">
        <f>SUMIFS(Purchases!$D:$D,Purchases!$C:$C,$A282)</f>
      </c>
      <c r="H282" s="10">
        <f>SUMIFS('Sales Log'!$D:$D,'Sales Log'!$C:$C,$A282)</f>
      </c>
      <c r="I282" s="10">
        <f>SUMIFS('Daily Stock Count'!$F:$F,'Daily Stock Count'!$B:$B,$A282)</f>
      </c>
      <c r="J282" s="10">
        <f>F282+G282-H282-I282</f>
      </c>
      <c r="K282" s="8"/>
      <c r="L282" s="11">
        <f>IF(J282&lt;=K282,"REORDER","OK")</f>
      </c>
    </row>
    <row r="283" ht="21" customHeight="1" spans="1:12" x14ac:dyDescent="0.25">
      <c r="A283" s="8"/>
      <c r="B283" s="8"/>
      <c r="C283" s="8"/>
      <c r="D283" s="9"/>
      <c r="E283" s="9"/>
      <c r="F283" s="8"/>
      <c r="G283" s="10">
        <f>SUMIFS(Purchases!$D:$D,Purchases!$C:$C,$A283)</f>
      </c>
      <c r="H283" s="10">
        <f>SUMIFS('Sales Log'!$D:$D,'Sales Log'!$C:$C,$A283)</f>
      </c>
      <c r="I283" s="10">
        <f>SUMIFS('Daily Stock Count'!$F:$F,'Daily Stock Count'!$B:$B,$A283)</f>
      </c>
      <c r="J283" s="10">
        <f>F283+G283-H283-I283</f>
      </c>
      <c r="K283" s="8"/>
      <c r="L283" s="11">
        <f>IF(J283&lt;=K283,"REORDER","OK")</f>
      </c>
    </row>
    <row r="284" ht="21" customHeight="1" spans="1:12" x14ac:dyDescent="0.25">
      <c r="A284" s="8"/>
      <c r="B284" s="8"/>
      <c r="C284" s="8"/>
      <c r="D284" s="9"/>
      <c r="E284" s="9"/>
      <c r="F284" s="8"/>
      <c r="G284" s="10">
        <f>SUMIFS(Purchases!$D:$D,Purchases!$C:$C,$A284)</f>
      </c>
      <c r="H284" s="10">
        <f>SUMIFS('Sales Log'!$D:$D,'Sales Log'!$C:$C,$A284)</f>
      </c>
      <c r="I284" s="10">
        <f>SUMIFS('Daily Stock Count'!$F:$F,'Daily Stock Count'!$B:$B,$A284)</f>
      </c>
      <c r="J284" s="10">
        <f>F284+G284-H284-I284</f>
      </c>
      <c r="K284" s="8"/>
      <c r="L284" s="11">
        <f>IF(J284&lt;=K284,"REORDER","OK")</f>
      </c>
    </row>
    <row r="285" ht="21" customHeight="1" spans="1:12" x14ac:dyDescent="0.25">
      <c r="A285" s="8"/>
      <c r="B285" s="8"/>
      <c r="C285" s="8"/>
      <c r="D285" s="9"/>
      <c r="E285" s="9"/>
      <c r="F285" s="8"/>
      <c r="G285" s="10">
        <f>SUMIFS(Purchases!$D:$D,Purchases!$C:$C,$A285)</f>
      </c>
      <c r="H285" s="10">
        <f>SUMIFS('Sales Log'!$D:$D,'Sales Log'!$C:$C,$A285)</f>
      </c>
      <c r="I285" s="10">
        <f>SUMIFS('Daily Stock Count'!$F:$F,'Daily Stock Count'!$B:$B,$A285)</f>
      </c>
      <c r="J285" s="10">
        <f>F285+G285-H285-I285</f>
      </c>
      <c r="K285" s="8"/>
      <c r="L285" s="11">
        <f>IF(J285&lt;=K285,"REORDER","OK")</f>
      </c>
    </row>
    <row r="286" ht="21" customHeight="1" spans="1:12" x14ac:dyDescent="0.25">
      <c r="A286" s="8"/>
      <c r="B286" s="8"/>
      <c r="C286" s="8"/>
      <c r="D286" s="9"/>
      <c r="E286" s="9"/>
      <c r="F286" s="8"/>
      <c r="G286" s="10">
        <f>SUMIFS(Purchases!$D:$D,Purchases!$C:$C,$A286)</f>
      </c>
      <c r="H286" s="10">
        <f>SUMIFS('Sales Log'!$D:$D,'Sales Log'!$C:$C,$A286)</f>
      </c>
      <c r="I286" s="10">
        <f>SUMIFS('Daily Stock Count'!$F:$F,'Daily Stock Count'!$B:$B,$A286)</f>
      </c>
      <c r="J286" s="10">
        <f>F286+G286-H286-I286</f>
      </c>
      <c r="K286" s="8"/>
      <c r="L286" s="11">
        <f>IF(J286&lt;=K286,"REORDER","OK")</f>
      </c>
    </row>
    <row r="287" ht="21" customHeight="1" spans="1:12" x14ac:dyDescent="0.25">
      <c r="A287" s="8"/>
      <c r="B287" s="8"/>
      <c r="C287" s="8"/>
      <c r="D287" s="9"/>
      <c r="E287" s="9"/>
      <c r="F287" s="8"/>
      <c r="G287" s="10">
        <f>SUMIFS(Purchases!$D:$D,Purchases!$C:$C,$A287)</f>
      </c>
      <c r="H287" s="10">
        <f>SUMIFS('Sales Log'!$D:$D,'Sales Log'!$C:$C,$A287)</f>
      </c>
      <c r="I287" s="10">
        <f>SUMIFS('Daily Stock Count'!$F:$F,'Daily Stock Count'!$B:$B,$A287)</f>
      </c>
      <c r="J287" s="10">
        <f>F287+G287-H287-I287</f>
      </c>
      <c r="K287" s="8"/>
      <c r="L287" s="11">
        <f>IF(J287&lt;=K287,"REORDER","OK")</f>
      </c>
    </row>
    <row r="288" ht="21" customHeight="1" spans="1:12" x14ac:dyDescent="0.25">
      <c r="A288" s="8"/>
      <c r="B288" s="8"/>
      <c r="C288" s="8"/>
      <c r="D288" s="9"/>
      <c r="E288" s="9"/>
      <c r="F288" s="8"/>
      <c r="G288" s="10">
        <f>SUMIFS(Purchases!$D:$D,Purchases!$C:$C,$A288)</f>
      </c>
      <c r="H288" s="10">
        <f>SUMIFS('Sales Log'!$D:$D,'Sales Log'!$C:$C,$A288)</f>
      </c>
      <c r="I288" s="10">
        <f>SUMIFS('Daily Stock Count'!$F:$F,'Daily Stock Count'!$B:$B,$A288)</f>
      </c>
      <c r="J288" s="10">
        <f>F288+G288-H288-I288</f>
      </c>
      <c r="K288" s="8"/>
      <c r="L288" s="11">
        <f>IF(J288&lt;=K288,"REORDER","OK")</f>
      </c>
    </row>
    <row r="289" ht="21" customHeight="1" spans="1:12" x14ac:dyDescent="0.25">
      <c r="A289" s="8"/>
      <c r="B289" s="8"/>
      <c r="C289" s="8"/>
      <c r="D289" s="9"/>
      <c r="E289" s="9"/>
      <c r="F289" s="8"/>
      <c r="G289" s="10">
        <f>SUMIFS(Purchases!$D:$D,Purchases!$C:$C,$A289)</f>
      </c>
      <c r="H289" s="10">
        <f>SUMIFS('Sales Log'!$D:$D,'Sales Log'!$C:$C,$A289)</f>
      </c>
      <c r="I289" s="10">
        <f>SUMIFS('Daily Stock Count'!$F:$F,'Daily Stock Count'!$B:$B,$A289)</f>
      </c>
      <c r="J289" s="10">
        <f>F289+G289-H289-I289</f>
      </c>
      <c r="K289" s="8"/>
      <c r="L289" s="11">
        <f>IF(J289&lt;=K289,"REORDER","OK")</f>
      </c>
    </row>
    <row r="290" ht="21" customHeight="1" spans="1:12" x14ac:dyDescent="0.25">
      <c r="A290" s="8"/>
      <c r="B290" s="8"/>
      <c r="C290" s="8"/>
      <c r="D290" s="9"/>
      <c r="E290" s="9"/>
      <c r="F290" s="8"/>
      <c r="G290" s="10">
        <f>SUMIFS(Purchases!$D:$D,Purchases!$C:$C,$A290)</f>
      </c>
      <c r="H290" s="10">
        <f>SUMIFS('Sales Log'!$D:$D,'Sales Log'!$C:$C,$A290)</f>
      </c>
      <c r="I290" s="10">
        <f>SUMIFS('Daily Stock Count'!$F:$F,'Daily Stock Count'!$B:$B,$A290)</f>
      </c>
      <c r="J290" s="10">
        <f>F290+G290-H290-I290</f>
      </c>
      <c r="K290" s="8"/>
      <c r="L290" s="11">
        <f>IF(J290&lt;=K290,"REORDER","OK")</f>
      </c>
    </row>
    <row r="291" ht="21" customHeight="1" spans="1:12" x14ac:dyDescent="0.25">
      <c r="A291" s="8"/>
      <c r="B291" s="8"/>
      <c r="C291" s="8"/>
      <c r="D291" s="9"/>
      <c r="E291" s="9"/>
      <c r="F291" s="8"/>
      <c r="G291" s="10">
        <f>SUMIFS(Purchases!$D:$D,Purchases!$C:$C,$A291)</f>
      </c>
      <c r="H291" s="10">
        <f>SUMIFS('Sales Log'!$D:$D,'Sales Log'!$C:$C,$A291)</f>
      </c>
      <c r="I291" s="10">
        <f>SUMIFS('Daily Stock Count'!$F:$F,'Daily Stock Count'!$B:$B,$A291)</f>
      </c>
      <c r="J291" s="10">
        <f>F291+G291-H291-I291</f>
      </c>
      <c r="K291" s="8"/>
      <c r="L291" s="11">
        <f>IF(J291&lt;=K291,"REORDER","OK")</f>
      </c>
    </row>
    <row r="292" ht="21" customHeight="1" spans="1:12" x14ac:dyDescent="0.25">
      <c r="A292" s="8"/>
      <c r="B292" s="8"/>
      <c r="C292" s="8"/>
      <c r="D292" s="9"/>
      <c r="E292" s="9"/>
      <c r="F292" s="8"/>
      <c r="G292" s="10">
        <f>SUMIFS(Purchases!$D:$D,Purchases!$C:$C,$A292)</f>
      </c>
      <c r="H292" s="10">
        <f>SUMIFS('Sales Log'!$D:$D,'Sales Log'!$C:$C,$A292)</f>
      </c>
      <c r="I292" s="10">
        <f>SUMIFS('Daily Stock Count'!$F:$F,'Daily Stock Count'!$B:$B,$A292)</f>
      </c>
      <c r="J292" s="10">
        <f>F292+G292-H292-I292</f>
      </c>
      <c r="K292" s="8"/>
      <c r="L292" s="11">
        <f>IF(J292&lt;=K292,"REORDER","OK")</f>
      </c>
    </row>
    <row r="293" ht="21" customHeight="1" spans="1:12" x14ac:dyDescent="0.25">
      <c r="A293" s="8"/>
      <c r="B293" s="8"/>
      <c r="C293" s="8"/>
      <c r="D293" s="9"/>
      <c r="E293" s="9"/>
      <c r="F293" s="8"/>
      <c r="G293" s="10">
        <f>SUMIFS(Purchases!$D:$D,Purchases!$C:$C,$A293)</f>
      </c>
      <c r="H293" s="10">
        <f>SUMIFS('Sales Log'!$D:$D,'Sales Log'!$C:$C,$A293)</f>
      </c>
      <c r="I293" s="10">
        <f>SUMIFS('Daily Stock Count'!$F:$F,'Daily Stock Count'!$B:$B,$A293)</f>
      </c>
      <c r="J293" s="10">
        <f>F293+G293-H293-I293</f>
      </c>
      <c r="K293" s="8"/>
      <c r="L293" s="11">
        <f>IF(J293&lt;=K293,"REORDER","OK")</f>
      </c>
    </row>
    <row r="294" ht="21" customHeight="1" spans="1:12" x14ac:dyDescent="0.25">
      <c r="A294" s="8"/>
      <c r="B294" s="8"/>
      <c r="C294" s="8"/>
      <c r="D294" s="9"/>
      <c r="E294" s="9"/>
      <c r="F294" s="8"/>
      <c r="G294" s="10">
        <f>SUMIFS(Purchases!$D:$D,Purchases!$C:$C,$A294)</f>
      </c>
      <c r="H294" s="10">
        <f>SUMIFS('Sales Log'!$D:$D,'Sales Log'!$C:$C,$A294)</f>
      </c>
      <c r="I294" s="10">
        <f>SUMIFS('Daily Stock Count'!$F:$F,'Daily Stock Count'!$B:$B,$A294)</f>
      </c>
      <c r="J294" s="10">
        <f>F294+G294-H294-I294</f>
      </c>
      <c r="K294" s="8"/>
      <c r="L294" s="11">
        <f>IF(J294&lt;=K294,"REORDER","OK")</f>
      </c>
    </row>
    <row r="295" ht="21" customHeight="1" spans="1:12" x14ac:dyDescent="0.25">
      <c r="A295" s="8"/>
      <c r="B295" s="8"/>
      <c r="C295" s="8"/>
      <c r="D295" s="9"/>
      <c r="E295" s="9"/>
      <c r="F295" s="8"/>
      <c r="G295" s="10">
        <f>SUMIFS(Purchases!$D:$D,Purchases!$C:$C,$A295)</f>
      </c>
      <c r="H295" s="10">
        <f>SUMIFS('Sales Log'!$D:$D,'Sales Log'!$C:$C,$A295)</f>
      </c>
      <c r="I295" s="10">
        <f>SUMIFS('Daily Stock Count'!$F:$F,'Daily Stock Count'!$B:$B,$A295)</f>
      </c>
      <c r="J295" s="10">
        <f>F295+G295-H295-I295</f>
      </c>
      <c r="K295" s="8"/>
      <c r="L295" s="11">
        <f>IF(J295&lt;=K295,"REORDER","OK")</f>
      </c>
    </row>
    <row r="296" ht="21" customHeight="1" spans="1:12" x14ac:dyDescent="0.25">
      <c r="A296" s="8"/>
      <c r="B296" s="8"/>
      <c r="C296" s="8"/>
      <c r="D296" s="9"/>
      <c r="E296" s="9"/>
      <c r="F296" s="8"/>
      <c r="G296" s="10">
        <f>SUMIFS(Purchases!$D:$D,Purchases!$C:$C,$A296)</f>
      </c>
      <c r="H296" s="10">
        <f>SUMIFS('Sales Log'!$D:$D,'Sales Log'!$C:$C,$A296)</f>
      </c>
      <c r="I296" s="10">
        <f>SUMIFS('Daily Stock Count'!$F:$F,'Daily Stock Count'!$B:$B,$A296)</f>
      </c>
      <c r="J296" s="10">
        <f>F296+G296-H296-I296</f>
      </c>
      <c r="K296" s="8"/>
      <c r="L296" s="11">
        <f>IF(J296&lt;=K296,"REORDER","OK")</f>
      </c>
    </row>
    <row r="297" ht="21" customHeight="1" spans="1:12" x14ac:dyDescent="0.25">
      <c r="A297" s="8"/>
      <c r="B297" s="8"/>
      <c r="C297" s="8"/>
      <c r="D297" s="9"/>
      <c r="E297" s="9"/>
      <c r="F297" s="8"/>
      <c r="G297" s="10">
        <f>SUMIFS(Purchases!$D:$D,Purchases!$C:$C,$A297)</f>
      </c>
      <c r="H297" s="10">
        <f>SUMIFS('Sales Log'!$D:$D,'Sales Log'!$C:$C,$A297)</f>
      </c>
      <c r="I297" s="10">
        <f>SUMIFS('Daily Stock Count'!$F:$F,'Daily Stock Count'!$B:$B,$A297)</f>
      </c>
      <c r="J297" s="10">
        <f>F297+G297-H297-I297</f>
      </c>
      <c r="K297" s="8"/>
      <c r="L297" s="11">
        <f>IF(J297&lt;=K297,"REORDER","OK")</f>
      </c>
    </row>
    <row r="298" ht="21" customHeight="1" spans="1:12" x14ac:dyDescent="0.25">
      <c r="A298" s="8"/>
      <c r="B298" s="8"/>
      <c r="C298" s="8"/>
      <c r="D298" s="9"/>
      <c r="E298" s="9"/>
      <c r="F298" s="8"/>
      <c r="G298" s="10">
        <f>SUMIFS(Purchases!$D:$D,Purchases!$C:$C,$A298)</f>
      </c>
      <c r="H298" s="10">
        <f>SUMIFS('Sales Log'!$D:$D,'Sales Log'!$C:$C,$A298)</f>
      </c>
      <c r="I298" s="10">
        <f>SUMIFS('Daily Stock Count'!$F:$F,'Daily Stock Count'!$B:$B,$A298)</f>
      </c>
      <c r="J298" s="10">
        <f>F298+G298-H298-I298</f>
      </c>
      <c r="K298" s="8"/>
      <c r="L298" s="11">
        <f>IF(J298&lt;=K298,"REORDER","OK")</f>
      </c>
    </row>
    <row r="299" ht="21" customHeight="1" spans="1:12" x14ac:dyDescent="0.25">
      <c r="A299" s="8"/>
      <c r="B299" s="8"/>
      <c r="C299" s="8"/>
      <c r="D299" s="9"/>
      <c r="E299" s="9"/>
      <c r="F299" s="8"/>
      <c r="G299" s="10">
        <f>SUMIFS(Purchases!$D:$D,Purchases!$C:$C,$A299)</f>
      </c>
      <c r="H299" s="10">
        <f>SUMIFS('Sales Log'!$D:$D,'Sales Log'!$C:$C,$A299)</f>
      </c>
      <c r="I299" s="10">
        <f>SUMIFS('Daily Stock Count'!$F:$F,'Daily Stock Count'!$B:$B,$A299)</f>
      </c>
      <c r="J299" s="10">
        <f>F299+G299-H299-I299</f>
      </c>
      <c r="K299" s="8"/>
      <c r="L299" s="11">
        <f>IF(J299&lt;=K299,"REORDER","OK")</f>
      </c>
    </row>
    <row r="300" ht="21" customHeight="1" spans="1:12" x14ac:dyDescent="0.25">
      <c r="A300" s="8"/>
      <c r="B300" s="8"/>
      <c r="C300" s="8"/>
      <c r="D300" s="9"/>
      <c r="E300" s="9"/>
      <c r="F300" s="8"/>
      <c r="G300" s="10">
        <f>SUMIFS(Purchases!$D:$D,Purchases!$C:$C,$A300)</f>
      </c>
      <c r="H300" s="10">
        <f>SUMIFS('Sales Log'!$D:$D,'Sales Log'!$C:$C,$A300)</f>
      </c>
      <c r="I300" s="10">
        <f>SUMIFS('Daily Stock Count'!$F:$F,'Daily Stock Count'!$B:$B,$A300)</f>
      </c>
      <c r="J300" s="10">
        <f>F300+G300-H300-I300</f>
      </c>
      <c r="K300" s="8"/>
      <c r="L300" s="11">
        <f>IF(J300&lt;=K300,"REORDER","OK")</f>
      </c>
    </row>
  </sheetData>
  <sheetProtection sheet="1" selectLockedCells="1" autoFilter="0" algorithmName="SHA-512" hashValue="lkisLJ477qaFsHNvGB4attItQL2jVZcJqMGYoWiaNuA+qF4TOaasy81OQp9IijWXkod/6MV6XYkb1+tkS3G2Vw==" saltValue="6kdrf48GvS1dwOuwDQ6D8A==" spinCount="100000"/>
  <mergeCells count="1">
    <mergeCell ref="A1:L1"/>
  </mergeCells>
  <conditionalFormatting sqref="L3:L300">
    <cfRule type="containsText" dxfId="0" priority="1">
      <formula>NOT(ISERROR(SEARCH("REORDER",L3)))</formula>
    </cfRule>
  </conditionalFormatting>
  <dataValidations count="4">
    <dataValidation type="list" allowBlank="1" showErrorMessage="1" errorStyle="warning" errorTitle="Choose from list" error="Please use the dropdown." sqref="B10:B300">
      <formula1>Lists!$A$2:$A$20</formula1>
    </dataValidation>
    <dataValidation type="list" allowBlank="1" showErrorMessage="1" errorStyle="warning" errorTitle="Choose from list" error="Please use the dropdown." sqref="B3:B300">
      <formula1>Lists!$A$2:$A$20</formula1>
    </dataValidation>
    <dataValidation type="list" allowBlank="1" showErrorMessage="1" errorStyle="warning" errorTitle="Choose from list" error="Please use the dropdown." sqref="C10:C300">
      <formula1>Lists!$B$2:$B$20</formula1>
    </dataValidation>
    <dataValidation type="list" allowBlank="1" showErrorMessage="1" errorStyle="warning" errorTitle="Choose from list" error="Please use the dropdown." sqref="C3:C300">
      <formula1>Lists!$B$2:$B$20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6" width="12" customWidth="1"/>
    <col min="7" max="7" width="20" customWidth="1"/>
    <col min="8" max="8" width="16" customWidth="1"/>
    <col min="9" max="9" width="12" customWidth="1"/>
  </cols>
  <sheetData>
    <row r="1" ht="24" customHeight="1" spans="1:9" x14ac:dyDescent="0.25">
      <c r="A1" s="1" t="s">
        <v>26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5" t="s">
        <v>14</v>
      </c>
      <c r="B2" s="5" t="s">
        <v>8</v>
      </c>
      <c r="C2" s="5" t="s">
        <v>27</v>
      </c>
      <c r="D2" s="5" t="s">
        <v>28</v>
      </c>
      <c r="E2" s="5" t="s">
        <v>29</v>
      </c>
      <c r="F2" s="5" t="s">
        <v>25</v>
      </c>
      <c r="G2" s="5" t="s">
        <v>30</v>
      </c>
      <c r="H2" s="5" t="s">
        <v>31</v>
      </c>
      <c r="I2" s="5" t="s">
        <v>32</v>
      </c>
    </row>
    <row r="3" ht="21" customHeight="1" spans="1:9" x14ac:dyDescent="0.25">
      <c r="A3" s="8"/>
      <c r="B3" s="8"/>
      <c r="C3" s="11">
        <f>IFERROR(VLOOKUP(B3,'Inventory Master'!$A$3:$L$300,6,FALSE),0)</f>
      </c>
      <c r="D3" s="11">
        <f>SUMIFS(Purchases!$D:$D,Purchases!$A:$A,$A3,Purchases!$C:$C,$B3)</f>
      </c>
      <c r="E3" s="11">
        <f>SUMIFS('Sales Log'!$D:$D,'Sales Log'!$A:$A,$A3,'Sales Log'!$C:$C,$B3)</f>
      </c>
      <c r="F3" s="8"/>
      <c r="G3" s="8"/>
      <c r="H3" s="11">
        <f>C3+D3-E3-F3</f>
      </c>
      <c r="I3" s="11">
        <f>H3-G3</f>
      </c>
    </row>
    <row r="4" ht="21" customHeight="1" spans="1:9" x14ac:dyDescent="0.25">
      <c r="A4" s="8"/>
      <c r="B4" s="8"/>
      <c r="C4" s="11">
        <f>IFERROR(LOOKUP(2,1/(($B$3:$B3=B4)*($A$3:$A3&lt;A4)),$G$3:$G3),IFERROR(VLOOKUP(B4,'Inventory Master'!$A$3:$L$300,6,FALSE),0))</f>
      </c>
      <c r="D4" s="11">
        <f>SUMIFS(Purchases!$D:$D,Purchases!$A:$A,$A4,Purchases!$C:$C,$B4)</f>
      </c>
      <c r="E4" s="11">
        <f>SUMIFS('Sales Log'!$D:$D,'Sales Log'!$A:$A,$A4,'Sales Log'!$C:$C,$B4)</f>
      </c>
      <c r="F4" s="8"/>
      <c r="G4" s="8"/>
      <c r="H4" s="11">
        <f>C4+D4-E4-F4</f>
      </c>
      <c r="I4" s="11">
        <f>H4-G4</f>
      </c>
    </row>
    <row r="5" ht="21" customHeight="1" spans="1:9" x14ac:dyDescent="0.25">
      <c r="A5" s="8"/>
      <c r="B5" s="8"/>
      <c r="C5" s="11">
        <f>IFERROR(LOOKUP(2,1/(($B$3:$B4=B5)*($A$3:$A4&lt;A5)),$G$3:$G4),IFERROR(VLOOKUP(B5,'Inventory Master'!$A$3:$L$300,6,FALSE),0))</f>
      </c>
      <c r="D5" s="11">
        <f>SUMIFS(Purchases!$D:$D,Purchases!$A:$A,$A5,Purchases!$C:$C,$B5)</f>
      </c>
      <c r="E5" s="11">
        <f>SUMIFS('Sales Log'!$D:$D,'Sales Log'!$A:$A,$A5,'Sales Log'!$C:$C,$B5)</f>
      </c>
      <c r="F5" s="8"/>
      <c r="G5" s="8"/>
      <c r="H5" s="11">
        <f>C5+D5-E5-F5</f>
      </c>
      <c r="I5" s="11">
        <f>H5-G5</f>
      </c>
    </row>
    <row r="6" ht="21" customHeight="1" spans="1:9" x14ac:dyDescent="0.25">
      <c r="A6" s="8"/>
      <c r="B6" s="8"/>
      <c r="C6" s="11">
        <f>IFERROR(LOOKUP(2,1/(($B$3:$B5=B6)*($A$3:$A5&lt;A6)),$G$3:$G5),IFERROR(VLOOKUP(B6,'Inventory Master'!$A$3:$L$300,6,FALSE),0))</f>
      </c>
      <c r="D6" s="11">
        <f>SUMIFS(Purchases!$D:$D,Purchases!$A:$A,$A6,Purchases!$C:$C,$B6)</f>
      </c>
      <c r="E6" s="11">
        <f>SUMIFS('Sales Log'!$D:$D,'Sales Log'!$A:$A,$A6,'Sales Log'!$C:$C,$B6)</f>
      </c>
      <c r="F6" s="8"/>
      <c r="G6" s="8"/>
      <c r="H6" s="11">
        <f>C6+D6-E6-F6</f>
      </c>
      <c r="I6" s="11">
        <f>H6-G6</f>
      </c>
    </row>
    <row r="7" ht="21" customHeight="1" spans="1:9" x14ac:dyDescent="0.25">
      <c r="A7" s="8"/>
      <c r="B7" s="8"/>
      <c r="C7" s="11">
        <f>IFERROR(LOOKUP(2,1/(($B$3:$B6=B7)*($A$3:$A6&lt;A7)),$G$3:$G6),IFERROR(VLOOKUP(B7,'Inventory Master'!$A$3:$L$300,6,FALSE),0))</f>
      </c>
      <c r="D7" s="11">
        <f>SUMIFS(Purchases!$D:$D,Purchases!$A:$A,$A7,Purchases!$C:$C,$B7)</f>
      </c>
      <c r="E7" s="11">
        <f>SUMIFS('Sales Log'!$D:$D,'Sales Log'!$A:$A,$A7,'Sales Log'!$C:$C,$B7)</f>
      </c>
      <c r="F7" s="8"/>
      <c r="G7" s="8"/>
      <c r="H7" s="11">
        <f>C7+D7-E7-F7</f>
      </c>
      <c r="I7" s="11">
        <f>H7-G7</f>
      </c>
    </row>
    <row r="8" ht="21" customHeight="1" spans="1:9" x14ac:dyDescent="0.25">
      <c r="A8" s="8"/>
      <c r="B8" s="8"/>
      <c r="C8" s="11">
        <f>IFERROR(LOOKUP(2,1/(($B$3:$B7=B8)*($A$3:$A7&lt;A8)),$G$3:$G7),IFERROR(VLOOKUP(B8,'Inventory Master'!$A$3:$L$300,6,FALSE),0))</f>
      </c>
      <c r="D8" s="11">
        <f>SUMIFS(Purchases!$D:$D,Purchases!$A:$A,$A8,Purchases!$C:$C,$B8)</f>
      </c>
      <c r="E8" s="11">
        <f>SUMIFS('Sales Log'!$D:$D,'Sales Log'!$A:$A,$A8,'Sales Log'!$C:$C,$B8)</f>
      </c>
      <c r="F8" s="8"/>
      <c r="G8" s="8"/>
      <c r="H8" s="11">
        <f>C8+D8-E8-F8</f>
      </c>
      <c r="I8" s="11">
        <f>H8-G8</f>
      </c>
    </row>
    <row r="9" ht="21" customHeight="1" spans="1:9" x14ac:dyDescent="0.25">
      <c r="A9" s="8"/>
      <c r="B9" s="8"/>
      <c r="C9" s="11">
        <f>IFERROR(LOOKUP(2,1/(($B$3:$B8=B9)*($A$3:$A8&lt;A9)),$G$3:$G8),IFERROR(VLOOKUP(B9,'Inventory Master'!$A$3:$L$300,6,FALSE),0))</f>
      </c>
      <c r="D9" s="11">
        <f>SUMIFS(Purchases!$D:$D,Purchases!$A:$A,$A9,Purchases!$C:$C,$B9)</f>
      </c>
      <c r="E9" s="11">
        <f>SUMIFS('Sales Log'!$D:$D,'Sales Log'!$A:$A,$A9,'Sales Log'!$C:$C,$B9)</f>
      </c>
      <c r="F9" s="8"/>
      <c r="G9" s="8"/>
      <c r="H9" s="11">
        <f>C9+D9-E9-F9</f>
      </c>
      <c r="I9" s="11">
        <f>H9-G9</f>
      </c>
    </row>
    <row r="10" ht="21" customHeight="1" spans="1:9" x14ac:dyDescent="0.25">
      <c r="A10" s="8"/>
      <c r="B10" s="8"/>
      <c r="C10" s="11">
        <f>IFERROR(LOOKUP(2,1/(($B$3:$B9=B10)*($A$3:$A9&lt;A10)),$G$3:$G9),IFERROR(VLOOKUP(B10,'Inventory Master'!$A$3:$L$300,6,FALSE),0))</f>
      </c>
      <c r="D10" s="11">
        <f>SUMIFS(Purchases!$D:$D,Purchases!$A:$A,$A10,Purchases!$C:$C,$B10)</f>
      </c>
      <c r="E10" s="11">
        <f>SUMIFS('Sales Log'!$D:$D,'Sales Log'!$A:$A,$A10,'Sales Log'!$C:$C,$B10)</f>
      </c>
      <c r="F10" s="8"/>
      <c r="G10" s="8"/>
      <c r="H10" s="11">
        <f>C10+D10-E10-F10</f>
      </c>
      <c r="I10" s="11">
        <f>H10-G10</f>
      </c>
    </row>
    <row r="11" ht="21" customHeight="1" spans="1:9" x14ac:dyDescent="0.25">
      <c r="A11" s="8"/>
      <c r="B11" s="8"/>
      <c r="C11" s="11">
        <f>IFERROR(LOOKUP(2,1/(($B$3:$B10=B11)*($A$3:$A10&lt;A11)),$G$3:$G10),IFERROR(VLOOKUP(B11,'Inventory Master'!$A$3:$L$300,6,FALSE),0))</f>
      </c>
      <c r="D11" s="11">
        <f>SUMIFS(Purchases!$D:$D,Purchases!$A:$A,$A11,Purchases!$C:$C,$B11)</f>
      </c>
      <c r="E11" s="11">
        <f>SUMIFS('Sales Log'!$D:$D,'Sales Log'!$A:$A,$A11,'Sales Log'!$C:$C,$B11)</f>
      </c>
      <c r="F11" s="8"/>
      <c r="G11" s="8"/>
      <c r="H11" s="11">
        <f>C11+D11-E11-F11</f>
      </c>
      <c r="I11" s="11">
        <f>H11-G11</f>
      </c>
    </row>
    <row r="12" ht="21" customHeight="1" spans="1:9" x14ac:dyDescent="0.25">
      <c r="A12" s="8"/>
      <c r="B12" s="8"/>
      <c r="C12" s="11">
        <f>IFERROR(LOOKUP(2,1/(($B$3:$B11=B12)*($A$3:$A11&lt;A12)),$G$3:$G11),IFERROR(VLOOKUP(B12,'Inventory Master'!$A$3:$L$300,6,FALSE),0))</f>
      </c>
      <c r="D12" s="11">
        <f>SUMIFS(Purchases!$D:$D,Purchases!$A:$A,$A12,Purchases!$C:$C,$B12)</f>
      </c>
      <c r="E12" s="11">
        <f>SUMIFS('Sales Log'!$D:$D,'Sales Log'!$A:$A,$A12,'Sales Log'!$C:$C,$B12)</f>
      </c>
      <c r="F12" s="8"/>
      <c r="G12" s="8"/>
      <c r="H12" s="11">
        <f>C12+D12-E12-F12</f>
      </c>
      <c r="I12" s="11">
        <f>H12-G12</f>
      </c>
    </row>
    <row r="13" ht="21" customHeight="1" spans="1:9" x14ac:dyDescent="0.25">
      <c r="A13" s="8"/>
      <c r="B13" s="8"/>
      <c r="C13" s="11">
        <f>IFERROR(LOOKUP(2,1/(($B$3:$B12=B13)*($A$3:$A12&lt;A13)),$G$3:$G12),IFERROR(VLOOKUP(B13,'Inventory Master'!$A$3:$L$300,6,FALSE),0))</f>
      </c>
      <c r="D13" s="11">
        <f>SUMIFS(Purchases!$D:$D,Purchases!$A:$A,$A13,Purchases!$C:$C,$B13)</f>
      </c>
      <c r="E13" s="11">
        <f>SUMIFS('Sales Log'!$D:$D,'Sales Log'!$A:$A,$A13,'Sales Log'!$C:$C,$B13)</f>
      </c>
      <c r="F13" s="8"/>
      <c r="G13" s="8"/>
      <c r="H13" s="11">
        <f>C13+D13-E13-F13</f>
      </c>
      <c r="I13" s="11">
        <f>H13-G13</f>
      </c>
    </row>
    <row r="14" ht="21" customHeight="1" spans="1:9" x14ac:dyDescent="0.25">
      <c r="A14" s="8"/>
      <c r="B14" s="8"/>
      <c r="C14" s="11">
        <f>IFERROR(LOOKUP(2,1/(($B$3:$B13=B14)*($A$3:$A13&lt;A14)),$G$3:$G13),IFERROR(VLOOKUP(B14,'Inventory Master'!$A$3:$L$300,6,FALSE),0))</f>
      </c>
      <c r="D14" s="11">
        <f>SUMIFS(Purchases!$D:$D,Purchases!$A:$A,$A14,Purchases!$C:$C,$B14)</f>
      </c>
      <c r="E14" s="11">
        <f>SUMIFS('Sales Log'!$D:$D,'Sales Log'!$A:$A,$A14,'Sales Log'!$C:$C,$B14)</f>
      </c>
      <c r="F14" s="8"/>
      <c r="G14" s="8"/>
      <c r="H14" s="11">
        <f>C14+D14-E14-F14</f>
      </c>
      <c r="I14" s="11">
        <f>H14-G14</f>
      </c>
    </row>
    <row r="15" ht="21" customHeight="1" spans="1:9" x14ac:dyDescent="0.25">
      <c r="A15" s="8"/>
      <c r="B15" s="8"/>
      <c r="C15" s="11">
        <f>IFERROR(LOOKUP(2,1/(($B$3:$B14=B15)*($A$3:$A14&lt;A15)),$G$3:$G14),IFERROR(VLOOKUP(B15,'Inventory Master'!$A$3:$L$300,6,FALSE),0))</f>
      </c>
      <c r="D15" s="11">
        <f>SUMIFS(Purchases!$D:$D,Purchases!$A:$A,$A15,Purchases!$C:$C,$B15)</f>
      </c>
      <c r="E15" s="11">
        <f>SUMIFS('Sales Log'!$D:$D,'Sales Log'!$A:$A,$A15,'Sales Log'!$C:$C,$B15)</f>
      </c>
      <c r="F15" s="8"/>
      <c r="G15" s="8"/>
      <c r="H15" s="11">
        <f>C15+D15-E15-F15</f>
      </c>
      <c r="I15" s="11">
        <f>H15-G15</f>
      </c>
    </row>
    <row r="16" ht="21" customHeight="1" spans="1:9" x14ac:dyDescent="0.25">
      <c r="A16" s="8"/>
      <c r="B16" s="8"/>
      <c r="C16" s="11">
        <f>IFERROR(LOOKUP(2,1/(($B$3:$B15=B16)*($A$3:$A15&lt;A16)),$G$3:$G15),IFERROR(VLOOKUP(B16,'Inventory Master'!$A$3:$L$300,6,FALSE),0))</f>
      </c>
      <c r="D16" s="11">
        <f>SUMIFS(Purchases!$D:$D,Purchases!$A:$A,$A16,Purchases!$C:$C,$B16)</f>
      </c>
      <c r="E16" s="11">
        <f>SUMIFS('Sales Log'!$D:$D,'Sales Log'!$A:$A,$A16,'Sales Log'!$C:$C,$B16)</f>
      </c>
      <c r="F16" s="8"/>
      <c r="G16" s="8"/>
      <c r="H16" s="11">
        <f>C16+D16-E16-F16</f>
      </c>
      <c r="I16" s="11">
        <f>H16-G16</f>
      </c>
    </row>
    <row r="17" ht="21" customHeight="1" spans="1:9" x14ac:dyDescent="0.25">
      <c r="A17" s="8"/>
      <c r="B17" s="8"/>
      <c r="C17" s="11">
        <f>IFERROR(LOOKUP(2,1/(($B$3:$B16=B17)*($A$3:$A16&lt;A17)),$G$3:$G16),IFERROR(VLOOKUP(B17,'Inventory Master'!$A$3:$L$300,6,FALSE),0))</f>
      </c>
      <c r="D17" s="11">
        <f>SUMIFS(Purchases!$D:$D,Purchases!$A:$A,$A17,Purchases!$C:$C,$B17)</f>
      </c>
      <c r="E17" s="11">
        <f>SUMIFS('Sales Log'!$D:$D,'Sales Log'!$A:$A,$A17,'Sales Log'!$C:$C,$B17)</f>
      </c>
      <c r="F17" s="8"/>
      <c r="G17" s="8"/>
      <c r="H17" s="11">
        <f>C17+D17-E17-F17</f>
      </c>
      <c r="I17" s="11">
        <f>H17-G17</f>
      </c>
    </row>
    <row r="18" ht="21" customHeight="1" spans="1:9" x14ac:dyDescent="0.25">
      <c r="A18" s="8"/>
      <c r="B18" s="8"/>
      <c r="C18" s="11">
        <f>IFERROR(LOOKUP(2,1/(($B$3:$B17=B18)*($A$3:$A17&lt;A18)),$G$3:$G17),IFERROR(VLOOKUP(B18,'Inventory Master'!$A$3:$L$300,6,FALSE),0))</f>
      </c>
      <c r="D18" s="11">
        <f>SUMIFS(Purchases!$D:$D,Purchases!$A:$A,$A18,Purchases!$C:$C,$B18)</f>
      </c>
      <c r="E18" s="11">
        <f>SUMIFS('Sales Log'!$D:$D,'Sales Log'!$A:$A,$A18,'Sales Log'!$C:$C,$B18)</f>
      </c>
      <c r="F18" s="8"/>
      <c r="G18" s="8"/>
      <c r="H18" s="11">
        <f>C18+D18-E18-F18</f>
      </c>
      <c r="I18" s="11">
        <f>H18-G18</f>
      </c>
    </row>
    <row r="19" ht="21" customHeight="1" spans="1:9" x14ac:dyDescent="0.25">
      <c r="A19" s="8"/>
      <c r="B19" s="8"/>
      <c r="C19" s="11">
        <f>IFERROR(LOOKUP(2,1/(($B$3:$B18=B19)*($A$3:$A18&lt;A19)),$G$3:$G18),IFERROR(VLOOKUP(B19,'Inventory Master'!$A$3:$L$300,6,FALSE),0))</f>
      </c>
      <c r="D19" s="11">
        <f>SUMIFS(Purchases!$D:$D,Purchases!$A:$A,$A19,Purchases!$C:$C,$B19)</f>
      </c>
      <c r="E19" s="11">
        <f>SUMIFS('Sales Log'!$D:$D,'Sales Log'!$A:$A,$A19,'Sales Log'!$C:$C,$B19)</f>
      </c>
      <c r="F19" s="8"/>
      <c r="G19" s="8"/>
      <c r="H19" s="11">
        <f>C19+D19-E19-F19</f>
      </c>
      <c r="I19" s="11">
        <f>H19-G19</f>
      </c>
    </row>
    <row r="20" ht="21" customHeight="1" spans="1:9" x14ac:dyDescent="0.25">
      <c r="A20" s="8"/>
      <c r="B20" s="8"/>
      <c r="C20" s="11">
        <f>IFERROR(LOOKUP(2,1/(($B$3:$B19=B20)*($A$3:$A19&lt;A20)),$G$3:$G19),IFERROR(VLOOKUP(B20,'Inventory Master'!$A$3:$L$300,6,FALSE),0))</f>
      </c>
      <c r="D20" s="11">
        <f>SUMIFS(Purchases!$D:$D,Purchases!$A:$A,$A20,Purchases!$C:$C,$B20)</f>
      </c>
      <c r="E20" s="11">
        <f>SUMIFS('Sales Log'!$D:$D,'Sales Log'!$A:$A,$A20,'Sales Log'!$C:$C,$B20)</f>
      </c>
      <c r="F20" s="8"/>
      <c r="G20" s="8"/>
      <c r="H20" s="11">
        <f>C20+D20-E20-F20</f>
      </c>
      <c r="I20" s="11">
        <f>H20-G20</f>
      </c>
    </row>
    <row r="21" ht="21" customHeight="1" spans="1:9" x14ac:dyDescent="0.25">
      <c r="A21" s="8"/>
      <c r="B21" s="8"/>
      <c r="C21" s="11">
        <f>IFERROR(LOOKUP(2,1/(($B$3:$B20=B21)*($A$3:$A20&lt;A21)),$G$3:$G20),IFERROR(VLOOKUP(B21,'Inventory Master'!$A$3:$L$300,6,FALSE),0))</f>
      </c>
      <c r="D21" s="11">
        <f>SUMIFS(Purchases!$D:$D,Purchases!$A:$A,$A21,Purchases!$C:$C,$B21)</f>
      </c>
      <c r="E21" s="11">
        <f>SUMIFS('Sales Log'!$D:$D,'Sales Log'!$A:$A,$A21,'Sales Log'!$C:$C,$B21)</f>
      </c>
      <c r="F21" s="8"/>
      <c r="G21" s="8"/>
      <c r="H21" s="11">
        <f>C21+D21-E21-F21</f>
      </c>
      <c r="I21" s="11">
        <f>H21-G21</f>
      </c>
    </row>
    <row r="22" ht="21" customHeight="1" spans="1:9" x14ac:dyDescent="0.25">
      <c r="A22" s="8"/>
      <c r="B22" s="8"/>
      <c r="C22" s="11">
        <f>IFERROR(LOOKUP(2,1/(($B$3:$B21=B22)*($A$3:$A21&lt;A22)),$G$3:$G21),IFERROR(VLOOKUP(B22,'Inventory Master'!$A$3:$L$300,6,FALSE),0))</f>
      </c>
      <c r="D22" s="11">
        <f>SUMIFS(Purchases!$D:$D,Purchases!$A:$A,$A22,Purchases!$C:$C,$B22)</f>
      </c>
      <c r="E22" s="11">
        <f>SUMIFS('Sales Log'!$D:$D,'Sales Log'!$A:$A,$A22,'Sales Log'!$C:$C,$B22)</f>
      </c>
      <c r="F22" s="8"/>
      <c r="G22" s="8"/>
      <c r="H22" s="11">
        <f>C22+D22-E22-F22</f>
      </c>
      <c r="I22" s="11">
        <f>H22-G22</f>
      </c>
    </row>
    <row r="23" ht="21" customHeight="1" spans="1:9" x14ac:dyDescent="0.25">
      <c r="A23" s="8"/>
      <c r="B23" s="8"/>
      <c r="C23" s="11">
        <f>IFERROR(LOOKUP(2,1/(($B$3:$B22=B23)*($A$3:$A22&lt;A23)),$G$3:$G22),IFERROR(VLOOKUP(B23,'Inventory Master'!$A$3:$L$300,6,FALSE),0))</f>
      </c>
      <c r="D23" s="11">
        <f>SUMIFS(Purchases!$D:$D,Purchases!$A:$A,$A23,Purchases!$C:$C,$B23)</f>
      </c>
      <c r="E23" s="11">
        <f>SUMIFS('Sales Log'!$D:$D,'Sales Log'!$A:$A,$A23,'Sales Log'!$C:$C,$B23)</f>
      </c>
      <c r="F23" s="8"/>
      <c r="G23" s="8"/>
      <c r="H23" s="11">
        <f>C23+D23-E23-F23</f>
      </c>
      <c r="I23" s="11">
        <f>H23-G23</f>
      </c>
    </row>
    <row r="24" ht="21" customHeight="1" spans="1:9" x14ac:dyDescent="0.25">
      <c r="A24" s="8"/>
      <c r="B24" s="8"/>
      <c r="C24" s="11">
        <f>IFERROR(LOOKUP(2,1/(($B$3:$B23=B24)*($A$3:$A23&lt;A24)),$G$3:$G23),IFERROR(VLOOKUP(B24,'Inventory Master'!$A$3:$L$300,6,FALSE),0))</f>
      </c>
      <c r="D24" s="11">
        <f>SUMIFS(Purchases!$D:$D,Purchases!$A:$A,$A24,Purchases!$C:$C,$B24)</f>
      </c>
      <c r="E24" s="11">
        <f>SUMIFS('Sales Log'!$D:$D,'Sales Log'!$A:$A,$A24,'Sales Log'!$C:$C,$B24)</f>
      </c>
      <c r="F24" s="8"/>
      <c r="G24" s="8"/>
      <c r="H24" s="11">
        <f>C24+D24-E24-F24</f>
      </c>
      <c r="I24" s="11">
        <f>H24-G24</f>
      </c>
    </row>
    <row r="25" ht="21" customHeight="1" spans="1:9" x14ac:dyDescent="0.25">
      <c r="A25" s="8"/>
      <c r="B25" s="8"/>
      <c r="C25" s="11">
        <f>IFERROR(LOOKUP(2,1/(($B$3:$B24=B25)*($A$3:$A24&lt;A25)),$G$3:$G24),IFERROR(VLOOKUP(B25,'Inventory Master'!$A$3:$L$300,6,FALSE),0))</f>
      </c>
      <c r="D25" s="11">
        <f>SUMIFS(Purchases!$D:$D,Purchases!$A:$A,$A25,Purchases!$C:$C,$B25)</f>
      </c>
      <c r="E25" s="11">
        <f>SUMIFS('Sales Log'!$D:$D,'Sales Log'!$A:$A,$A25,'Sales Log'!$C:$C,$B25)</f>
      </c>
      <c r="F25" s="8"/>
      <c r="G25" s="8"/>
      <c r="H25" s="11">
        <f>C25+D25-E25-F25</f>
      </c>
      <c r="I25" s="11">
        <f>H25-G25</f>
      </c>
    </row>
    <row r="26" ht="21" customHeight="1" spans="1:9" x14ac:dyDescent="0.25">
      <c r="A26" s="8"/>
      <c r="B26" s="8"/>
      <c r="C26" s="11">
        <f>IFERROR(LOOKUP(2,1/(($B$3:$B25=B26)*($A$3:$A25&lt;A26)),$G$3:$G25),IFERROR(VLOOKUP(B26,'Inventory Master'!$A$3:$L$300,6,FALSE),0))</f>
      </c>
      <c r="D26" s="11">
        <f>SUMIFS(Purchases!$D:$D,Purchases!$A:$A,$A26,Purchases!$C:$C,$B26)</f>
      </c>
      <c r="E26" s="11">
        <f>SUMIFS('Sales Log'!$D:$D,'Sales Log'!$A:$A,$A26,'Sales Log'!$C:$C,$B26)</f>
      </c>
      <c r="F26" s="8"/>
      <c r="G26" s="8"/>
      <c r="H26" s="11">
        <f>C26+D26-E26-F26</f>
      </c>
      <c r="I26" s="11">
        <f>H26-G26</f>
      </c>
    </row>
    <row r="27" ht="21" customHeight="1" spans="1:9" x14ac:dyDescent="0.25">
      <c r="A27" s="8"/>
      <c r="B27" s="8"/>
      <c r="C27" s="11">
        <f>IFERROR(LOOKUP(2,1/(($B$3:$B26=B27)*($A$3:$A26&lt;A27)),$G$3:$G26),IFERROR(VLOOKUP(B27,'Inventory Master'!$A$3:$L$300,6,FALSE),0))</f>
      </c>
      <c r="D27" s="11">
        <f>SUMIFS(Purchases!$D:$D,Purchases!$A:$A,$A27,Purchases!$C:$C,$B27)</f>
      </c>
      <c r="E27" s="11">
        <f>SUMIFS('Sales Log'!$D:$D,'Sales Log'!$A:$A,$A27,'Sales Log'!$C:$C,$B27)</f>
      </c>
      <c r="F27" s="8"/>
      <c r="G27" s="8"/>
      <c r="H27" s="11">
        <f>C27+D27-E27-F27</f>
      </c>
      <c r="I27" s="11">
        <f>H27-G27</f>
      </c>
    </row>
    <row r="28" ht="21" customHeight="1" spans="1:9" x14ac:dyDescent="0.25">
      <c r="A28" s="8"/>
      <c r="B28" s="8"/>
      <c r="C28" s="11">
        <f>IFERROR(LOOKUP(2,1/(($B$3:$B27=B28)*($A$3:$A27&lt;A28)),$G$3:$G27),IFERROR(VLOOKUP(B28,'Inventory Master'!$A$3:$L$300,6,FALSE),0))</f>
      </c>
      <c r="D28" s="11">
        <f>SUMIFS(Purchases!$D:$D,Purchases!$A:$A,$A28,Purchases!$C:$C,$B28)</f>
      </c>
      <c r="E28" s="11">
        <f>SUMIFS('Sales Log'!$D:$D,'Sales Log'!$A:$A,$A28,'Sales Log'!$C:$C,$B28)</f>
      </c>
      <c r="F28" s="8"/>
      <c r="G28" s="8"/>
      <c r="H28" s="11">
        <f>C28+D28-E28-F28</f>
      </c>
      <c r="I28" s="11">
        <f>H28-G28</f>
      </c>
    </row>
    <row r="29" ht="21" customHeight="1" spans="1:9" x14ac:dyDescent="0.25">
      <c r="A29" s="8"/>
      <c r="B29" s="8"/>
      <c r="C29" s="11">
        <f>IFERROR(LOOKUP(2,1/(($B$3:$B28=B29)*($A$3:$A28&lt;A29)),$G$3:$G28),IFERROR(VLOOKUP(B29,'Inventory Master'!$A$3:$L$300,6,FALSE),0))</f>
      </c>
      <c r="D29" s="11">
        <f>SUMIFS(Purchases!$D:$D,Purchases!$A:$A,$A29,Purchases!$C:$C,$B29)</f>
      </c>
      <c r="E29" s="11">
        <f>SUMIFS('Sales Log'!$D:$D,'Sales Log'!$A:$A,$A29,'Sales Log'!$C:$C,$B29)</f>
      </c>
      <c r="F29" s="8"/>
      <c r="G29" s="8"/>
      <c r="H29" s="11">
        <f>C29+D29-E29-F29</f>
      </c>
      <c r="I29" s="11">
        <f>H29-G29</f>
      </c>
    </row>
    <row r="30" ht="21" customHeight="1" spans="1:9" x14ac:dyDescent="0.25">
      <c r="A30" s="8"/>
      <c r="B30" s="8"/>
      <c r="C30" s="11">
        <f>IFERROR(LOOKUP(2,1/(($B$3:$B29=B30)*($A$3:$A29&lt;A30)),$G$3:$G29),IFERROR(VLOOKUP(B30,'Inventory Master'!$A$3:$L$300,6,FALSE),0))</f>
      </c>
      <c r="D30" s="11">
        <f>SUMIFS(Purchases!$D:$D,Purchases!$A:$A,$A30,Purchases!$C:$C,$B30)</f>
      </c>
      <c r="E30" s="11">
        <f>SUMIFS('Sales Log'!$D:$D,'Sales Log'!$A:$A,$A30,'Sales Log'!$C:$C,$B30)</f>
      </c>
      <c r="F30" s="8"/>
      <c r="G30" s="8"/>
      <c r="H30" s="11">
        <f>C30+D30-E30-F30</f>
      </c>
      <c r="I30" s="11">
        <f>H30-G30</f>
      </c>
    </row>
    <row r="31" ht="21" customHeight="1" spans="1:9" x14ac:dyDescent="0.25">
      <c r="A31" s="8"/>
      <c r="B31" s="8"/>
      <c r="C31" s="11">
        <f>IFERROR(LOOKUP(2,1/(($B$3:$B30=B31)*($A$3:$A30&lt;A31)),$G$3:$G30),IFERROR(VLOOKUP(B31,'Inventory Master'!$A$3:$L$300,6,FALSE),0))</f>
      </c>
      <c r="D31" s="11">
        <f>SUMIFS(Purchases!$D:$D,Purchases!$A:$A,$A31,Purchases!$C:$C,$B31)</f>
      </c>
      <c r="E31" s="11">
        <f>SUMIFS('Sales Log'!$D:$D,'Sales Log'!$A:$A,$A31,'Sales Log'!$C:$C,$B31)</f>
      </c>
      <c r="F31" s="8"/>
      <c r="G31" s="8"/>
      <c r="H31" s="11">
        <f>C31+D31-E31-F31</f>
      </c>
      <c r="I31" s="11">
        <f>H31-G31</f>
      </c>
    </row>
    <row r="32" ht="21" customHeight="1" spans="1:9" x14ac:dyDescent="0.25">
      <c r="A32" s="8"/>
      <c r="B32" s="8"/>
      <c r="C32" s="11">
        <f>IFERROR(LOOKUP(2,1/(($B$3:$B31=B32)*($A$3:$A31&lt;A32)),$G$3:$G31),IFERROR(VLOOKUP(B32,'Inventory Master'!$A$3:$L$300,6,FALSE),0))</f>
      </c>
      <c r="D32" s="11">
        <f>SUMIFS(Purchases!$D:$D,Purchases!$A:$A,$A32,Purchases!$C:$C,$B32)</f>
      </c>
      <c r="E32" s="11">
        <f>SUMIFS('Sales Log'!$D:$D,'Sales Log'!$A:$A,$A32,'Sales Log'!$C:$C,$B32)</f>
      </c>
      <c r="F32" s="8"/>
      <c r="G32" s="8"/>
      <c r="H32" s="11">
        <f>C32+D32-E32-F32</f>
      </c>
      <c r="I32" s="11">
        <f>H32-G32</f>
      </c>
    </row>
    <row r="33" ht="21" customHeight="1" spans="1:9" x14ac:dyDescent="0.25">
      <c r="A33" s="8"/>
      <c r="B33" s="8"/>
      <c r="C33" s="11">
        <f>IFERROR(LOOKUP(2,1/(($B$3:$B32=B33)*($A$3:$A32&lt;A33)),$G$3:$G32),IFERROR(VLOOKUP(B33,'Inventory Master'!$A$3:$L$300,6,FALSE),0))</f>
      </c>
      <c r="D33" s="11">
        <f>SUMIFS(Purchases!$D:$D,Purchases!$A:$A,$A33,Purchases!$C:$C,$B33)</f>
      </c>
      <c r="E33" s="11">
        <f>SUMIFS('Sales Log'!$D:$D,'Sales Log'!$A:$A,$A33,'Sales Log'!$C:$C,$B33)</f>
      </c>
      <c r="F33" s="8"/>
      <c r="G33" s="8"/>
      <c r="H33" s="11">
        <f>C33+D33-E33-F33</f>
      </c>
      <c r="I33" s="11">
        <f>H33-G33</f>
      </c>
    </row>
    <row r="34" ht="21" customHeight="1" spans="1:9" x14ac:dyDescent="0.25">
      <c r="A34" s="8"/>
      <c r="B34" s="8"/>
      <c r="C34" s="11">
        <f>IFERROR(LOOKUP(2,1/(($B$3:$B33=B34)*($A$3:$A33&lt;A34)),$G$3:$G33),IFERROR(VLOOKUP(B34,'Inventory Master'!$A$3:$L$300,6,FALSE),0))</f>
      </c>
      <c r="D34" s="11">
        <f>SUMIFS(Purchases!$D:$D,Purchases!$A:$A,$A34,Purchases!$C:$C,$B34)</f>
      </c>
      <c r="E34" s="11">
        <f>SUMIFS('Sales Log'!$D:$D,'Sales Log'!$A:$A,$A34,'Sales Log'!$C:$C,$B34)</f>
      </c>
      <c r="F34" s="8"/>
      <c r="G34" s="8"/>
      <c r="H34" s="11">
        <f>C34+D34-E34-F34</f>
      </c>
      <c r="I34" s="11">
        <f>H34-G34</f>
      </c>
    </row>
    <row r="35" ht="21" customHeight="1" spans="1:9" x14ac:dyDescent="0.25">
      <c r="A35" s="8"/>
      <c r="B35" s="8"/>
      <c r="C35" s="11">
        <f>IFERROR(LOOKUP(2,1/(($B$3:$B34=B35)*($A$3:$A34&lt;A35)),$G$3:$G34),IFERROR(VLOOKUP(B35,'Inventory Master'!$A$3:$L$300,6,FALSE),0))</f>
      </c>
      <c r="D35" s="11">
        <f>SUMIFS(Purchases!$D:$D,Purchases!$A:$A,$A35,Purchases!$C:$C,$B35)</f>
      </c>
      <c r="E35" s="11">
        <f>SUMIFS('Sales Log'!$D:$D,'Sales Log'!$A:$A,$A35,'Sales Log'!$C:$C,$B35)</f>
      </c>
      <c r="F35" s="8"/>
      <c r="G35" s="8"/>
      <c r="H35" s="11">
        <f>C35+D35-E35-F35</f>
      </c>
      <c r="I35" s="11">
        <f>H35-G35</f>
      </c>
    </row>
    <row r="36" ht="21" customHeight="1" spans="1:9" x14ac:dyDescent="0.25">
      <c r="A36" s="8"/>
      <c r="B36" s="8"/>
      <c r="C36" s="11">
        <f>IFERROR(LOOKUP(2,1/(($B$3:$B35=B36)*($A$3:$A35&lt;A36)),$G$3:$G35),IFERROR(VLOOKUP(B36,'Inventory Master'!$A$3:$L$300,6,FALSE),0))</f>
      </c>
      <c r="D36" s="11">
        <f>SUMIFS(Purchases!$D:$D,Purchases!$A:$A,$A36,Purchases!$C:$C,$B36)</f>
      </c>
      <c r="E36" s="11">
        <f>SUMIFS('Sales Log'!$D:$D,'Sales Log'!$A:$A,$A36,'Sales Log'!$C:$C,$B36)</f>
      </c>
      <c r="F36" s="8"/>
      <c r="G36" s="8"/>
      <c r="H36" s="11">
        <f>C36+D36-E36-F36</f>
      </c>
      <c r="I36" s="11">
        <f>H36-G36</f>
      </c>
    </row>
    <row r="37" ht="21" customHeight="1" spans="1:9" x14ac:dyDescent="0.25">
      <c r="A37" s="8"/>
      <c r="B37" s="8"/>
      <c r="C37" s="11">
        <f>IFERROR(LOOKUP(2,1/(($B$3:$B36=B37)*($A$3:$A36&lt;A37)),$G$3:$G36),IFERROR(VLOOKUP(B37,'Inventory Master'!$A$3:$L$300,6,FALSE),0))</f>
      </c>
      <c r="D37" s="11">
        <f>SUMIFS(Purchases!$D:$D,Purchases!$A:$A,$A37,Purchases!$C:$C,$B37)</f>
      </c>
      <c r="E37" s="11">
        <f>SUMIFS('Sales Log'!$D:$D,'Sales Log'!$A:$A,$A37,'Sales Log'!$C:$C,$B37)</f>
      </c>
      <c r="F37" s="8"/>
      <c r="G37" s="8"/>
      <c r="H37" s="11">
        <f>C37+D37-E37-F37</f>
      </c>
      <c r="I37" s="11">
        <f>H37-G37</f>
      </c>
    </row>
    <row r="38" ht="21" customHeight="1" spans="1:9" x14ac:dyDescent="0.25">
      <c r="A38" s="8"/>
      <c r="B38" s="8"/>
      <c r="C38" s="11">
        <f>IFERROR(LOOKUP(2,1/(($B$3:$B37=B38)*($A$3:$A37&lt;A38)),$G$3:$G37),IFERROR(VLOOKUP(B38,'Inventory Master'!$A$3:$L$300,6,FALSE),0))</f>
      </c>
      <c r="D38" s="11">
        <f>SUMIFS(Purchases!$D:$D,Purchases!$A:$A,$A38,Purchases!$C:$C,$B38)</f>
      </c>
      <c r="E38" s="11">
        <f>SUMIFS('Sales Log'!$D:$D,'Sales Log'!$A:$A,$A38,'Sales Log'!$C:$C,$B38)</f>
      </c>
      <c r="F38" s="8"/>
      <c r="G38" s="8"/>
      <c r="H38" s="11">
        <f>C38+D38-E38-F38</f>
      </c>
      <c r="I38" s="11">
        <f>H38-G38</f>
      </c>
    </row>
    <row r="39" ht="21" customHeight="1" spans="1:9" x14ac:dyDescent="0.25">
      <c r="A39" s="8"/>
      <c r="B39" s="8"/>
      <c r="C39" s="11">
        <f>IFERROR(LOOKUP(2,1/(($B$3:$B38=B39)*($A$3:$A38&lt;A39)),$G$3:$G38),IFERROR(VLOOKUP(B39,'Inventory Master'!$A$3:$L$300,6,FALSE),0))</f>
      </c>
      <c r="D39" s="11">
        <f>SUMIFS(Purchases!$D:$D,Purchases!$A:$A,$A39,Purchases!$C:$C,$B39)</f>
      </c>
      <c r="E39" s="11">
        <f>SUMIFS('Sales Log'!$D:$D,'Sales Log'!$A:$A,$A39,'Sales Log'!$C:$C,$B39)</f>
      </c>
      <c r="F39" s="8"/>
      <c r="G39" s="8"/>
      <c r="H39" s="11">
        <f>C39+D39-E39-F39</f>
      </c>
      <c r="I39" s="11">
        <f>H39-G39</f>
      </c>
    </row>
    <row r="40" ht="21" customHeight="1" spans="1:9" x14ac:dyDescent="0.25">
      <c r="A40" s="8"/>
      <c r="B40" s="8"/>
      <c r="C40" s="11">
        <f>IFERROR(LOOKUP(2,1/(($B$3:$B39=B40)*($A$3:$A39&lt;A40)),$G$3:$G39),IFERROR(VLOOKUP(B40,'Inventory Master'!$A$3:$L$300,6,FALSE),0))</f>
      </c>
      <c r="D40" s="11">
        <f>SUMIFS(Purchases!$D:$D,Purchases!$A:$A,$A40,Purchases!$C:$C,$B40)</f>
      </c>
      <c r="E40" s="11">
        <f>SUMIFS('Sales Log'!$D:$D,'Sales Log'!$A:$A,$A40,'Sales Log'!$C:$C,$B40)</f>
      </c>
      <c r="F40" s="8"/>
      <c r="G40" s="8"/>
      <c r="H40" s="11">
        <f>C40+D40-E40-F40</f>
      </c>
      <c r="I40" s="11">
        <f>H40-G40</f>
      </c>
    </row>
    <row r="41" ht="21" customHeight="1" spans="1:9" x14ac:dyDescent="0.25">
      <c r="A41" s="8"/>
      <c r="B41" s="8"/>
      <c r="C41" s="11">
        <f>IFERROR(LOOKUP(2,1/(($B$3:$B40=B41)*($A$3:$A40&lt;A41)),$G$3:$G40),IFERROR(VLOOKUP(B41,'Inventory Master'!$A$3:$L$300,6,FALSE),0))</f>
      </c>
      <c r="D41" s="11">
        <f>SUMIFS(Purchases!$D:$D,Purchases!$A:$A,$A41,Purchases!$C:$C,$B41)</f>
      </c>
      <c r="E41" s="11">
        <f>SUMIFS('Sales Log'!$D:$D,'Sales Log'!$A:$A,$A41,'Sales Log'!$C:$C,$B41)</f>
      </c>
      <c r="F41" s="8"/>
      <c r="G41" s="8"/>
      <c r="H41" s="11">
        <f>C41+D41-E41-F41</f>
      </c>
      <c r="I41" s="11">
        <f>H41-G41</f>
      </c>
    </row>
    <row r="42" ht="21" customHeight="1" spans="1:9" x14ac:dyDescent="0.25">
      <c r="A42" s="8"/>
      <c r="B42" s="8"/>
      <c r="C42" s="11">
        <f>IFERROR(LOOKUP(2,1/(($B$3:$B41=B42)*($A$3:$A41&lt;A42)),$G$3:$G41),IFERROR(VLOOKUP(B42,'Inventory Master'!$A$3:$L$300,6,FALSE),0))</f>
      </c>
      <c r="D42" s="11">
        <f>SUMIFS(Purchases!$D:$D,Purchases!$A:$A,$A42,Purchases!$C:$C,$B42)</f>
      </c>
      <c r="E42" s="11">
        <f>SUMIFS('Sales Log'!$D:$D,'Sales Log'!$A:$A,$A42,'Sales Log'!$C:$C,$B42)</f>
      </c>
      <c r="F42" s="8"/>
      <c r="G42" s="8"/>
      <c r="H42" s="11">
        <f>C42+D42-E42-F42</f>
      </c>
      <c r="I42" s="11">
        <f>H42-G42</f>
      </c>
    </row>
    <row r="43" ht="21" customHeight="1" spans="1:9" x14ac:dyDescent="0.25">
      <c r="A43" s="8"/>
      <c r="B43" s="8"/>
      <c r="C43" s="11">
        <f>IFERROR(LOOKUP(2,1/(($B$3:$B42=B43)*($A$3:$A42&lt;A43)),$G$3:$G42),IFERROR(VLOOKUP(B43,'Inventory Master'!$A$3:$L$300,6,FALSE),0))</f>
      </c>
      <c r="D43" s="11">
        <f>SUMIFS(Purchases!$D:$D,Purchases!$A:$A,$A43,Purchases!$C:$C,$B43)</f>
      </c>
      <c r="E43" s="11">
        <f>SUMIFS('Sales Log'!$D:$D,'Sales Log'!$A:$A,$A43,'Sales Log'!$C:$C,$B43)</f>
      </c>
      <c r="F43" s="8"/>
      <c r="G43" s="8"/>
      <c r="H43" s="11">
        <f>C43+D43-E43-F43</f>
      </c>
      <c r="I43" s="11">
        <f>H43-G43</f>
      </c>
    </row>
    <row r="44" ht="21" customHeight="1" spans="1:9" x14ac:dyDescent="0.25">
      <c r="A44" s="8"/>
      <c r="B44" s="8"/>
      <c r="C44" s="11">
        <f>IFERROR(LOOKUP(2,1/(($B$3:$B43=B44)*($A$3:$A43&lt;A44)),$G$3:$G43),IFERROR(VLOOKUP(B44,'Inventory Master'!$A$3:$L$300,6,FALSE),0))</f>
      </c>
      <c r="D44" s="11">
        <f>SUMIFS(Purchases!$D:$D,Purchases!$A:$A,$A44,Purchases!$C:$C,$B44)</f>
      </c>
      <c r="E44" s="11">
        <f>SUMIFS('Sales Log'!$D:$D,'Sales Log'!$A:$A,$A44,'Sales Log'!$C:$C,$B44)</f>
      </c>
      <c r="F44" s="8"/>
      <c r="G44" s="8"/>
      <c r="H44" s="11">
        <f>C44+D44-E44-F44</f>
      </c>
      <c r="I44" s="11">
        <f>H44-G44</f>
      </c>
    </row>
    <row r="45" ht="21" customHeight="1" spans="1:9" x14ac:dyDescent="0.25">
      <c r="A45" s="8"/>
      <c r="B45" s="8"/>
      <c r="C45" s="11">
        <f>IFERROR(LOOKUP(2,1/(($B$3:$B44=B45)*($A$3:$A44&lt;A45)),$G$3:$G44),IFERROR(VLOOKUP(B45,'Inventory Master'!$A$3:$L$300,6,FALSE),0))</f>
      </c>
      <c r="D45" s="11">
        <f>SUMIFS(Purchases!$D:$D,Purchases!$A:$A,$A45,Purchases!$C:$C,$B45)</f>
      </c>
      <c r="E45" s="11">
        <f>SUMIFS('Sales Log'!$D:$D,'Sales Log'!$A:$A,$A45,'Sales Log'!$C:$C,$B45)</f>
      </c>
      <c r="F45" s="8"/>
      <c r="G45" s="8"/>
      <c r="H45" s="11">
        <f>C45+D45-E45-F45</f>
      </c>
      <c r="I45" s="11">
        <f>H45-G45</f>
      </c>
    </row>
    <row r="46" ht="21" customHeight="1" spans="1:9" x14ac:dyDescent="0.25">
      <c r="A46" s="8"/>
      <c r="B46" s="8"/>
      <c r="C46" s="11">
        <f>IFERROR(LOOKUP(2,1/(($B$3:$B45=B46)*($A$3:$A45&lt;A46)),$G$3:$G45),IFERROR(VLOOKUP(B46,'Inventory Master'!$A$3:$L$300,6,FALSE),0))</f>
      </c>
      <c r="D46" s="11">
        <f>SUMIFS(Purchases!$D:$D,Purchases!$A:$A,$A46,Purchases!$C:$C,$B46)</f>
      </c>
      <c r="E46" s="11">
        <f>SUMIFS('Sales Log'!$D:$D,'Sales Log'!$A:$A,$A46,'Sales Log'!$C:$C,$B46)</f>
      </c>
      <c r="F46" s="8"/>
      <c r="G46" s="8"/>
      <c r="H46" s="11">
        <f>C46+D46-E46-F46</f>
      </c>
      <c r="I46" s="11">
        <f>H46-G46</f>
      </c>
    </row>
    <row r="47" ht="21" customHeight="1" spans="1:9" x14ac:dyDescent="0.25">
      <c r="A47" s="8"/>
      <c r="B47" s="8"/>
      <c r="C47" s="11">
        <f>IFERROR(LOOKUP(2,1/(($B$3:$B46=B47)*($A$3:$A46&lt;A47)),$G$3:$G46),IFERROR(VLOOKUP(B47,'Inventory Master'!$A$3:$L$300,6,FALSE),0))</f>
      </c>
      <c r="D47" s="11">
        <f>SUMIFS(Purchases!$D:$D,Purchases!$A:$A,$A47,Purchases!$C:$C,$B47)</f>
      </c>
      <c r="E47" s="11">
        <f>SUMIFS('Sales Log'!$D:$D,'Sales Log'!$A:$A,$A47,'Sales Log'!$C:$C,$B47)</f>
      </c>
      <c r="F47" s="8"/>
      <c r="G47" s="8"/>
      <c r="H47" s="11">
        <f>C47+D47-E47-F47</f>
      </c>
      <c r="I47" s="11">
        <f>H47-G47</f>
      </c>
    </row>
    <row r="48" ht="21" customHeight="1" spans="1:9" x14ac:dyDescent="0.25">
      <c r="A48" s="8"/>
      <c r="B48" s="8"/>
      <c r="C48" s="11">
        <f>IFERROR(LOOKUP(2,1/(($B$3:$B47=B48)*($A$3:$A47&lt;A48)),$G$3:$G47),IFERROR(VLOOKUP(B48,'Inventory Master'!$A$3:$L$300,6,FALSE),0))</f>
      </c>
      <c r="D48" s="11">
        <f>SUMIFS(Purchases!$D:$D,Purchases!$A:$A,$A48,Purchases!$C:$C,$B48)</f>
      </c>
      <c r="E48" s="11">
        <f>SUMIFS('Sales Log'!$D:$D,'Sales Log'!$A:$A,$A48,'Sales Log'!$C:$C,$B48)</f>
      </c>
      <c r="F48" s="8"/>
      <c r="G48" s="8"/>
      <c r="H48" s="11">
        <f>C48+D48-E48-F48</f>
      </c>
      <c r="I48" s="11">
        <f>H48-G48</f>
      </c>
    </row>
    <row r="49" ht="21" customHeight="1" spans="1:9" x14ac:dyDescent="0.25">
      <c r="A49" s="8"/>
      <c r="B49" s="8"/>
      <c r="C49" s="11">
        <f>IFERROR(LOOKUP(2,1/(($B$3:$B48=B49)*($A$3:$A48&lt;A49)),$G$3:$G48),IFERROR(VLOOKUP(B49,'Inventory Master'!$A$3:$L$300,6,FALSE),0))</f>
      </c>
      <c r="D49" s="11">
        <f>SUMIFS(Purchases!$D:$D,Purchases!$A:$A,$A49,Purchases!$C:$C,$B49)</f>
      </c>
      <c r="E49" s="11">
        <f>SUMIFS('Sales Log'!$D:$D,'Sales Log'!$A:$A,$A49,'Sales Log'!$C:$C,$B49)</f>
      </c>
      <c r="F49" s="8"/>
      <c r="G49" s="8"/>
      <c r="H49" s="11">
        <f>C49+D49-E49-F49</f>
      </c>
      <c r="I49" s="11">
        <f>H49-G49</f>
      </c>
    </row>
    <row r="50" ht="21" customHeight="1" spans="1:9" x14ac:dyDescent="0.25">
      <c r="A50" s="8"/>
      <c r="B50" s="8"/>
      <c r="C50" s="11">
        <f>IFERROR(LOOKUP(2,1/(($B$3:$B49=B50)*($A$3:$A49&lt;A50)),$G$3:$G49),IFERROR(VLOOKUP(B50,'Inventory Master'!$A$3:$L$300,6,FALSE),0))</f>
      </c>
      <c r="D50" s="11">
        <f>SUMIFS(Purchases!$D:$D,Purchases!$A:$A,$A50,Purchases!$C:$C,$B50)</f>
      </c>
      <c r="E50" s="11">
        <f>SUMIFS('Sales Log'!$D:$D,'Sales Log'!$A:$A,$A50,'Sales Log'!$C:$C,$B50)</f>
      </c>
      <c r="F50" s="8"/>
      <c r="G50" s="8"/>
      <c r="H50" s="11">
        <f>C50+D50-E50-F50</f>
      </c>
      <c r="I50" s="11">
        <f>H50-G50</f>
      </c>
    </row>
    <row r="51" ht="21" customHeight="1" spans="1:9" x14ac:dyDescent="0.25">
      <c r="A51" s="8"/>
      <c r="B51" s="8"/>
      <c r="C51" s="11">
        <f>IFERROR(LOOKUP(2,1/(($B$3:$B50=B51)*($A$3:$A50&lt;A51)),$G$3:$G50),IFERROR(VLOOKUP(B51,'Inventory Master'!$A$3:$L$300,6,FALSE),0))</f>
      </c>
      <c r="D51" s="11">
        <f>SUMIFS(Purchases!$D:$D,Purchases!$A:$A,$A51,Purchases!$C:$C,$B51)</f>
      </c>
      <c r="E51" s="11">
        <f>SUMIFS('Sales Log'!$D:$D,'Sales Log'!$A:$A,$A51,'Sales Log'!$C:$C,$B51)</f>
      </c>
      <c r="F51" s="8"/>
      <c r="G51" s="8"/>
      <c r="H51" s="11">
        <f>C51+D51-E51-F51</f>
      </c>
      <c r="I51" s="11">
        <f>H51-G51</f>
      </c>
    </row>
    <row r="52" ht="21" customHeight="1" spans="1:9" x14ac:dyDescent="0.25">
      <c r="A52" s="8"/>
      <c r="B52" s="8"/>
      <c r="C52" s="11">
        <f>IFERROR(LOOKUP(2,1/(($B$3:$B51=B52)*($A$3:$A51&lt;A52)),$G$3:$G51),IFERROR(VLOOKUP(B52,'Inventory Master'!$A$3:$L$300,6,FALSE),0))</f>
      </c>
      <c r="D52" s="11">
        <f>SUMIFS(Purchases!$D:$D,Purchases!$A:$A,$A52,Purchases!$C:$C,$B52)</f>
      </c>
      <c r="E52" s="11">
        <f>SUMIFS('Sales Log'!$D:$D,'Sales Log'!$A:$A,$A52,'Sales Log'!$C:$C,$B52)</f>
      </c>
      <c r="F52" s="8"/>
      <c r="G52" s="8"/>
      <c r="H52" s="11">
        <f>C52+D52-E52-F52</f>
      </c>
      <c r="I52" s="11">
        <f>H52-G52</f>
      </c>
    </row>
    <row r="53" ht="21" customHeight="1" spans="1:9" x14ac:dyDescent="0.25">
      <c r="A53" s="8"/>
      <c r="B53" s="8"/>
      <c r="C53" s="11">
        <f>IFERROR(LOOKUP(2,1/(($B$3:$B52=B53)*($A$3:$A52&lt;A53)),$G$3:$G52),IFERROR(VLOOKUP(B53,'Inventory Master'!$A$3:$L$300,6,FALSE),0))</f>
      </c>
      <c r="D53" s="11">
        <f>SUMIFS(Purchases!$D:$D,Purchases!$A:$A,$A53,Purchases!$C:$C,$B53)</f>
      </c>
      <c r="E53" s="11">
        <f>SUMIFS('Sales Log'!$D:$D,'Sales Log'!$A:$A,$A53,'Sales Log'!$C:$C,$B53)</f>
      </c>
      <c r="F53" s="8"/>
      <c r="G53" s="8"/>
      <c r="H53" s="11">
        <f>C53+D53-E53-F53</f>
      </c>
      <c r="I53" s="11">
        <f>H53-G53</f>
      </c>
    </row>
    <row r="54" ht="21" customHeight="1" spans="1:9" x14ac:dyDescent="0.25">
      <c r="A54" s="8"/>
      <c r="B54" s="8"/>
      <c r="C54" s="11">
        <f>IFERROR(LOOKUP(2,1/(($B$3:$B53=B54)*($A$3:$A53&lt;A54)),$G$3:$G53),IFERROR(VLOOKUP(B54,'Inventory Master'!$A$3:$L$300,6,FALSE),0))</f>
      </c>
      <c r="D54" s="11">
        <f>SUMIFS(Purchases!$D:$D,Purchases!$A:$A,$A54,Purchases!$C:$C,$B54)</f>
      </c>
      <c r="E54" s="11">
        <f>SUMIFS('Sales Log'!$D:$D,'Sales Log'!$A:$A,$A54,'Sales Log'!$C:$C,$B54)</f>
      </c>
      <c r="F54" s="8"/>
      <c r="G54" s="8"/>
      <c r="H54" s="11">
        <f>C54+D54-E54-F54</f>
      </c>
      <c r="I54" s="11">
        <f>H54-G54</f>
      </c>
    </row>
    <row r="55" ht="21" customHeight="1" spans="1:9" x14ac:dyDescent="0.25">
      <c r="A55" s="8"/>
      <c r="B55" s="8"/>
      <c r="C55" s="11">
        <f>IFERROR(LOOKUP(2,1/(($B$3:$B54=B55)*($A$3:$A54&lt;A55)),$G$3:$G54),IFERROR(VLOOKUP(B55,'Inventory Master'!$A$3:$L$300,6,FALSE),0))</f>
      </c>
      <c r="D55" s="11">
        <f>SUMIFS(Purchases!$D:$D,Purchases!$A:$A,$A55,Purchases!$C:$C,$B55)</f>
      </c>
      <c r="E55" s="11">
        <f>SUMIFS('Sales Log'!$D:$D,'Sales Log'!$A:$A,$A55,'Sales Log'!$C:$C,$B55)</f>
      </c>
      <c r="F55" s="8"/>
      <c r="G55" s="8"/>
      <c r="H55" s="11">
        <f>C55+D55-E55-F55</f>
      </c>
      <c r="I55" s="11">
        <f>H55-G55</f>
      </c>
    </row>
    <row r="56" ht="21" customHeight="1" spans="1:9" x14ac:dyDescent="0.25">
      <c r="A56" s="8"/>
      <c r="B56" s="8"/>
      <c r="C56" s="11">
        <f>IFERROR(LOOKUP(2,1/(($B$3:$B55=B56)*($A$3:$A55&lt;A56)),$G$3:$G55),IFERROR(VLOOKUP(B56,'Inventory Master'!$A$3:$L$300,6,FALSE),0))</f>
      </c>
      <c r="D56" s="11">
        <f>SUMIFS(Purchases!$D:$D,Purchases!$A:$A,$A56,Purchases!$C:$C,$B56)</f>
      </c>
      <c r="E56" s="11">
        <f>SUMIFS('Sales Log'!$D:$D,'Sales Log'!$A:$A,$A56,'Sales Log'!$C:$C,$B56)</f>
      </c>
      <c r="F56" s="8"/>
      <c r="G56" s="8"/>
      <c r="H56" s="11">
        <f>C56+D56-E56-F56</f>
      </c>
      <c r="I56" s="11">
        <f>H56-G56</f>
      </c>
    </row>
    <row r="57" ht="21" customHeight="1" spans="1:9" x14ac:dyDescent="0.25">
      <c r="A57" s="8"/>
      <c r="B57" s="8"/>
      <c r="C57" s="11">
        <f>IFERROR(LOOKUP(2,1/(($B$3:$B56=B57)*($A$3:$A56&lt;A57)),$G$3:$G56),IFERROR(VLOOKUP(B57,'Inventory Master'!$A$3:$L$300,6,FALSE),0))</f>
      </c>
      <c r="D57" s="11">
        <f>SUMIFS(Purchases!$D:$D,Purchases!$A:$A,$A57,Purchases!$C:$C,$B57)</f>
      </c>
      <c r="E57" s="11">
        <f>SUMIFS('Sales Log'!$D:$D,'Sales Log'!$A:$A,$A57,'Sales Log'!$C:$C,$B57)</f>
      </c>
      <c r="F57" s="8"/>
      <c r="G57" s="8"/>
      <c r="H57" s="11">
        <f>C57+D57-E57-F57</f>
      </c>
      <c r="I57" s="11">
        <f>H57-G57</f>
      </c>
    </row>
    <row r="58" ht="21" customHeight="1" spans="1:9" x14ac:dyDescent="0.25">
      <c r="A58" s="8"/>
      <c r="B58" s="8"/>
      <c r="C58" s="11">
        <f>IFERROR(LOOKUP(2,1/(($B$3:$B57=B58)*($A$3:$A57&lt;A58)),$G$3:$G57),IFERROR(VLOOKUP(B58,'Inventory Master'!$A$3:$L$300,6,FALSE),0))</f>
      </c>
      <c r="D58" s="11">
        <f>SUMIFS(Purchases!$D:$D,Purchases!$A:$A,$A58,Purchases!$C:$C,$B58)</f>
      </c>
      <c r="E58" s="11">
        <f>SUMIFS('Sales Log'!$D:$D,'Sales Log'!$A:$A,$A58,'Sales Log'!$C:$C,$B58)</f>
      </c>
      <c r="F58" s="8"/>
      <c r="G58" s="8"/>
      <c r="H58" s="11">
        <f>C58+D58-E58-F58</f>
      </c>
      <c r="I58" s="11">
        <f>H58-G58</f>
      </c>
    </row>
    <row r="59" ht="21" customHeight="1" spans="1:9" x14ac:dyDescent="0.25">
      <c r="A59" s="8"/>
      <c r="B59" s="8"/>
      <c r="C59" s="11">
        <f>IFERROR(LOOKUP(2,1/(($B$3:$B58=B59)*($A$3:$A58&lt;A59)),$G$3:$G58),IFERROR(VLOOKUP(B59,'Inventory Master'!$A$3:$L$300,6,FALSE),0))</f>
      </c>
      <c r="D59" s="11">
        <f>SUMIFS(Purchases!$D:$D,Purchases!$A:$A,$A59,Purchases!$C:$C,$B59)</f>
      </c>
      <c r="E59" s="11">
        <f>SUMIFS('Sales Log'!$D:$D,'Sales Log'!$A:$A,$A59,'Sales Log'!$C:$C,$B59)</f>
      </c>
      <c r="F59" s="8"/>
      <c r="G59" s="8"/>
      <c r="H59" s="11">
        <f>C59+D59-E59-F59</f>
      </c>
      <c r="I59" s="11">
        <f>H59-G59</f>
      </c>
    </row>
    <row r="60" ht="21" customHeight="1" spans="1:9" x14ac:dyDescent="0.25">
      <c r="A60" s="8"/>
      <c r="B60" s="8"/>
      <c r="C60" s="11">
        <f>IFERROR(LOOKUP(2,1/(($B$3:$B59=B60)*($A$3:$A59&lt;A60)),$G$3:$G59),IFERROR(VLOOKUP(B60,'Inventory Master'!$A$3:$L$300,6,FALSE),0))</f>
      </c>
      <c r="D60" s="11">
        <f>SUMIFS(Purchases!$D:$D,Purchases!$A:$A,$A60,Purchases!$C:$C,$B60)</f>
      </c>
      <c r="E60" s="11">
        <f>SUMIFS('Sales Log'!$D:$D,'Sales Log'!$A:$A,$A60,'Sales Log'!$C:$C,$B60)</f>
      </c>
      <c r="F60" s="8"/>
      <c r="G60" s="8"/>
      <c r="H60" s="11">
        <f>C60+D60-E60-F60</f>
      </c>
      <c r="I60" s="11">
        <f>H60-G60</f>
      </c>
    </row>
    <row r="61" ht="21" customHeight="1" spans="1:9" x14ac:dyDescent="0.25">
      <c r="A61" s="8"/>
      <c r="B61" s="8"/>
      <c r="C61" s="11">
        <f>IFERROR(LOOKUP(2,1/(($B$3:$B60=B61)*($A$3:$A60&lt;A61)),$G$3:$G60),IFERROR(VLOOKUP(B61,'Inventory Master'!$A$3:$L$300,6,FALSE),0))</f>
      </c>
      <c r="D61" s="11">
        <f>SUMIFS(Purchases!$D:$D,Purchases!$A:$A,$A61,Purchases!$C:$C,$B61)</f>
      </c>
      <c r="E61" s="11">
        <f>SUMIFS('Sales Log'!$D:$D,'Sales Log'!$A:$A,$A61,'Sales Log'!$C:$C,$B61)</f>
      </c>
      <c r="F61" s="8"/>
      <c r="G61" s="8"/>
      <c r="H61" s="11">
        <f>C61+D61-E61-F61</f>
      </c>
      <c r="I61" s="11">
        <f>H61-G61</f>
      </c>
    </row>
    <row r="62" ht="21" customHeight="1" spans="1:9" x14ac:dyDescent="0.25">
      <c r="A62" s="8"/>
      <c r="B62" s="8"/>
      <c r="C62" s="11">
        <f>IFERROR(LOOKUP(2,1/(($B$3:$B61=B62)*($A$3:$A61&lt;A62)),$G$3:$G61),IFERROR(VLOOKUP(B62,'Inventory Master'!$A$3:$L$300,6,FALSE),0))</f>
      </c>
      <c r="D62" s="11">
        <f>SUMIFS(Purchases!$D:$D,Purchases!$A:$A,$A62,Purchases!$C:$C,$B62)</f>
      </c>
      <c r="E62" s="11">
        <f>SUMIFS('Sales Log'!$D:$D,'Sales Log'!$A:$A,$A62,'Sales Log'!$C:$C,$B62)</f>
      </c>
      <c r="F62" s="8"/>
      <c r="G62" s="8"/>
      <c r="H62" s="11">
        <f>C62+D62-E62-F62</f>
      </c>
      <c r="I62" s="11">
        <f>H62-G62</f>
      </c>
    </row>
    <row r="63" ht="21" customHeight="1" spans="1:9" x14ac:dyDescent="0.25">
      <c r="A63" s="8"/>
      <c r="B63" s="8"/>
      <c r="C63" s="11">
        <f>IFERROR(LOOKUP(2,1/(($B$3:$B62=B63)*($A$3:$A62&lt;A63)),$G$3:$G62),IFERROR(VLOOKUP(B63,'Inventory Master'!$A$3:$L$300,6,FALSE),0))</f>
      </c>
      <c r="D63" s="11">
        <f>SUMIFS(Purchases!$D:$D,Purchases!$A:$A,$A63,Purchases!$C:$C,$B63)</f>
      </c>
      <c r="E63" s="11">
        <f>SUMIFS('Sales Log'!$D:$D,'Sales Log'!$A:$A,$A63,'Sales Log'!$C:$C,$B63)</f>
      </c>
      <c r="F63" s="8"/>
      <c r="G63" s="8"/>
      <c r="H63" s="11">
        <f>C63+D63-E63-F63</f>
      </c>
      <c r="I63" s="11">
        <f>H63-G63</f>
      </c>
    </row>
    <row r="64" ht="21" customHeight="1" spans="1:9" x14ac:dyDescent="0.25">
      <c r="A64" s="8"/>
      <c r="B64" s="8"/>
      <c r="C64" s="11">
        <f>IFERROR(LOOKUP(2,1/(($B$3:$B63=B64)*($A$3:$A63&lt;A64)),$G$3:$G63),IFERROR(VLOOKUP(B64,'Inventory Master'!$A$3:$L$300,6,FALSE),0))</f>
      </c>
      <c r="D64" s="11">
        <f>SUMIFS(Purchases!$D:$D,Purchases!$A:$A,$A64,Purchases!$C:$C,$B64)</f>
      </c>
      <c r="E64" s="11">
        <f>SUMIFS('Sales Log'!$D:$D,'Sales Log'!$A:$A,$A64,'Sales Log'!$C:$C,$B64)</f>
      </c>
      <c r="F64" s="8"/>
      <c r="G64" s="8"/>
      <c r="H64" s="11">
        <f>C64+D64-E64-F64</f>
      </c>
      <c r="I64" s="11">
        <f>H64-G64</f>
      </c>
    </row>
    <row r="65" ht="21" customHeight="1" spans="1:9" x14ac:dyDescent="0.25">
      <c r="A65" s="8"/>
      <c r="B65" s="8"/>
      <c r="C65" s="11">
        <f>IFERROR(LOOKUP(2,1/(($B$3:$B64=B65)*($A$3:$A64&lt;A65)),$G$3:$G64),IFERROR(VLOOKUP(B65,'Inventory Master'!$A$3:$L$300,6,FALSE),0))</f>
      </c>
      <c r="D65" s="11">
        <f>SUMIFS(Purchases!$D:$D,Purchases!$A:$A,$A65,Purchases!$C:$C,$B65)</f>
      </c>
      <c r="E65" s="11">
        <f>SUMIFS('Sales Log'!$D:$D,'Sales Log'!$A:$A,$A65,'Sales Log'!$C:$C,$B65)</f>
      </c>
      <c r="F65" s="8"/>
      <c r="G65" s="8"/>
      <c r="H65" s="11">
        <f>C65+D65-E65-F65</f>
      </c>
      <c r="I65" s="11">
        <f>H65-G65</f>
      </c>
    </row>
    <row r="66" ht="21" customHeight="1" spans="1:9" x14ac:dyDescent="0.25">
      <c r="A66" s="8"/>
      <c r="B66" s="8"/>
      <c r="C66" s="11">
        <f>IFERROR(LOOKUP(2,1/(($B$3:$B65=B66)*($A$3:$A65&lt;A66)),$G$3:$G65),IFERROR(VLOOKUP(B66,'Inventory Master'!$A$3:$L$300,6,FALSE),0))</f>
      </c>
      <c r="D66" s="11">
        <f>SUMIFS(Purchases!$D:$D,Purchases!$A:$A,$A66,Purchases!$C:$C,$B66)</f>
      </c>
      <c r="E66" s="11">
        <f>SUMIFS('Sales Log'!$D:$D,'Sales Log'!$A:$A,$A66,'Sales Log'!$C:$C,$B66)</f>
      </c>
      <c r="F66" s="8"/>
      <c r="G66" s="8"/>
      <c r="H66" s="11">
        <f>C66+D66-E66-F66</f>
      </c>
      <c r="I66" s="11">
        <f>H66-G66</f>
      </c>
    </row>
    <row r="67" ht="21" customHeight="1" spans="1:9" x14ac:dyDescent="0.25">
      <c r="A67" s="8"/>
      <c r="B67" s="8"/>
      <c r="C67" s="11">
        <f>IFERROR(LOOKUP(2,1/(($B$3:$B66=B67)*($A$3:$A66&lt;A67)),$G$3:$G66),IFERROR(VLOOKUP(B67,'Inventory Master'!$A$3:$L$300,6,FALSE),0))</f>
      </c>
      <c r="D67" s="11">
        <f>SUMIFS(Purchases!$D:$D,Purchases!$A:$A,$A67,Purchases!$C:$C,$B67)</f>
      </c>
      <c r="E67" s="11">
        <f>SUMIFS('Sales Log'!$D:$D,'Sales Log'!$A:$A,$A67,'Sales Log'!$C:$C,$B67)</f>
      </c>
      <c r="F67" s="8"/>
      <c r="G67" s="8"/>
      <c r="H67" s="11">
        <f>C67+D67-E67-F67</f>
      </c>
      <c r="I67" s="11">
        <f>H67-G67</f>
      </c>
    </row>
    <row r="68" ht="21" customHeight="1" spans="1:9" x14ac:dyDescent="0.25">
      <c r="A68" s="8"/>
      <c r="B68" s="8"/>
      <c r="C68" s="11">
        <f>IFERROR(LOOKUP(2,1/(($B$3:$B67=B68)*($A$3:$A67&lt;A68)),$G$3:$G67),IFERROR(VLOOKUP(B68,'Inventory Master'!$A$3:$L$300,6,FALSE),0))</f>
      </c>
      <c r="D68" s="11">
        <f>SUMIFS(Purchases!$D:$D,Purchases!$A:$A,$A68,Purchases!$C:$C,$B68)</f>
      </c>
      <c r="E68" s="11">
        <f>SUMIFS('Sales Log'!$D:$D,'Sales Log'!$A:$A,$A68,'Sales Log'!$C:$C,$B68)</f>
      </c>
      <c r="F68" s="8"/>
      <c r="G68" s="8"/>
      <c r="H68" s="11">
        <f>C68+D68-E68-F68</f>
      </c>
      <c r="I68" s="11">
        <f>H68-G68</f>
      </c>
    </row>
    <row r="69" ht="21" customHeight="1" spans="1:9" x14ac:dyDescent="0.25">
      <c r="A69" s="8"/>
      <c r="B69" s="8"/>
      <c r="C69" s="11">
        <f>IFERROR(LOOKUP(2,1/(($B$3:$B68=B69)*($A$3:$A68&lt;A69)),$G$3:$G68),IFERROR(VLOOKUP(B69,'Inventory Master'!$A$3:$L$300,6,FALSE),0))</f>
      </c>
      <c r="D69" s="11">
        <f>SUMIFS(Purchases!$D:$D,Purchases!$A:$A,$A69,Purchases!$C:$C,$B69)</f>
      </c>
      <c r="E69" s="11">
        <f>SUMIFS('Sales Log'!$D:$D,'Sales Log'!$A:$A,$A69,'Sales Log'!$C:$C,$B69)</f>
      </c>
      <c r="F69" s="8"/>
      <c r="G69" s="8"/>
      <c r="H69" s="11">
        <f>C69+D69-E69-F69</f>
      </c>
      <c r="I69" s="11">
        <f>H69-G69</f>
      </c>
    </row>
    <row r="70" ht="21" customHeight="1" spans="1:9" x14ac:dyDescent="0.25">
      <c r="A70" s="8"/>
      <c r="B70" s="8"/>
      <c r="C70" s="11">
        <f>IFERROR(LOOKUP(2,1/(($B$3:$B69=B70)*($A$3:$A69&lt;A70)),$G$3:$G69),IFERROR(VLOOKUP(B70,'Inventory Master'!$A$3:$L$300,6,FALSE),0))</f>
      </c>
      <c r="D70" s="11">
        <f>SUMIFS(Purchases!$D:$D,Purchases!$A:$A,$A70,Purchases!$C:$C,$B70)</f>
      </c>
      <c r="E70" s="11">
        <f>SUMIFS('Sales Log'!$D:$D,'Sales Log'!$A:$A,$A70,'Sales Log'!$C:$C,$B70)</f>
      </c>
      <c r="F70" s="8"/>
      <c r="G70" s="8"/>
      <c r="H70" s="11">
        <f>C70+D70-E70-F70</f>
      </c>
      <c r="I70" s="11">
        <f>H70-G70</f>
      </c>
    </row>
    <row r="71" ht="21" customHeight="1" spans="1:9" x14ac:dyDescent="0.25">
      <c r="A71" s="8"/>
      <c r="B71" s="8"/>
      <c r="C71" s="11">
        <f>IFERROR(LOOKUP(2,1/(($B$3:$B70=B71)*($A$3:$A70&lt;A71)),$G$3:$G70),IFERROR(VLOOKUP(B71,'Inventory Master'!$A$3:$L$300,6,FALSE),0))</f>
      </c>
      <c r="D71" s="11">
        <f>SUMIFS(Purchases!$D:$D,Purchases!$A:$A,$A71,Purchases!$C:$C,$B71)</f>
      </c>
      <c r="E71" s="11">
        <f>SUMIFS('Sales Log'!$D:$D,'Sales Log'!$A:$A,$A71,'Sales Log'!$C:$C,$B71)</f>
      </c>
      <c r="F71" s="8"/>
      <c r="G71" s="8"/>
      <c r="H71" s="11">
        <f>C71+D71-E71-F71</f>
      </c>
      <c r="I71" s="11">
        <f>H71-G71</f>
      </c>
    </row>
    <row r="72" ht="21" customHeight="1" spans="1:9" x14ac:dyDescent="0.25">
      <c r="A72" s="8"/>
      <c r="B72" s="8"/>
      <c r="C72" s="11">
        <f>IFERROR(LOOKUP(2,1/(($B$3:$B71=B72)*($A$3:$A71&lt;A72)),$G$3:$G71),IFERROR(VLOOKUP(B72,'Inventory Master'!$A$3:$L$300,6,FALSE),0))</f>
      </c>
      <c r="D72" s="11">
        <f>SUMIFS(Purchases!$D:$D,Purchases!$A:$A,$A72,Purchases!$C:$C,$B72)</f>
      </c>
      <c r="E72" s="11">
        <f>SUMIFS('Sales Log'!$D:$D,'Sales Log'!$A:$A,$A72,'Sales Log'!$C:$C,$B72)</f>
      </c>
      <c r="F72" s="8"/>
      <c r="G72" s="8"/>
      <c r="H72" s="11">
        <f>C72+D72-E72-F72</f>
      </c>
      <c r="I72" s="11">
        <f>H72-G72</f>
      </c>
    </row>
    <row r="73" ht="21" customHeight="1" spans="1:9" x14ac:dyDescent="0.25">
      <c r="A73" s="8"/>
      <c r="B73" s="8"/>
      <c r="C73" s="11">
        <f>IFERROR(LOOKUP(2,1/(($B$3:$B72=B73)*($A$3:$A72&lt;A73)),$G$3:$G72),IFERROR(VLOOKUP(B73,'Inventory Master'!$A$3:$L$300,6,FALSE),0))</f>
      </c>
      <c r="D73" s="11">
        <f>SUMIFS(Purchases!$D:$D,Purchases!$A:$A,$A73,Purchases!$C:$C,$B73)</f>
      </c>
      <c r="E73" s="11">
        <f>SUMIFS('Sales Log'!$D:$D,'Sales Log'!$A:$A,$A73,'Sales Log'!$C:$C,$B73)</f>
      </c>
      <c r="F73" s="8"/>
      <c r="G73" s="8"/>
      <c r="H73" s="11">
        <f>C73+D73-E73-F73</f>
      </c>
      <c r="I73" s="11">
        <f>H73-G73</f>
      </c>
    </row>
    <row r="74" ht="21" customHeight="1" spans="1:9" x14ac:dyDescent="0.25">
      <c r="A74" s="8"/>
      <c r="B74" s="8"/>
      <c r="C74" s="11">
        <f>IFERROR(LOOKUP(2,1/(($B$3:$B73=B74)*($A$3:$A73&lt;A74)),$G$3:$G73),IFERROR(VLOOKUP(B74,'Inventory Master'!$A$3:$L$300,6,FALSE),0))</f>
      </c>
      <c r="D74" s="11">
        <f>SUMIFS(Purchases!$D:$D,Purchases!$A:$A,$A74,Purchases!$C:$C,$B74)</f>
      </c>
      <c r="E74" s="11">
        <f>SUMIFS('Sales Log'!$D:$D,'Sales Log'!$A:$A,$A74,'Sales Log'!$C:$C,$B74)</f>
      </c>
      <c r="F74" s="8"/>
      <c r="G74" s="8"/>
      <c r="H74" s="11">
        <f>C74+D74-E74-F74</f>
      </c>
      <c r="I74" s="11">
        <f>H74-G74</f>
      </c>
    </row>
    <row r="75" ht="21" customHeight="1" spans="1:9" x14ac:dyDescent="0.25">
      <c r="A75" s="8"/>
      <c r="B75" s="8"/>
      <c r="C75" s="11">
        <f>IFERROR(LOOKUP(2,1/(($B$3:$B74=B75)*($A$3:$A74&lt;A75)),$G$3:$G74),IFERROR(VLOOKUP(B75,'Inventory Master'!$A$3:$L$300,6,FALSE),0))</f>
      </c>
      <c r="D75" s="11">
        <f>SUMIFS(Purchases!$D:$D,Purchases!$A:$A,$A75,Purchases!$C:$C,$B75)</f>
      </c>
      <c r="E75" s="11">
        <f>SUMIFS('Sales Log'!$D:$D,'Sales Log'!$A:$A,$A75,'Sales Log'!$C:$C,$B75)</f>
      </c>
      <c r="F75" s="8"/>
      <c r="G75" s="8"/>
      <c r="H75" s="11">
        <f>C75+D75-E75-F75</f>
      </c>
      <c r="I75" s="11">
        <f>H75-G75</f>
      </c>
    </row>
    <row r="76" ht="21" customHeight="1" spans="1:9" x14ac:dyDescent="0.25">
      <c r="A76" s="8"/>
      <c r="B76" s="8"/>
      <c r="C76" s="11">
        <f>IFERROR(LOOKUP(2,1/(($B$3:$B75=B76)*($A$3:$A75&lt;A76)),$G$3:$G75),IFERROR(VLOOKUP(B76,'Inventory Master'!$A$3:$L$300,6,FALSE),0))</f>
      </c>
      <c r="D76" s="11">
        <f>SUMIFS(Purchases!$D:$D,Purchases!$A:$A,$A76,Purchases!$C:$C,$B76)</f>
      </c>
      <c r="E76" s="11">
        <f>SUMIFS('Sales Log'!$D:$D,'Sales Log'!$A:$A,$A76,'Sales Log'!$C:$C,$B76)</f>
      </c>
      <c r="F76" s="8"/>
      <c r="G76" s="8"/>
      <c r="H76" s="11">
        <f>C76+D76-E76-F76</f>
      </c>
      <c r="I76" s="11">
        <f>H76-G76</f>
      </c>
    </row>
    <row r="77" ht="21" customHeight="1" spans="1:9" x14ac:dyDescent="0.25">
      <c r="A77" s="8"/>
      <c r="B77" s="8"/>
      <c r="C77" s="11">
        <f>IFERROR(LOOKUP(2,1/(($B$3:$B76=B77)*($A$3:$A76&lt;A77)),$G$3:$G76),IFERROR(VLOOKUP(B77,'Inventory Master'!$A$3:$L$300,6,FALSE),0))</f>
      </c>
      <c r="D77" s="11">
        <f>SUMIFS(Purchases!$D:$D,Purchases!$A:$A,$A77,Purchases!$C:$C,$B77)</f>
      </c>
      <c r="E77" s="11">
        <f>SUMIFS('Sales Log'!$D:$D,'Sales Log'!$A:$A,$A77,'Sales Log'!$C:$C,$B77)</f>
      </c>
      <c r="F77" s="8"/>
      <c r="G77" s="8"/>
      <c r="H77" s="11">
        <f>C77+D77-E77-F77</f>
      </c>
      <c r="I77" s="11">
        <f>H77-G77</f>
      </c>
    </row>
    <row r="78" ht="21" customHeight="1" spans="1:9" x14ac:dyDescent="0.25">
      <c r="A78" s="8"/>
      <c r="B78" s="8"/>
      <c r="C78" s="11">
        <f>IFERROR(LOOKUP(2,1/(($B$3:$B77=B78)*($A$3:$A77&lt;A78)),$G$3:$G77),IFERROR(VLOOKUP(B78,'Inventory Master'!$A$3:$L$300,6,FALSE),0))</f>
      </c>
      <c r="D78" s="11">
        <f>SUMIFS(Purchases!$D:$D,Purchases!$A:$A,$A78,Purchases!$C:$C,$B78)</f>
      </c>
      <c r="E78" s="11">
        <f>SUMIFS('Sales Log'!$D:$D,'Sales Log'!$A:$A,$A78,'Sales Log'!$C:$C,$B78)</f>
      </c>
      <c r="F78" s="8"/>
      <c r="G78" s="8"/>
      <c r="H78" s="11">
        <f>C78+D78-E78-F78</f>
      </c>
      <c r="I78" s="11">
        <f>H78-G78</f>
      </c>
    </row>
    <row r="79" ht="21" customHeight="1" spans="1:9" x14ac:dyDescent="0.25">
      <c r="A79" s="8"/>
      <c r="B79" s="8"/>
      <c r="C79" s="11">
        <f>IFERROR(LOOKUP(2,1/(($B$3:$B78=B79)*($A$3:$A78&lt;A79)),$G$3:$G78),IFERROR(VLOOKUP(B79,'Inventory Master'!$A$3:$L$300,6,FALSE),0))</f>
      </c>
      <c r="D79" s="11">
        <f>SUMIFS(Purchases!$D:$D,Purchases!$A:$A,$A79,Purchases!$C:$C,$B79)</f>
      </c>
      <c r="E79" s="11">
        <f>SUMIFS('Sales Log'!$D:$D,'Sales Log'!$A:$A,$A79,'Sales Log'!$C:$C,$B79)</f>
      </c>
      <c r="F79" s="8"/>
      <c r="G79" s="8"/>
      <c r="H79" s="11">
        <f>C79+D79-E79-F79</f>
      </c>
      <c r="I79" s="11">
        <f>H79-G79</f>
      </c>
    </row>
    <row r="80" ht="21" customHeight="1" spans="1:9" x14ac:dyDescent="0.25">
      <c r="A80" s="8"/>
      <c r="B80" s="8"/>
      <c r="C80" s="11">
        <f>IFERROR(LOOKUP(2,1/(($B$3:$B79=B80)*($A$3:$A79&lt;A80)),$G$3:$G79),IFERROR(VLOOKUP(B80,'Inventory Master'!$A$3:$L$300,6,FALSE),0))</f>
      </c>
      <c r="D80" s="11">
        <f>SUMIFS(Purchases!$D:$D,Purchases!$A:$A,$A80,Purchases!$C:$C,$B80)</f>
      </c>
      <c r="E80" s="11">
        <f>SUMIFS('Sales Log'!$D:$D,'Sales Log'!$A:$A,$A80,'Sales Log'!$C:$C,$B80)</f>
      </c>
      <c r="F80" s="8"/>
      <c r="G80" s="8"/>
      <c r="H80" s="11">
        <f>C80+D80-E80-F80</f>
      </c>
      <c r="I80" s="11">
        <f>H80-G80</f>
      </c>
    </row>
    <row r="81" ht="21" customHeight="1" spans="1:9" x14ac:dyDescent="0.25">
      <c r="A81" s="8"/>
      <c r="B81" s="8"/>
      <c r="C81" s="11">
        <f>IFERROR(LOOKUP(2,1/(($B$3:$B80=B81)*($A$3:$A80&lt;A81)),$G$3:$G80),IFERROR(VLOOKUP(B81,'Inventory Master'!$A$3:$L$300,6,FALSE),0))</f>
      </c>
      <c r="D81" s="11">
        <f>SUMIFS(Purchases!$D:$D,Purchases!$A:$A,$A81,Purchases!$C:$C,$B81)</f>
      </c>
      <c r="E81" s="11">
        <f>SUMIFS('Sales Log'!$D:$D,'Sales Log'!$A:$A,$A81,'Sales Log'!$C:$C,$B81)</f>
      </c>
      <c r="F81" s="8"/>
      <c r="G81" s="8"/>
      <c r="H81" s="11">
        <f>C81+D81-E81-F81</f>
      </c>
      <c r="I81" s="11">
        <f>H81-G81</f>
      </c>
    </row>
    <row r="82" ht="21" customHeight="1" spans="1:9" x14ac:dyDescent="0.25">
      <c r="A82" s="8"/>
      <c r="B82" s="8"/>
      <c r="C82" s="11">
        <f>IFERROR(LOOKUP(2,1/(($B$3:$B81=B82)*($A$3:$A81&lt;A82)),$G$3:$G81),IFERROR(VLOOKUP(B82,'Inventory Master'!$A$3:$L$300,6,FALSE),0))</f>
      </c>
      <c r="D82" s="11">
        <f>SUMIFS(Purchases!$D:$D,Purchases!$A:$A,$A82,Purchases!$C:$C,$B82)</f>
      </c>
      <c r="E82" s="11">
        <f>SUMIFS('Sales Log'!$D:$D,'Sales Log'!$A:$A,$A82,'Sales Log'!$C:$C,$B82)</f>
      </c>
      <c r="F82" s="8"/>
      <c r="G82" s="8"/>
      <c r="H82" s="11">
        <f>C82+D82-E82-F82</f>
      </c>
      <c r="I82" s="11">
        <f>H82-G82</f>
      </c>
    </row>
    <row r="83" ht="21" customHeight="1" spans="1:9" x14ac:dyDescent="0.25">
      <c r="A83" s="8"/>
      <c r="B83" s="8"/>
      <c r="C83" s="11">
        <f>IFERROR(LOOKUP(2,1/(($B$3:$B82=B83)*($A$3:$A82&lt;A83)),$G$3:$G82),IFERROR(VLOOKUP(B83,'Inventory Master'!$A$3:$L$300,6,FALSE),0))</f>
      </c>
      <c r="D83" s="11">
        <f>SUMIFS(Purchases!$D:$D,Purchases!$A:$A,$A83,Purchases!$C:$C,$B83)</f>
      </c>
      <c r="E83" s="11">
        <f>SUMIFS('Sales Log'!$D:$D,'Sales Log'!$A:$A,$A83,'Sales Log'!$C:$C,$B83)</f>
      </c>
      <c r="F83" s="8"/>
      <c r="G83" s="8"/>
      <c r="H83" s="11">
        <f>C83+D83-E83-F83</f>
      </c>
      <c r="I83" s="11">
        <f>H83-G83</f>
      </c>
    </row>
    <row r="84" ht="21" customHeight="1" spans="1:9" x14ac:dyDescent="0.25">
      <c r="A84" s="8"/>
      <c r="B84" s="8"/>
      <c r="C84" s="11">
        <f>IFERROR(LOOKUP(2,1/(($B$3:$B83=B84)*($A$3:$A83&lt;A84)),$G$3:$G83),IFERROR(VLOOKUP(B84,'Inventory Master'!$A$3:$L$300,6,FALSE),0))</f>
      </c>
      <c r="D84" s="11">
        <f>SUMIFS(Purchases!$D:$D,Purchases!$A:$A,$A84,Purchases!$C:$C,$B84)</f>
      </c>
      <c r="E84" s="11">
        <f>SUMIFS('Sales Log'!$D:$D,'Sales Log'!$A:$A,$A84,'Sales Log'!$C:$C,$B84)</f>
      </c>
      <c r="F84" s="8"/>
      <c r="G84" s="8"/>
      <c r="H84" s="11">
        <f>C84+D84-E84-F84</f>
      </c>
      <c r="I84" s="11">
        <f>H84-G84</f>
      </c>
    </row>
    <row r="85" ht="21" customHeight="1" spans="1:9" x14ac:dyDescent="0.25">
      <c r="A85" s="8"/>
      <c r="B85" s="8"/>
      <c r="C85" s="11">
        <f>IFERROR(LOOKUP(2,1/(($B$3:$B84=B85)*($A$3:$A84&lt;A85)),$G$3:$G84),IFERROR(VLOOKUP(B85,'Inventory Master'!$A$3:$L$300,6,FALSE),0))</f>
      </c>
      <c r="D85" s="11">
        <f>SUMIFS(Purchases!$D:$D,Purchases!$A:$A,$A85,Purchases!$C:$C,$B85)</f>
      </c>
      <c r="E85" s="11">
        <f>SUMIFS('Sales Log'!$D:$D,'Sales Log'!$A:$A,$A85,'Sales Log'!$C:$C,$B85)</f>
      </c>
      <c r="F85" s="8"/>
      <c r="G85" s="8"/>
      <c r="H85" s="11">
        <f>C85+D85-E85-F85</f>
      </c>
      <c r="I85" s="11">
        <f>H85-G85</f>
      </c>
    </row>
    <row r="86" ht="21" customHeight="1" spans="1:9" x14ac:dyDescent="0.25">
      <c r="A86" s="8"/>
      <c r="B86" s="8"/>
      <c r="C86" s="11">
        <f>IFERROR(LOOKUP(2,1/(($B$3:$B85=B86)*($A$3:$A85&lt;A86)),$G$3:$G85),IFERROR(VLOOKUP(B86,'Inventory Master'!$A$3:$L$300,6,FALSE),0))</f>
      </c>
      <c r="D86" s="11">
        <f>SUMIFS(Purchases!$D:$D,Purchases!$A:$A,$A86,Purchases!$C:$C,$B86)</f>
      </c>
      <c r="E86" s="11">
        <f>SUMIFS('Sales Log'!$D:$D,'Sales Log'!$A:$A,$A86,'Sales Log'!$C:$C,$B86)</f>
      </c>
      <c r="F86" s="8"/>
      <c r="G86" s="8"/>
      <c r="H86" s="11">
        <f>C86+D86-E86-F86</f>
      </c>
      <c r="I86" s="11">
        <f>H86-G86</f>
      </c>
    </row>
    <row r="87" ht="21" customHeight="1" spans="1:9" x14ac:dyDescent="0.25">
      <c r="A87" s="8"/>
      <c r="B87" s="8"/>
      <c r="C87" s="11">
        <f>IFERROR(LOOKUP(2,1/(($B$3:$B86=B87)*($A$3:$A86&lt;A87)),$G$3:$G86),IFERROR(VLOOKUP(B87,'Inventory Master'!$A$3:$L$300,6,FALSE),0))</f>
      </c>
      <c r="D87" s="11">
        <f>SUMIFS(Purchases!$D:$D,Purchases!$A:$A,$A87,Purchases!$C:$C,$B87)</f>
      </c>
      <c r="E87" s="11">
        <f>SUMIFS('Sales Log'!$D:$D,'Sales Log'!$A:$A,$A87,'Sales Log'!$C:$C,$B87)</f>
      </c>
      <c r="F87" s="8"/>
      <c r="G87" s="8"/>
      <c r="H87" s="11">
        <f>C87+D87-E87-F87</f>
      </c>
      <c r="I87" s="11">
        <f>H87-G87</f>
      </c>
    </row>
    <row r="88" ht="21" customHeight="1" spans="1:9" x14ac:dyDescent="0.25">
      <c r="A88" s="8"/>
      <c r="B88" s="8"/>
      <c r="C88" s="11">
        <f>IFERROR(LOOKUP(2,1/(($B$3:$B87=B88)*($A$3:$A87&lt;A88)),$G$3:$G87),IFERROR(VLOOKUP(B88,'Inventory Master'!$A$3:$L$300,6,FALSE),0))</f>
      </c>
      <c r="D88" s="11">
        <f>SUMIFS(Purchases!$D:$D,Purchases!$A:$A,$A88,Purchases!$C:$C,$B88)</f>
      </c>
      <c r="E88" s="11">
        <f>SUMIFS('Sales Log'!$D:$D,'Sales Log'!$A:$A,$A88,'Sales Log'!$C:$C,$B88)</f>
      </c>
      <c r="F88" s="8"/>
      <c r="G88" s="8"/>
      <c r="H88" s="11">
        <f>C88+D88-E88-F88</f>
      </c>
      <c r="I88" s="11">
        <f>H88-G88</f>
      </c>
    </row>
    <row r="89" ht="21" customHeight="1" spans="1:9" x14ac:dyDescent="0.25">
      <c r="A89" s="8"/>
      <c r="B89" s="8"/>
      <c r="C89" s="11">
        <f>IFERROR(LOOKUP(2,1/(($B$3:$B88=B89)*($A$3:$A88&lt;A89)),$G$3:$G88),IFERROR(VLOOKUP(B89,'Inventory Master'!$A$3:$L$300,6,FALSE),0))</f>
      </c>
      <c r="D89" s="11">
        <f>SUMIFS(Purchases!$D:$D,Purchases!$A:$A,$A89,Purchases!$C:$C,$B89)</f>
      </c>
      <c r="E89" s="11">
        <f>SUMIFS('Sales Log'!$D:$D,'Sales Log'!$A:$A,$A89,'Sales Log'!$C:$C,$B89)</f>
      </c>
      <c r="F89" s="8"/>
      <c r="G89" s="8"/>
      <c r="H89" s="11">
        <f>C89+D89-E89-F89</f>
      </c>
      <c r="I89" s="11">
        <f>H89-G89</f>
      </c>
    </row>
    <row r="90" ht="21" customHeight="1" spans="1:9" x14ac:dyDescent="0.25">
      <c r="A90" s="8"/>
      <c r="B90" s="8"/>
      <c r="C90" s="11">
        <f>IFERROR(LOOKUP(2,1/(($B$3:$B89=B90)*($A$3:$A89&lt;A90)),$G$3:$G89),IFERROR(VLOOKUP(B90,'Inventory Master'!$A$3:$L$300,6,FALSE),0))</f>
      </c>
      <c r="D90" s="11">
        <f>SUMIFS(Purchases!$D:$D,Purchases!$A:$A,$A90,Purchases!$C:$C,$B90)</f>
      </c>
      <c r="E90" s="11">
        <f>SUMIFS('Sales Log'!$D:$D,'Sales Log'!$A:$A,$A90,'Sales Log'!$C:$C,$B90)</f>
      </c>
      <c r="F90" s="8"/>
      <c r="G90" s="8"/>
      <c r="H90" s="11">
        <f>C90+D90-E90-F90</f>
      </c>
      <c r="I90" s="11">
        <f>H90-G90</f>
      </c>
    </row>
    <row r="91" ht="21" customHeight="1" spans="1:9" x14ac:dyDescent="0.25">
      <c r="A91" s="8"/>
      <c r="B91" s="8"/>
      <c r="C91" s="11">
        <f>IFERROR(LOOKUP(2,1/(($B$3:$B90=B91)*($A$3:$A90&lt;A91)),$G$3:$G90),IFERROR(VLOOKUP(B91,'Inventory Master'!$A$3:$L$300,6,FALSE),0))</f>
      </c>
      <c r="D91" s="11">
        <f>SUMIFS(Purchases!$D:$D,Purchases!$A:$A,$A91,Purchases!$C:$C,$B91)</f>
      </c>
      <c r="E91" s="11">
        <f>SUMIFS('Sales Log'!$D:$D,'Sales Log'!$A:$A,$A91,'Sales Log'!$C:$C,$B91)</f>
      </c>
      <c r="F91" s="8"/>
      <c r="G91" s="8"/>
      <c r="H91" s="11">
        <f>C91+D91-E91-F91</f>
      </c>
      <c r="I91" s="11">
        <f>H91-G91</f>
      </c>
    </row>
    <row r="92" ht="21" customHeight="1" spans="1:9" x14ac:dyDescent="0.25">
      <c r="A92" s="8"/>
      <c r="B92" s="8"/>
      <c r="C92" s="11">
        <f>IFERROR(LOOKUP(2,1/(($B$3:$B91=B92)*($A$3:$A91&lt;A92)),$G$3:$G91),IFERROR(VLOOKUP(B92,'Inventory Master'!$A$3:$L$300,6,FALSE),0))</f>
      </c>
      <c r="D92" s="11">
        <f>SUMIFS(Purchases!$D:$D,Purchases!$A:$A,$A92,Purchases!$C:$C,$B92)</f>
      </c>
      <c r="E92" s="11">
        <f>SUMIFS('Sales Log'!$D:$D,'Sales Log'!$A:$A,$A92,'Sales Log'!$C:$C,$B92)</f>
      </c>
      <c r="F92" s="8"/>
      <c r="G92" s="8"/>
      <c r="H92" s="11">
        <f>C92+D92-E92-F92</f>
      </c>
      <c r="I92" s="11">
        <f>H92-G92</f>
      </c>
    </row>
    <row r="93" ht="21" customHeight="1" spans="1:9" x14ac:dyDescent="0.25">
      <c r="A93" s="8"/>
      <c r="B93" s="8"/>
      <c r="C93" s="11">
        <f>IFERROR(LOOKUP(2,1/(($B$3:$B92=B93)*($A$3:$A92&lt;A93)),$G$3:$G92),IFERROR(VLOOKUP(B93,'Inventory Master'!$A$3:$L$300,6,FALSE),0))</f>
      </c>
      <c r="D93" s="11">
        <f>SUMIFS(Purchases!$D:$D,Purchases!$A:$A,$A93,Purchases!$C:$C,$B93)</f>
      </c>
      <c r="E93" s="11">
        <f>SUMIFS('Sales Log'!$D:$D,'Sales Log'!$A:$A,$A93,'Sales Log'!$C:$C,$B93)</f>
      </c>
      <c r="F93" s="8"/>
      <c r="G93" s="8"/>
      <c r="H93" s="11">
        <f>C93+D93-E93-F93</f>
      </c>
      <c r="I93" s="11">
        <f>H93-G93</f>
      </c>
    </row>
    <row r="94" ht="21" customHeight="1" spans="1:9" x14ac:dyDescent="0.25">
      <c r="A94" s="8"/>
      <c r="B94" s="8"/>
      <c r="C94" s="11">
        <f>IFERROR(LOOKUP(2,1/(($B$3:$B93=B94)*($A$3:$A93&lt;A94)),$G$3:$G93),IFERROR(VLOOKUP(B94,'Inventory Master'!$A$3:$L$300,6,FALSE),0))</f>
      </c>
      <c r="D94" s="11">
        <f>SUMIFS(Purchases!$D:$D,Purchases!$A:$A,$A94,Purchases!$C:$C,$B94)</f>
      </c>
      <c r="E94" s="11">
        <f>SUMIFS('Sales Log'!$D:$D,'Sales Log'!$A:$A,$A94,'Sales Log'!$C:$C,$B94)</f>
      </c>
      <c r="F94" s="8"/>
      <c r="G94" s="8"/>
      <c r="H94" s="11">
        <f>C94+D94-E94-F94</f>
      </c>
      <c r="I94" s="11">
        <f>H94-G94</f>
      </c>
    </row>
    <row r="95" ht="21" customHeight="1" spans="1:9" x14ac:dyDescent="0.25">
      <c r="A95" s="8"/>
      <c r="B95" s="8"/>
      <c r="C95" s="11">
        <f>IFERROR(LOOKUP(2,1/(($B$3:$B94=B95)*($A$3:$A94&lt;A95)),$G$3:$G94),IFERROR(VLOOKUP(B95,'Inventory Master'!$A$3:$L$300,6,FALSE),0))</f>
      </c>
      <c r="D95" s="11">
        <f>SUMIFS(Purchases!$D:$D,Purchases!$A:$A,$A95,Purchases!$C:$C,$B95)</f>
      </c>
      <c r="E95" s="11">
        <f>SUMIFS('Sales Log'!$D:$D,'Sales Log'!$A:$A,$A95,'Sales Log'!$C:$C,$B95)</f>
      </c>
      <c r="F95" s="8"/>
      <c r="G95" s="8"/>
      <c r="H95" s="11">
        <f>C95+D95-E95-F95</f>
      </c>
      <c r="I95" s="11">
        <f>H95-G95</f>
      </c>
    </row>
    <row r="96" ht="21" customHeight="1" spans="1:9" x14ac:dyDescent="0.25">
      <c r="A96" s="8"/>
      <c r="B96" s="8"/>
      <c r="C96" s="11">
        <f>IFERROR(LOOKUP(2,1/(($B$3:$B95=B96)*($A$3:$A95&lt;A96)),$G$3:$G95),IFERROR(VLOOKUP(B96,'Inventory Master'!$A$3:$L$300,6,FALSE),0))</f>
      </c>
      <c r="D96" s="11">
        <f>SUMIFS(Purchases!$D:$D,Purchases!$A:$A,$A96,Purchases!$C:$C,$B96)</f>
      </c>
      <c r="E96" s="11">
        <f>SUMIFS('Sales Log'!$D:$D,'Sales Log'!$A:$A,$A96,'Sales Log'!$C:$C,$B96)</f>
      </c>
      <c r="F96" s="8"/>
      <c r="G96" s="8"/>
      <c r="H96" s="11">
        <f>C96+D96-E96-F96</f>
      </c>
      <c r="I96" s="11">
        <f>H96-G96</f>
      </c>
    </row>
    <row r="97" ht="21" customHeight="1" spans="1:9" x14ac:dyDescent="0.25">
      <c r="A97" s="8"/>
      <c r="B97" s="8"/>
      <c r="C97" s="11">
        <f>IFERROR(LOOKUP(2,1/(($B$3:$B96=B97)*($A$3:$A96&lt;A97)),$G$3:$G96),IFERROR(VLOOKUP(B97,'Inventory Master'!$A$3:$L$300,6,FALSE),0))</f>
      </c>
      <c r="D97" s="11">
        <f>SUMIFS(Purchases!$D:$D,Purchases!$A:$A,$A97,Purchases!$C:$C,$B97)</f>
      </c>
      <c r="E97" s="11">
        <f>SUMIFS('Sales Log'!$D:$D,'Sales Log'!$A:$A,$A97,'Sales Log'!$C:$C,$B97)</f>
      </c>
      <c r="F97" s="8"/>
      <c r="G97" s="8"/>
      <c r="H97" s="11">
        <f>C97+D97-E97-F97</f>
      </c>
      <c r="I97" s="11">
        <f>H97-G97</f>
      </c>
    </row>
    <row r="98" ht="21" customHeight="1" spans="1:9" x14ac:dyDescent="0.25">
      <c r="A98" s="8"/>
      <c r="B98" s="8"/>
      <c r="C98" s="11">
        <f>IFERROR(LOOKUP(2,1/(($B$3:$B97=B98)*($A$3:$A97&lt;A98)),$G$3:$G97),IFERROR(VLOOKUP(B98,'Inventory Master'!$A$3:$L$300,6,FALSE),0))</f>
      </c>
      <c r="D98" s="11">
        <f>SUMIFS(Purchases!$D:$D,Purchases!$A:$A,$A98,Purchases!$C:$C,$B98)</f>
      </c>
      <c r="E98" s="11">
        <f>SUMIFS('Sales Log'!$D:$D,'Sales Log'!$A:$A,$A98,'Sales Log'!$C:$C,$B98)</f>
      </c>
      <c r="F98" s="8"/>
      <c r="G98" s="8"/>
      <c r="H98" s="11">
        <f>C98+D98-E98-F98</f>
      </c>
      <c r="I98" s="11">
        <f>H98-G98</f>
      </c>
    </row>
    <row r="99" ht="21" customHeight="1" spans="1:9" x14ac:dyDescent="0.25">
      <c r="A99" s="8"/>
      <c r="B99" s="8"/>
      <c r="C99" s="11">
        <f>IFERROR(LOOKUP(2,1/(($B$3:$B98=B99)*($A$3:$A98&lt;A99)),$G$3:$G98),IFERROR(VLOOKUP(B99,'Inventory Master'!$A$3:$L$300,6,FALSE),0))</f>
      </c>
      <c r="D99" s="11">
        <f>SUMIFS(Purchases!$D:$D,Purchases!$A:$A,$A99,Purchases!$C:$C,$B99)</f>
      </c>
      <c r="E99" s="11">
        <f>SUMIFS('Sales Log'!$D:$D,'Sales Log'!$A:$A,$A99,'Sales Log'!$C:$C,$B99)</f>
      </c>
      <c r="F99" s="8"/>
      <c r="G99" s="8"/>
      <c r="H99" s="11">
        <f>C99+D99-E99-F99</f>
      </c>
      <c r="I99" s="11">
        <f>H99-G99</f>
      </c>
    </row>
    <row r="100" ht="21" customHeight="1" spans="1:9" x14ac:dyDescent="0.25">
      <c r="A100" s="8"/>
      <c r="B100" s="8"/>
      <c r="C100" s="11">
        <f>IFERROR(LOOKUP(2,1/(($B$3:$B99=B100)*($A$3:$A99&lt;A100)),$G$3:$G99),IFERROR(VLOOKUP(B100,'Inventory Master'!$A$3:$L$300,6,FALSE),0))</f>
      </c>
      <c r="D100" s="11">
        <f>SUMIFS(Purchases!$D:$D,Purchases!$A:$A,$A100,Purchases!$C:$C,$B100)</f>
      </c>
      <c r="E100" s="11">
        <f>SUMIFS('Sales Log'!$D:$D,'Sales Log'!$A:$A,$A100,'Sales Log'!$C:$C,$B100)</f>
      </c>
      <c r="F100" s="8"/>
      <c r="G100" s="8"/>
      <c r="H100" s="11">
        <f>C100+D100-E100-F100</f>
      </c>
      <c r="I100" s="11">
        <f>H100-G100</f>
      </c>
    </row>
    <row r="101" ht="21" customHeight="1" spans="1:9" x14ac:dyDescent="0.25">
      <c r="A101" s="8"/>
      <c r="B101" s="8"/>
      <c r="C101" s="11">
        <f>IFERROR(LOOKUP(2,1/(($B$3:$B100=B101)*($A$3:$A100&lt;A101)),$G$3:$G100),IFERROR(VLOOKUP(B101,'Inventory Master'!$A$3:$L$300,6,FALSE),0))</f>
      </c>
      <c r="D101" s="11">
        <f>SUMIFS(Purchases!$D:$D,Purchases!$A:$A,$A101,Purchases!$C:$C,$B101)</f>
      </c>
      <c r="E101" s="11">
        <f>SUMIFS('Sales Log'!$D:$D,'Sales Log'!$A:$A,$A101,'Sales Log'!$C:$C,$B101)</f>
      </c>
      <c r="F101" s="8"/>
      <c r="G101" s="8"/>
      <c r="H101" s="11">
        <f>C101+D101-E101-F101</f>
      </c>
      <c r="I101" s="11">
        <f>H101-G101</f>
      </c>
    </row>
    <row r="102" ht="21" customHeight="1" spans="1:9" x14ac:dyDescent="0.25">
      <c r="A102" s="8"/>
      <c r="B102" s="8"/>
      <c r="C102" s="11">
        <f>IFERROR(LOOKUP(2,1/(($B$3:$B101=B102)*($A$3:$A101&lt;A102)),$G$3:$G101),IFERROR(VLOOKUP(B102,'Inventory Master'!$A$3:$L$300,6,FALSE),0))</f>
      </c>
      <c r="D102" s="11">
        <f>SUMIFS(Purchases!$D:$D,Purchases!$A:$A,$A102,Purchases!$C:$C,$B102)</f>
      </c>
      <c r="E102" s="11">
        <f>SUMIFS('Sales Log'!$D:$D,'Sales Log'!$A:$A,$A102,'Sales Log'!$C:$C,$B102)</f>
      </c>
      <c r="F102" s="8"/>
      <c r="G102" s="8"/>
      <c r="H102" s="11">
        <f>C102+D102-E102-F102</f>
      </c>
      <c r="I102" s="11">
        <f>H102-G102</f>
      </c>
    </row>
    <row r="103" ht="21" customHeight="1" spans="1:9" x14ac:dyDescent="0.25">
      <c r="A103" s="8"/>
      <c r="B103" s="8"/>
      <c r="C103" s="11">
        <f>IFERROR(LOOKUP(2,1/(($B$3:$B102=B103)*($A$3:$A102&lt;A103)),$G$3:$G102),IFERROR(VLOOKUP(B103,'Inventory Master'!$A$3:$L$300,6,FALSE),0))</f>
      </c>
      <c r="D103" s="11">
        <f>SUMIFS(Purchases!$D:$D,Purchases!$A:$A,$A103,Purchases!$C:$C,$B103)</f>
      </c>
      <c r="E103" s="11">
        <f>SUMIFS('Sales Log'!$D:$D,'Sales Log'!$A:$A,$A103,'Sales Log'!$C:$C,$B103)</f>
      </c>
      <c r="F103" s="8"/>
      <c r="G103" s="8"/>
      <c r="H103" s="11">
        <f>C103+D103-E103-F103</f>
      </c>
      <c r="I103" s="11">
        <f>H103-G103</f>
      </c>
    </row>
    <row r="104" ht="21" customHeight="1" spans="1:9" x14ac:dyDescent="0.25">
      <c r="A104" s="8"/>
      <c r="B104" s="8"/>
      <c r="C104" s="11">
        <f>IFERROR(LOOKUP(2,1/(($B$3:$B103=B104)*($A$3:$A103&lt;A104)),$G$3:$G103),IFERROR(VLOOKUP(B104,'Inventory Master'!$A$3:$L$300,6,FALSE),0))</f>
      </c>
      <c r="D104" s="11">
        <f>SUMIFS(Purchases!$D:$D,Purchases!$A:$A,$A104,Purchases!$C:$C,$B104)</f>
      </c>
      <c r="E104" s="11">
        <f>SUMIFS('Sales Log'!$D:$D,'Sales Log'!$A:$A,$A104,'Sales Log'!$C:$C,$B104)</f>
      </c>
      <c r="F104" s="8"/>
      <c r="G104" s="8"/>
      <c r="H104" s="11">
        <f>C104+D104-E104-F104</f>
      </c>
      <c r="I104" s="11">
        <f>H104-G104</f>
      </c>
    </row>
    <row r="105" ht="21" customHeight="1" spans="1:9" x14ac:dyDescent="0.25">
      <c r="A105" s="8"/>
      <c r="B105" s="8"/>
      <c r="C105" s="11">
        <f>IFERROR(LOOKUP(2,1/(($B$3:$B104=B105)*($A$3:$A104&lt;A105)),$G$3:$G104),IFERROR(VLOOKUP(B105,'Inventory Master'!$A$3:$L$300,6,FALSE),0))</f>
      </c>
      <c r="D105" s="11">
        <f>SUMIFS(Purchases!$D:$D,Purchases!$A:$A,$A105,Purchases!$C:$C,$B105)</f>
      </c>
      <c r="E105" s="11">
        <f>SUMIFS('Sales Log'!$D:$D,'Sales Log'!$A:$A,$A105,'Sales Log'!$C:$C,$B105)</f>
      </c>
      <c r="F105" s="8"/>
      <c r="G105" s="8"/>
      <c r="H105" s="11">
        <f>C105+D105-E105-F105</f>
      </c>
      <c r="I105" s="11">
        <f>H105-G105</f>
      </c>
    </row>
    <row r="106" ht="21" customHeight="1" spans="1:9" x14ac:dyDescent="0.25">
      <c r="A106" s="8"/>
      <c r="B106" s="8"/>
      <c r="C106" s="11">
        <f>IFERROR(LOOKUP(2,1/(($B$3:$B105=B106)*($A$3:$A105&lt;A106)),$G$3:$G105),IFERROR(VLOOKUP(B106,'Inventory Master'!$A$3:$L$300,6,FALSE),0))</f>
      </c>
      <c r="D106" s="11">
        <f>SUMIFS(Purchases!$D:$D,Purchases!$A:$A,$A106,Purchases!$C:$C,$B106)</f>
      </c>
      <c r="E106" s="11">
        <f>SUMIFS('Sales Log'!$D:$D,'Sales Log'!$A:$A,$A106,'Sales Log'!$C:$C,$B106)</f>
      </c>
      <c r="F106" s="8"/>
      <c r="G106" s="8"/>
      <c r="H106" s="11">
        <f>C106+D106-E106-F106</f>
      </c>
      <c r="I106" s="11">
        <f>H106-G106</f>
      </c>
    </row>
    <row r="107" ht="21" customHeight="1" spans="1:9" x14ac:dyDescent="0.25">
      <c r="A107" s="8"/>
      <c r="B107" s="8"/>
      <c r="C107" s="11">
        <f>IFERROR(LOOKUP(2,1/(($B$3:$B106=B107)*($A$3:$A106&lt;A107)),$G$3:$G106),IFERROR(VLOOKUP(B107,'Inventory Master'!$A$3:$L$300,6,FALSE),0))</f>
      </c>
      <c r="D107" s="11">
        <f>SUMIFS(Purchases!$D:$D,Purchases!$A:$A,$A107,Purchases!$C:$C,$B107)</f>
      </c>
      <c r="E107" s="11">
        <f>SUMIFS('Sales Log'!$D:$D,'Sales Log'!$A:$A,$A107,'Sales Log'!$C:$C,$B107)</f>
      </c>
      <c r="F107" s="8"/>
      <c r="G107" s="8"/>
      <c r="H107" s="11">
        <f>C107+D107-E107-F107</f>
      </c>
      <c r="I107" s="11">
        <f>H107-G107</f>
      </c>
    </row>
    <row r="108" ht="21" customHeight="1" spans="1:9" x14ac:dyDescent="0.25">
      <c r="A108" s="8"/>
      <c r="B108" s="8"/>
      <c r="C108" s="11">
        <f>IFERROR(LOOKUP(2,1/(($B$3:$B107=B108)*($A$3:$A107&lt;A108)),$G$3:$G107),IFERROR(VLOOKUP(B108,'Inventory Master'!$A$3:$L$300,6,FALSE),0))</f>
      </c>
      <c r="D108" s="11">
        <f>SUMIFS(Purchases!$D:$D,Purchases!$A:$A,$A108,Purchases!$C:$C,$B108)</f>
      </c>
      <c r="E108" s="11">
        <f>SUMIFS('Sales Log'!$D:$D,'Sales Log'!$A:$A,$A108,'Sales Log'!$C:$C,$B108)</f>
      </c>
      <c r="F108" s="8"/>
      <c r="G108" s="8"/>
      <c r="H108" s="11">
        <f>C108+D108-E108-F108</f>
      </c>
      <c r="I108" s="11">
        <f>H108-G108</f>
      </c>
    </row>
    <row r="109" ht="21" customHeight="1" spans="1:9" x14ac:dyDescent="0.25">
      <c r="A109" s="8"/>
      <c r="B109" s="8"/>
      <c r="C109" s="11">
        <f>IFERROR(LOOKUP(2,1/(($B$3:$B108=B109)*($A$3:$A108&lt;A109)),$G$3:$G108),IFERROR(VLOOKUP(B109,'Inventory Master'!$A$3:$L$300,6,FALSE),0))</f>
      </c>
      <c r="D109" s="11">
        <f>SUMIFS(Purchases!$D:$D,Purchases!$A:$A,$A109,Purchases!$C:$C,$B109)</f>
      </c>
      <c r="E109" s="11">
        <f>SUMIFS('Sales Log'!$D:$D,'Sales Log'!$A:$A,$A109,'Sales Log'!$C:$C,$B109)</f>
      </c>
      <c r="F109" s="8"/>
      <c r="G109" s="8"/>
      <c r="H109" s="11">
        <f>C109+D109-E109-F109</f>
      </c>
      <c r="I109" s="11">
        <f>H109-G109</f>
      </c>
    </row>
    <row r="110" ht="21" customHeight="1" spans="1:9" x14ac:dyDescent="0.25">
      <c r="A110" s="8"/>
      <c r="B110" s="8"/>
      <c r="C110" s="11">
        <f>IFERROR(LOOKUP(2,1/(($B$3:$B109=B110)*($A$3:$A109&lt;A110)),$G$3:$G109),IFERROR(VLOOKUP(B110,'Inventory Master'!$A$3:$L$300,6,FALSE),0))</f>
      </c>
      <c r="D110" s="11">
        <f>SUMIFS(Purchases!$D:$D,Purchases!$A:$A,$A110,Purchases!$C:$C,$B110)</f>
      </c>
      <c r="E110" s="11">
        <f>SUMIFS('Sales Log'!$D:$D,'Sales Log'!$A:$A,$A110,'Sales Log'!$C:$C,$B110)</f>
      </c>
      <c r="F110" s="8"/>
      <c r="G110" s="8"/>
      <c r="H110" s="11">
        <f>C110+D110-E110-F110</f>
      </c>
      <c r="I110" s="11">
        <f>H110-G110</f>
      </c>
    </row>
    <row r="111" ht="21" customHeight="1" spans="1:9" x14ac:dyDescent="0.25">
      <c r="A111" s="8"/>
      <c r="B111" s="8"/>
      <c r="C111" s="11">
        <f>IFERROR(LOOKUP(2,1/(($B$3:$B110=B111)*($A$3:$A110&lt;A111)),$G$3:$G110),IFERROR(VLOOKUP(B111,'Inventory Master'!$A$3:$L$300,6,FALSE),0))</f>
      </c>
      <c r="D111" s="11">
        <f>SUMIFS(Purchases!$D:$D,Purchases!$A:$A,$A111,Purchases!$C:$C,$B111)</f>
      </c>
      <c r="E111" s="11">
        <f>SUMIFS('Sales Log'!$D:$D,'Sales Log'!$A:$A,$A111,'Sales Log'!$C:$C,$B111)</f>
      </c>
      <c r="F111" s="8"/>
      <c r="G111" s="8"/>
      <c r="H111" s="11">
        <f>C111+D111-E111-F111</f>
      </c>
      <c r="I111" s="11">
        <f>H111-G111</f>
      </c>
    </row>
    <row r="112" ht="21" customHeight="1" spans="1:9" x14ac:dyDescent="0.25">
      <c r="A112" s="8"/>
      <c r="B112" s="8"/>
      <c r="C112" s="11">
        <f>IFERROR(LOOKUP(2,1/(($B$3:$B111=B112)*($A$3:$A111&lt;A112)),$G$3:$G111),IFERROR(VLOOKUP(B112,'Inventory Master'!$A$3:$L$300,6,FALSE),0))</f>
      </c>
      <c r="D112" s="11">
        <f>SUMIFS(Purchases!$D:$D,Purchases!$A:$A,$A112,Purchases!$C:$C,$B112)</f>
      </c>
      <c r="E112" s="11">
        <f>SUMIFS('Sales Log'!$D:$D,'Sales Log'!$A:$A,$A112,'Sales Log'!$C:$C,$B112)</f>
      </c>
      <c r="F112" s="8"/>
      <c r="G112" s="8"/>
      <c r="H112" s="11">
        <f>C112+D112-E112-F112</f>
      </c>
      <c r="I112" s="11">
        <f>H112-G112</f>
      </c>
    </row>
    <row r="113" ht="21" customHeight="1" spans="1:9" x14ac:dyDescent="0.25">
      <c r="A113" s="8"/>
      <c r="B113" s="8"/>
      <c r="C113" s="11">
        <f>IFERROR(LOOKUP(2,1/(($B$3:$B112=B113)*($A$3:$A112&lt;A113)),$G$3:$G112),IFERROR(VLOOKUP(B113,'Inventory Master'!$A$3:$L$300,6,FALSE),0))</f>
      </c>
      <c r="D113" s="11">
        <f>SUMIFS(Purchases!$D:$D,Purchases!$A:$A,$A113,Purchases!$C:$C,$B113)</f>
      </c>
      <c r="E113" s="11">
        <f>SUMIFS('Sales Log'!$D:$D,'Sales Log'!$A:$A,$A113,'Sales Log'!$C:$C,$B113)</f>
      </c>
      <c r="F113" s="8"/>
      <c r="G113" s="8"/>
      <c r="H113" s="11">
        <f>C113+D113-E113-F113</f>
      </c>
      <c r="I113" s="11">
        <f>H113-G113</f>
      </c>
    </row>
    <row r="114" ht="21" customHeight="1" spans="1:9" x14ac:dyDescent="0.25">
      <c r="A114" s="8"/>
      <c r="B114" s="8"/>
      <c r="C114" s="11">
        <f>IFERROR(LOOKUP(2,1/(($B$3:$B113=B114)*($A$3:$A113&lt;A114)),$G$3:$G113),IFERROR(VLOOKUP(B114,'Inventory Master'!$A$3:$L$300,6,FALSE),0))</f>
      </c>
      <c r="D114" s="11">
        <f>SUMIFS(Purchases!$D:$D,Purchases!$A:$A,$A114,Purchases!$C:$C,$B114)</f>
      </c>
      <c r="E114" s="11">
        <f>SUMIFS('Sales Log'!$D:$D,'Sales Log'!$A:$A,$A114,'Sales Log'!$C:$C,$B114)</f>
      </c>
      <c r="F114" s="8"/>
      <c r="G114" s="8"/>
      <c r="H114" s="11">
        <f>C114+D114-E114-F114</f>
      </c>
      <c r="I114" s="11">
        <f>H114-G114</f>
      </c>
    </row>
    <row r="115" ht="21" customHeight="1" spans="1:9" x14ac:dyDescent="0.25">
      <c r="A115" s="8"/>
      <c r="B115" s="8"/>
      <c r="C115" s="11">
        <f>IFERROR(LOOKUP(2,1/(($B$3:$B114=B115)*($A$3:$A114&lt;A115)),$G$3:$G114),IFERROR(VLOOKUP(B115,'Inventory Master'!$A$3:$L$300,6,FALSE),0))</f>
      </c>
      <c r="D115" s="11">
        <f>SUMIFS(Purchases!$D:$D,Purchases!$A:$A,$A115,Purchases!$C:$C,$B115)</f>
      </c>
      <c r="E115" s="11">
        <f>SUMIFS('Sales Log'!$D:$D,'Sales Log'!$A:$A,$A115,'Sales Log'!$C:$C,$B115)</f>
      </c>
      <c r="F115" s="8"/>
      <c r="G115" s="8"/>
      <c r="H115" s="11">
        <f>C115+D115-E115-F115</f>
      </c>
      <c r="I115" s="11">
        <f>H115-G115</f>
      </c>
    </row>
    <row r="116" ht="21" customHeight="1" spans="1:9" x14ac:dyDescent="0.25">
      <c r="A116" s="8"/>
      <c r="B116" s="8"/>
      <c r="C116" s="11">
        <f>IFERROR(LOOKUP(2,1/(($B$3:$B115=B116)*($A$3:$A115&lt;A116)),$G$3:$G115),IFERROR(VLOOKUP(B116,'Inventory Master'!$A$3:$L$300,6,FALSE),0))</f>
      </c>
      <c r="D116" s="11">
        <f>SUMIFS(Purchases!$D:$D,Purchases!$A:$A,$A116,Purchases!$C:$C,$B116)</f>
      </c>
      <c r="E116" s="11">
        <f>SUMIFS('Sales Log'!$D:$D,'Sales Log'!$A:$A,$A116,'Sales Log'!$C:$C,$B116)</f>
      </c>
      <c r="F116" s="8"/>
      <c r="G116" s="8"/>
      <c r="H116" s="11">
        <f>C116+D116-E116-F116</f>
      </c>
      <c r="I116" s="11">
        <f>H116-G116</f>
      </c>
    </row>
    <row r="117" ht="21" customHeight="1" spans="1:9" x14ac:dyDescent="0.25">
      <c r="A117" s="8"/>
      <c r="B117" s="8"/>
      <c r="C117" s="11">
        <f>IFERROR(LOOKUP(2,1/(($B$3:$B116=B117)*($A$3:$A116&lt;A117)),$G$3:$G116),IFERROR(VLOOKUP(B117,'Inventory Master'!$A$3:$L$300,6,FALSE),0))</f>
      </c>
      <c r="D117" s="11">
        <f>SUMIFS(Purchases!$D:$D,Purchases!$A:$A,$A117,Purchases!$C:$C,$B117)</f>
      </c>
      <c r="E117" s="11">
        <f>SUMIFS('Sales Log'!$D:$D,'Sales Log'!$A:$A,$A117,'Sales Log'!$C:$C,$B117)</f>
      </c>
      <c r="F117" s="8"/>
      <c r="G117" s="8"/>
      <c r="H117" s="11">
        <f>C117+D117-E117-F117</f>
      </c>
      <c r="I117" s="11">
        <f>H117-G117</f>
      </c>
    </row>
    <row r="118" ht="21" customHeight="1" spans="1:9" x14ac:dyDescent="0.25">
      <c r="A118" s="8"/>
      <c r="B118" s="8"/>
      <c r="C118" s="11">
        <f>IFERROR(LOOKUP(2,1/(($B$3:$B117=B118)*($A$3:$A117&lt;A118)),$G$3:$G117),IFERROR(VLOOKUP(B118,'Inventory Master'!$A$3:$L$300,6,FALSE),0))</f>
      </c>
      <c r="D118" s="11">
        <f>SUMIFS(Purchases!$D:$D,Purchases!$A:$A,$A118,Purchases!$C:$C,$B118)</f>
      </c>
      <c r="E118" s="11">
        <f>SUMIFS('Sales Log'!$D:$D,'Sales Log'!$A:$A,$A118,'Sales Log'!$C:$C,$B118)</f>
      </c>
      <c r="F118" s="8"/>
      <c r="G118" s="8"/>
      <c r="H118" s="11">
        <f>C118+D118-E118-F118</f>
      </c>
      <c r="I118" s="11">
        <f>H118-G118</f>
      </c>
    </row>
    <row r="119" ht="21" customHeight="1" spans="1:9" x14ac:dyDescent="0.25">
      <c r="A119" s="8"/>
      <c r="B119" s="8"/>
      <c r="C119" s="11">
        <f>IFERROR(LOOKUP(2,1/(($B$3:$B118=B119)*($A$3:$A118&lt;A119)),$G$3:$G118),IFERROR(VLOOKUP(B119,'Inventory Master'!$A$3:$L$300,6,FALSE),0))</f>
      </c>
      <c r="D119" s="11">
        <f>SUMIFS(Purchases!$D:$D,Purchases!$A:$A,$A119,Purchases!$C:$C,$B119)</f>
      </c>
      <c r="E119" s="11">
        <f>SUMIFS('Sales Log'!$D:$D,'Sales Log'!$A:$A,$A119,'Sales Log'!$C:$C,$B119)</f>
      </c>
      <c r="F119" s="8"/>
      <c r="G119" s="8"/>
      <c r="H119" s="11">
        <f>C119+D119-E119-F119</f>
      </c>
      <c r="I119" s="11">
        <f>H119-G119</f>
      </c>
    </row>
    <row r="120" ht="21" customHeight="1" spans="1:9" x14ac:dyDescent="0.25">
      <c r="A120" s="8"/>
      <c r="B120" s="8"/>
      <c r="C120" s="11">
        <f>IFERROR(LOOKUP(2,1/(($B$3:$B119=B120)*($A$3:$A119&lt;A120)),$G$3:$G119),IFERROR(VLOOKUP(B120,'Inventory Master'!$A$3:$L$300,6,FALSE),0))</f>
      </c>
      <c r="D120" s="11">
        <f>SUMIFS(Purchases!$D:$D,Purchases!$A:$A,$A120,Purchases!$C:$C,$B120)</f>
      </c>
      <c r="E120" s="11">
        <f>SUMIFS('Sales Log'!$D:$D,'Sales Log'!$A:$A,$A120,'Sales Log'!$C:$C,$B120)</f>
      </c>
      <c r="F120" s="8"/>
      <c r="G120" s="8"/>
      <c r="H120" s="11">
        <f>C120+D120-E120-F120</f>
      </c>
      <c r="I120" s="11">
        <f>H120-G120</f>
      </c>
    </row>
    <row r="121" ht="21" customHeight="1" spans="1:9" x14ac:dyDescent="0.25">
      <c r="A121" s="8"/>
      <c r="B121" s="8"/>
      <c r="C121" s="11">
        <f>IFERROR(LOOKUP(2,1/(($B$3:$B120=B121)*($A$3:$A120&lt;A121)),$G$3:$G120),IFERROR(VLOOKUP(B121,'Inventory Master'!$A$3:$L$300,6,FALSE),0))</f>
      </c>
      <c r="D121" s="11">
        <f>SUMIFS(Purchases!$D:$D,Purchases!$A:$A,$A121,Purchases!$C:$C,$B121)</f>
      </c>
      <c r="E121" s="11">
        <f>SUMIFS('Sales Log'!$D:$D,'Sales Log'!$A:$A,$A121,'Sales Log'!$C:$C,$B121)</f>
      </c>
      <c r="F121" s="8"/>
      <c r="G121" s="8"/>
      <c r="H121" s="11">
        <f>C121+D121-E121-F121</f>
      </c>
      <c r="I121" s="11">
        <f>H121-G121</f>
      </c>
    </row>
    <row r="122" ht="21" customHeight="1" spans="1:9" x14ac:dyDescent="0.25">
      <c r="A122" s="8"/>
      <c r="B122" s="8"/>
      <c r="C122" s="11">
        <f>IFERROR(LOOKUP(2,1/(($B$3:$B121=B122)*($A$3:$A121&lt;A122)),$G$3:$G121),IFERROR(VLOOKUP(B122,'Inventory Master'!$A$3:$L$300,6,FALSE),0))</f>
      </c>
      <c r="D122" s="11">
        <f>SUMIFS(Purchases!$D:$D,Purchases!$A:$A,$A122,Purchases!$C:$C,$B122)</f>
      </c>
      <c r="E122" s="11">
        <f>SUMIFS('Sales Log'!$D:$D,'Sales Log'!$A:$A,$A122,'Sales Log'!$C:$C,$B122)</f>
      </c>
      <c r="F122" s="8"/>
      <c r="G122" s="8"/>
      <c r="H122" s="11">
        <f>C122+D122-E122-F122</f>
      </c>
      <c r="I122" s="11">
        <f>H122-G122</f>
      </c>
    </row>
    <row r="123" ht="21" customHeight="1" spans="1:9" x14ac:dyDescent="0.25">
      <c r="A123" s="8"/>
      <c r="B123" s="8"/>
      <c r="C123" s="11">
        <f>IFERROR(LOOKUP(2,1/(($B$3:$B122=B123)*($A$3:$A122&lt;A123)),$G$3:$G122),IFERROR(VLOOKUP(B123,'Inventory Master'!$A$3:$L$300,6,FALSE),0))</f>
      </c>
      <c r="D123" s="11">
        <f>SUMIFS(Purchases!$D:$D,Purchases!$A:$A,$A123,Purchases!$C:$C,$B123)</f>
      </c>
      <c r="E123" s="11">
        <f>SUMIFS('Sales Log'!$D:$D,'Sales Log'!$A:$A,$A123,'Sales Log'!$C:$C,$B123)</f>
      </c>
      <c r="F123" s="8"/>
      <c r="G123" s="8"/>
      <c r="H123" s="11">
        <f>C123+D123-E123-F123</f>
      </c>
      <c r="I123" s="11">
        <f>H123-G123</f>
      </c>
    </row>
    <row r="124" ht="21" customHeight="1" spans="1:9" x14ac:dyDescent="0.25">
      <c r="A124" s="8"/>
      <c r="B124" s="8"/>
      <c r="C124" s="11">
        <f>IFERROR(LOOKUP(2,1/(($B$3:$B123=B124)*($A$3:$A123&lt;A124)),$G$3:$G123),IFERROR(VLOOKUP(B124,'Inventory Master'!$A$3:$L$300,6,FALSE),0))</f>
      </c>
      <c r="D124" s="11">
        <f>SUMIFS(Purchases!$D:$D,Purchases!$A:$A,$A124,Purchases!$C:$C,$B124)</f>
      </c>
      <c r="E124" s="11">
        <f>SUMIFS('Sales Log'!$D:$D,'Sales Log'!$A:$A,$A124,'Sales Log'!$C:$C,$B124)</f>
      </c>
      <c r="F124" s="8"/>
      <c r="G124" s="8"/>
      <c r="H124" s="11">
        <f>C124+D124-E124-F124</f>
      </c>
      <c r="I124" s="11">
        <f>H124-G124</f>
      </c>
    </row>
    <row r="125" ht="21" customHeight="1" spans="1:9" x14ac:dyDescent="0.25">
      <c r="A125" s="8"/>
      <c r="B125" s="8"/>
      <c r="C125" s="11">
        <f>IFERROR(LOOKUP(2,1/(($B$3:$B124=B125)*($A$3:$A124&lt;A125)),$G$3:$G124),IFERROR(VLOOKUP(B125,'Inventory Master'!$A$3:$L$300,6,FALSE),0))</f>
      </c>
      <c r="D125" s="11">
        <f>SUMIFS(Purchases!$D:$D,Purchases!$A:$A,$A125,Purchases!$C:$C,$B125)</f>
      </c>
      <c r="E125" s="11">
        <f>SUMIFS('Sales Log'!$D:$D,'Sales Log'!$A:$A,$A125,'Sales Log'!$C:$C,$B125)</f>
      </c>
      <c r="F125" s="8"/>
      <c r="G125" s="8"/>
      <c r="H125" s="11">
        <f>C125+D125-E125-F125</f>
      </c>
      <c r="I125" s="11">
        <f>H125-G125</f>
      </c>
    </row>
    <row r="126" ht="21" customHeight="1" spans="1:9" x14ac:dyDescent="0.25">
      <c r="A126" s="8"/>
      <c r="B126" s="8"/>
      <c r="C126" s="11">
        <f>IFERROR(LOOKUP(2,1/(($B$3:$B125=B126)*($A$3:$A125&lt;A126)),$G$3:$G125),IFERROR(VLOOKUP(B126,'Inventory Master'!$A$3:$L$300,6,FALSE),0))</f>
      </c>
      <c r="D126" s="11">
        <f>SUMIFS(Purchases!$D:$D,Purchases!$A:$A,$A126,Purchases!$C:$C,$B126)</f>
      </c>
      <c r="E126" s="11">
        <f>SUMIFS('Sales Log'!$D:$D,'Sales Log'!$A:$A,$A126,'Sales Log'!$C:$C,$B126)</f>
      </c>
      <c r="F126" s="8"/>
      <c r="G126" s="8"/>
      <c r="H126" s="11">
        <f>C126+D126-E126-F126</f>
      </c>
      <c r="I126" s="11">
        <f>H126-G126</f>
      </c>
    </row>
    <row r="127" ht="21" customHeight="1" spans="1:9" x14ac:dyDescent="0.25">
      <c r="A127" s="8"/>
      <c r="B127" s="8"/>
      <c r="C127" s="11">
        <f>IFERROR(LOOKUP(2,1/(($B$3:$B126=B127)*($A$3:$A126&lt;A127)),$G$3:$G126),IFERROR(VLOOKUP(B127,'Inventory Master'!$A$3:$L$300,6,FALSE),0))</f>
      </c>
      <c r="D127" s="11">
        <f>SUMIFS(Purchases!$D:$D,Purchases!$A:$A,$A127,Purchases!$C:$C,$B127)</f>
      </c>
      <c r="E127" s="11">
        <f>SUMIFS('Sales Log'!$D:$D,'Sales Log'!$A:$A,$A127,'Sales Log'!$C:$C,$B127)</f>
      </c>
      <c r="F127" s="8"/>
      <c r="G127" s="8"/>
      <c r="H127" s="11">
        <f>C127+D127-E127-F127</f>
      </c>
      <c r="I127" s="11">
        <f>H127-G127</f>
      </c>
    </row>
    <row r="128" ht="21" customHeight="1" spans="1:9" x14ac:dyDescent="0.25">
      <c r="A128" s="8"/>
      <c r="B128" s="8"/>
      <c r="C128" s="11">
        <f>IFERROR(LOOKUP(2,1/(($B$3:$B127=B128)*($A$3:$A127&lt;A128)),$G$3:$G127),IFERROR(VLOOKUP(B128,'Inventory Master'!$A$3:$L$300,6,FALSE),0))</f>
      </c>
      <c r="D128" s="11">
        <f>SUMIFS(Purchases!$D:$D,Purchases!$A:$A,$A128,Purchases!$C:$C,$B128)</f>
      </c>
      <c r="E128" s="11">
        <f>SUMIFS('Sales Log'!$D:$D,'Sales Log'!$A:$A,$A128,'Sales Log'!$C:$C,$B128)</f>
      </c>
      <c r="F128" s="8"/>
      <c r="G128" s="8"/>
      <c r="H128" s="11">
        <f>C128+D128-E128-F128</f>
      </c>
      <c r="I128" s="11">
        <f>H128-G128</f>
      </c>
    </row>
    <row r="129" ht="21" customHeight="1" spans="1:9" x14ac:dyDescent="0.25">
      <c r="A129" s="8"/>
      <c r="B129" s="8"/>
      <c r="C129" s="11">
        <f>IFERROR(LOOKUP(2,1/(($B$3:$B128=B129)*($A$3:$A128&lt;A129)),$G$3:$G128),IFERROR(VLOOKUP(B129,'Inventory Master'!$A$3:$L$300,6,FALSE),0))</f>
      </c>
      <c r="D129" s="11">
        <f>SUMIFS(Purchases!$D:$D,Purchases!$A:$A,$A129,Purchases!$C:$C,$B129)</f>
      </c>
      <c r="E129" s="11">
        <f>SUMIFS('Sales Log'!$D:$D,'Sales Log'!$A:$A,$A129,'Sales Log'!$C:$C,$B129)</f>
      </c>
      <c r="F129" s="8"/>
      <c r="G129" s="8"/>
      <c r="H129" s="11">
        <f>C129+D129-E129-F129</f>
      </c>
      <c r="I129" s="11">
        <f>H129-G129</f>
      </c>
    </row>
    <row r="130" ht="21" customHeight="1" spans="1:9" x14ac:dyDescent="0.25">
      <c r="A130" s="8"/>
      <c r="B130" s="8"/>
      <c r="C130" s="11">
        <f>IFERROR(LOOKUP(2,1/(($B$3:$B129=B130)*($A$3:$A129&lt;A130)),$G$3:$G129),IFERROR(VLOOKUP(B130,'Inventory Master'!$A$3:$L$300,6,FALSE),0))</f>
      </c>
      <c r="D130" s="11">
        <f>SUMIFS(Purchases!$D:$D,Purchases!$A:$A,$A130,Purchases!$C:$C,$B130)</f>
      </c>
      <c r="E130" s="11">
        <f>SUMIFS('Sales Log'!$D:$D,'Sales Log'!$A:$A,$A130,'Sales Log'!$C:$C,$B130)</f>
      </c>
      <c r="F130" s="8"/>
      <c r="G130" s="8"/>
      <c r="H130" s="11">
        <f>C130+D130-E130-F130</f>
      </c>
      <c r="I130" s="11">
        <f>H130-G130</f>
      </c>
    </row>
    <row r="131" ht="21" customHeight="1" spans="1:9" x14ac:dyDescent="0.25">
      <c r="A131" s="8"/>
      <c r="B131" s="8"/>
      <c r="C131" s="11">
        <f>IFERROR(LOOKUP(2,1/(($B$3:$B130=B131)*($A$3:$A130&lt;A131)),$G$3:$G130),IFERROR(VLOOKUP(B131,'Inventory Master'!$A$3:$L$300,6,FALSE),0))</f>
      </c>
      <c r="D131" s="11">
        <f>SUMIFS(Purchases!$D:$D,Purchases!$A:$A,$A131,Purchases!$C:$C,$B131)</f>
      </c>
      <c r="E131" s="11">
        <f>SUMIFS('Sales Log'!$D:$D,'Sales Log'!$A:$A,$A131,'Sales Log'!$C:$C,$B131)</f>
      </c>
      <c r="F131" s="8"/>
      <c r="G131" s="8"/>
      <c r="H131" s="11">
        <f>C131+D131-E131-F131</f>
      </c>
      <c r="I131" s="11">
        <f>H131-G131</f>
      </c>
    </row>
    <row r="132" ht="21" customHeight="1" spans="1:9" x14ac:dyDescent="0.25">
      <c r="A132" s="8"/>
      <c r="B132" s="8"/>
      <c r="C132" s="11">
        <f>IFERROR(LOOKUP(2,1/(($B$3:$B131=B132)*($A$3:$A131&lt;A132)),$G$3:$G131),IFERROR(VLOOKUP(B132,'Inventory Master'!$A$3:$L$300,6,FALSE),0))</f>
      </c>
      <c r="D132" s="11">
        <f>SUMIFS(Purchases!$D:$D,Purchases!$A:$A,$A132,Purchases!$C:$C,$B132)</f>
      </c>
      <c r="E132" s="11">
        <f>SUMIFS('Sales Log'!$D:$D,'Sales Log'!$A:$A,$A132,'Sales Log'!$C:$C,$B132)</f>
      </c>
      <c r="F132" s="8"/>
      <c r="G132" s="8"/>
      <c r="H132" s="11">
        <f>C132+D132-E132-F132</f>
      </c>
      <c r="I132" s="11">
        <f>H132-G132</f>
      </c>
    </row>
    <row r="133" ht="21" customHeight="1" spans="1:9" x14ac:dyDescent="0.25">
      <c r="A133" s="8"/>
      <c r="B133" s="8"/>
      <c r="C133" s="11">
        <f>IFERROR(LOOKUP(2,1/(($B$3:$B132=B133)*($A$3:$A132&lt;A133)),$G$3:$G132),IFERROR(VLOOKUP(B133,'Inventory Master'!$A$3:$L$300,6,FALSE),0))</f>
      </c>
      <c r="D133" s="11">
        <f>SUMIFS(Purchases!$D:$D,Purchases!$A:$A,$A133,Purchases!$C:$C,$B133)</f>
      </c>
      <c r="E133" s="11">
        <f>SUMIFS('Sales Log'!$D:$D,'Sales Log'!$A:$A,$A133,'Sales Log'!$C:$C,$B133)</f>
      </c>
      <c r="F133" s="8"/>
      <c r="G133" s="8"/>
      <c r="H133" s="11">
        <f>C133+D133-E133-F133</f>
      </c>
      <c r="I133" s="11">
        <f>H133-G133</f>
      </c>
    </row>
    <row r="134" ht="21" customHeight="1" spans="1:9" x14ac:dyDescent="0.25">
      <c r="A134" s="8"/>
      <c r="B134" s="8"/>
      <c r="C134" s="11">
        <f>IFERROR(LOOKUP(2,1/(($B$3:$B133=B134)*($A$3:$A133&lt;A134)),$G$3:$G133),IFERROR(VLOOKUP(B134,'Inventory Master'!$A$3:$L$300,6,FALSE),0))</f>
      </c>
      <c r="D134" s="11">
        <f>SUMIFS(Purchases!$D:$D,Purchases!$A:$A,$A134,Purchases!$C:$C,$B134)</f>
      </c>
      <c r="E134" s="11">
        <f>SUMIFS('Sales Log'!$D:$D,'Sales Log'!$A:$A,$A134,'Sales Log'!$C:$C,$B134)</f>
      </c>
      <c r="F134" s="8"/>
      <c r="G134" s="8"/>
      <c r="H134" s="11">
        <f>C134+D134-E134-F134</f>
      </c>
      <c r="I134" s="11">
        <f>H134-G134</f>
      </c>
    </row>
    <row r="135" ht="21" customHeight="1" spans="1:9" x14ac:dyDescent="0.25">
      <c r="A135" s="8"/>
      <c r="B135" s="8"/>
      <c r="C135" s="11">
        <f>IFERROR(LOOKUP(2,1/(($B$3:$B134=B135)*($A$3:$A134&lt;A135)),$G$3:$G134),IFERROR(VLOOKUP(B135,'Inventory Master'!$A$3:$L$300,6,FALSE),0))</f>
      </c>
      <c r="D135" s="11">
        <f>SUMIFS(Purchases!$D:$D,Purchases!$A:$A,$A135,Purchases!$C:$C,$B135)</f>
      </c>
      <c r="E135" s="11">
        <f>SUMIFS('Sales Log'!$D:$D,'Sales Log'!$A:$A,$A135,'Sales Log'!$C:$C,$B135)</f>
      </c>
      <c r="F135" s="8"/>
      <c r="G135" s="8"/>
      <c r="H135" s="11">
        <f>C135+D135-E135-F135</f>
      </c>
      <c r="I135" s="11">
        <f>H135-G135</f>
      </c>
    </row>
    <row r="136" ht="21" customHeight="1" spans="1:9" x14ac:dyDescent="0.25">
      <c r="A136" s="8"/>
      <c r="B136" s="8"/>
      <c r="C136" s="11">
        <f>IFERROR(LOOKUP(2,1/(($B$3:$B135=B136)*($A$3:$A135&lt;A136)),$G$3:$G135),IFERROR(VLOOKUP(B136,'Inventory Master'!$A$3:$L$300,6,FALSE),0))</f>
      </c>
      <c r="D136" s="11">
        <f>SUMIFS(Purchases!$D:$D,Purchases!$A:$A,$A136,Purchases!$C:$C,$B136)</f>
      </c>
      <c r="E136" s="11">
        <f>SUMIFS('Sales Log'!$D:$D,'Sales Log'!$A:$A,$A136,'Sales Log'!$C:$C,$B136)</f>
      </c>
      <c r="F136" s="8"/>
      <c r="G136" s="8"/>
      <c r="H136" s="11">
        <f>C136+D136-E136-F136</f>
      </c>
      <c r="I136" s="11">
        <f>H136-G136</f>
      </c>
    </row>
    <row r="137" ht="21" customHeight="1" spans="1:9" x14ac:dyDescent="0.25">
      <c r="A137" s="8"/>
      <c r="B137" s="8"/>
      <c r="C137" s="11">
        <f>IFERROR(LOOKUP(2,1/(($B$3:$B136=B137)*($A$3:$A136&lt;A137)),$G$3:$G136),IFERROR(VLOOKUP(B137,'Inventory Master'!$A$3:$L$300,6,FALSE),0))</f>
      </c>
      <c r="D137" s="11">
        <f>SUMIFS(Purchases!$D:$D,Purchases!$A:$A,$A137,Purchases!$C:$C,$B137)</f>
      </c>
      <c r="E137" s="11">
        <f>SUMIFS('Sales Log'!$D:$D,'Sales Log'!$A:$A,$A137,'Sales Log'!$C:$C,$B137)</f>
      </c>
      <c r="F137" s="8"/>
      <c r="G137" s="8"/>
      <c r="H137" s="11">
        <f>C137+D137-E137-F137</f>
      </c>
      <c r="I137" s="11">
        <f>H137-G137</f>
      </c>
    </row>
    <row r="138" ht="21" customHeight="1" spans="1:9" x14ac:dyDescent="0.25">
      <c r="A138" s="8"/>
      <c r="B138" s="8"/>
      <c r="C138" s="11">
        <f>IFERROR(LOOKUP(2,1/(($B$3:$B137=B138)*($A$3:$A137&lt;A138)),$G$3:$G137),IFERROR(VLOOKUP(B138,'Inventory Master'!$A$3:$L$300,6,FALSE),0))</f>
      </c>
      <c r="D138" s="11">
        <f>SUMIFS(Purchases!$D:$D,Purchases!$A:$A,$A138,Purchases!$C:$C,$B138)</f>
      </c>
      <c r="E138" s="11">
        <f>SUMIFS('Sales Log'!$D:$D,'Sales Log'!$A:$A,$A138,'Sales Log'!$C:$C,$B138)</f>
      </c>
      <c r="F138" s="8"/>
      <c r="G138" s="8"/>
      <c r="H138" s="11">
        <f>C138+D138-E138-F138</f>
      </c>
      <c r="I138" s="11">
        <f>H138-G138</f>
      </c>
    </row>
    <row r="139" ht="21" customHeight="1" spans="1:9" x14ac:dyDescent="0.25">
      <c r="A139" s="8"/>
      <c r="B139" s="8"/>
      <c r="C139" s="11">
        <f>IFERROR(LOOKUP(2,1/(($B$3:$B138=B139)*($A$3:$A138&lt;A139)),$G$3:$G138),IFERROR(VLOOKUP(B139,'Inventory Master'!$A$3:$L$300,6,FALSE),0))</f>
      </c>
      <c r="D139" s="11">
        <f>SUMIFS(Purchases!$D:$D,Purchases!$A:$A,$A139,Purchases!$C:$C,$B139)</f>
      </c>
      <c r="E139" s="11">
        <f>SUMIFS('Sales Log'!$D:$D,'Sales Log'!$A:$A,$A139,'Sales Log'!$C:$C,$B139)</f>
      </c>
      <c r="F139" s="8"/>
      <c r="G139" s="8"/>
      <c r="H139" s="11">
        <f>C139+D139-E139-F139</f>
      </c>
      <c r="I139" s="11">
        <f>H139-G139</f>
      </c>
    </row>
    <row r="140" ht="21" customHeight="1" spans="1:9" x14ac:dyDescent="0.25">
      <c r="A140" s="8"/>
      <c r="B140" s="8"/>
      <c r="C140" s="11">
        <f>IFERROR(LOOKUP(2,1/(($B$3:$B139=B140)*($A$3:$A139&lt;A140)),$G$3:$G139),IFERROR(VLOOKUP(B140,'Inventory Master'!$A$3:$L$300,6,FALSE),0))</f>
      </c>
      <c r="D140" s="11">
        <f>SUMIFS(Purchases!$D:$D,Purchases!$A:$A,$A140,Purchases!$C:$C,$B140)</f>
      </c>
      <c r="E140" s="11">
        <f>SUMIFS('Sales Log'!$D:$D,'Sales Log'!$A:$A,$A140,'Sales Log'!$C:$C,$B140)</f>
      </c>
      <c r="F140" s="8"/>
      <c r="G140" s="8"/>
      <c r="H140" s="11">
        <f>C140+D140-E140-F140</f>
      </c>
      <c r="I140" s="11">
        <f>H140-G140</f>
      </c>
    </row>
    <row r="141" ht="21" customHeight="1" spans="1:9" x14ac:dyDescent="0.25">
      <c r="A141" s="8"/>
      <c r="B141" s="8"/>
      <c r="C141" s="11">
        <f>IFERROR(LOOKUP(2,1/(($B$3:$B140=B141)*($A$3:$A140&lt;A141)),$G$3:$G140),IFERROR(VLOOKUP(B141,'Inventory Master'!$A$3:$L$300,6,FALSE),0))</f>
      </c>
      <c r="D141" s="11">
        <f>SUMIFS(Purchases!$D:$D,Purchases!$A:$A,$A141,Purchases!$C:$C,$B141)</f>
      </c>
      <c r="E141" s="11">
        <f>SUMIFS('Sales Log'!$D:$D,'Sales Log'!$A:$A,$A141,'Sales Log'!$C:$C,$B141)</f>
      </c>
      <c r="F141" s="8"/>
      <c r="G141" s="8"/>
      <c r="H141" s="11">
        <f>C141+D141-E141-F141</f>
      </c>
      <c r="I141" s="11">
        <f>H141-G141</f>
      </c>
    </row>
    <row r="142" ht="21" customHeight="1" spans="1:9" x14ac:dyDescent="0.25">
      <c r="A142" s="8"/>
      <c r="B142" s="8"/>
      <c r="C142" s="11">
        <f>IFERROR(LOOKUP(2,1/(($B$3:$B141=B142)*($A$3:$A141&lt;A142)),$G$3:$G141),IFERROR(VLOOKUP(B142,'Inventory Master'!$A$3:$L$300,6,FALSE),0))</f>
      </c>
      <c r="D142" s="11">
        <f>SUMIFS(Purchases!$D:$D,Purchases!$A:$A,$A142,Purchases!$C:$C,$B142)</f>
      </c>
      <c r="E142" s="11">
        <f>SUMIFS('Sales Log'!$D:$D,'Sales Log'!$A:$A,$A142,'Sales Log'!$C:$C,$B142)</f>
      </c>
      <c r="F142" s="8"/>
      <c r="G142" s="8"/>
      <c r="H142" s="11">
        <f>C142+D142-E142-F142</f>
      </c>
      <c r="I142" s="11">
        <f>H142-G142</f>
      </c>
    </row>
    <row r="143" ht="21" customHeight="1" spans="1:9" x14ac:dyDescent="0.25">
      <c r="A143" s="8"/>
      <c r="B143" s="8"/>
      <c r="C143" s="11">
        <f>IFERROR(LOOKUP(2,1/(($B$3:$B142=B143)*($A$3:$A142&lt;A143)),$G$3:$G142),IFERROR(VLOOKUP(B143,'Inventory Master'!$A$3:$L$300,6,FALSE),0))</f>
      </c>
      <c r="D143" s="11">
        <f>SUMIFS(Purchases!$D:$D,Purchases!$A:$A,$A143,Purchases!$C:$C,$B143)</f>
      </c>
      <c r="E143" s="11">
        <f>SUMIFS('Sales Log'!$D:$D,'Sales Log'!$A:$A,$A143,'Sales Log'!$C:$C,$B143)</f>
      </c>
      <c r="F143" s="8"/>
      <c r="G143" s="8"/>
      <c r="H143" s="11">
        <f>C143+D143-E143-F143</f>
      </c>
      <c r="I143" s="11">
        <f>H143-G143</f>
      </c>
    </row>
    <row r="144" ht="21" customHeight="1" spans="1:9" x14ac:dyDescent="0.25">
      <c r="A144" s="8"/>
      <c r="B144" s="8"/>
      <c r="C144" s="11">
        <f>IFERROR(LOOKUP(2,1/(($B$3:$B143=B144)*($A$3:$A143&lt;A144)),$G$3:$G143),IFERROR(VLOOKUP(B144,'Inventory Master'!$A$3:$L$300,6,FALSE),0))</f>
      </c>
      <c r="D144" s="11">
        <f>SUMIFS(Purchases!$D:$D,Purchases!$A:$A,$A144,Purchases!$C:$C,$B144)</f>
      </c>
      <c r="E144" s="11">
        <f>SUMIFS('Sales Log'!$D:$D,'Sales Log'!$A:$A,$A144,'Sales Log'!$C:$C,$B144)</f>
      </c>
      <c r="F144" s="8"/>
      <c r="G144" s="8"/>
      <c r="H144" s="11">
        <f>C144+D144-E144-F144</f>
      </c>
      <c r="I144" s="11">
        <f>H144-G144</f>
      </c>
    </row>
    <row r="145" ht="21" customHeight="1" spans="1:9" x14ac:dyDescent="0.25">
      <c r="A145" s="8"/>
      <c r="B145" s="8"/>
      <c r="C145" s="11">
        <f>IFERROR(LOOKUP(2,1/(($B$3:$B144=B145)*($A$3:$A144&lt;A145)),$G$3:$G144),IFERROR(VLOOKUP(B145,'Inventory Master'!$A$3:$L$300,6,FALSE),0))</f>
      </c>
      <c r="D145" s="11">
        <f>SUMIFS(Purchases!$D:$D,Purchases!$A:$A,$A145,Purchases!$C:$C,$B145)</f>
      </c>
      <c r="E145" s="11">
        <f>SUMIFS('Sales Log'!$D:$D,'Sales Log'!$A:$A,$A145,'Sales Log'!$C:$C,$B145)</f>
      </c>
      <c r="F145" s="8"/>
      <c r="G145" s="8"/>
      <c r="H145" s="11">
        <f>C145+D145-E145-F145</f>
      </c>
      <c r="I145" s="11">
        <f>H145-G145</f>
      </c>
    </row>
    <row r="146" ht="21" customHeight="1" spans="1:9" x14ac:dyDescent="0.25">
      <c r="A146" s="8"/>
      <c r="B146" s="8"/>
      <c r="C146" s="11">
        <f>IFERROR(LOOKUP(2,1/(($B$3:$B145=B146)*($A$3:$A145&lt;A146)),$G$3:$G145),IFERROR(VLOOKUP(B146,'Inventory Master'!$A$3:$L$300,6,FALSE),0))</f>
      </c>
      <c r="D146" s="11">
        <f>SUMIFS(Purchases!$D:$D,Purchases!$A:$A,$A146,Purchases!$C:$C,$B146)</f>
      </c>
      <c r="E146" s="11">
        <f>SUMIFS('Sales Log'!$D:$D,'Sales Log'!$A:$A,$A146,'Sales Log'!$C:$C,$B146)</f>
      </c>
      <c r="F146" s="8"/>
      <c r="G146" s="8"/>
      <c r="H146" s="11">
        <f>C146+D146-E146-F146</f>
      </c>
      <c r="I146" s="11">
        <f>H146-G146</f>
      </c>
    </row>
    <row r="147" ht="21" customHeight="1" spans="1:9" x14ac:dyDescent="0.25">
      <c r="A147" s="8"/>
      <c r="B147" s="8"/>
      <c r="C147" s="11">
        <f>IFERROR(LOOKUP(2,1/(($B$3:$B146=B147)*($A$3:$A146&lt;A147)),$G$3:$G146),IFERROR(VLOOKUP(B147,'Inventory Master'!$A$3:$L$300,6,FALSE),0))</f>
      </c>
      <c r="D147" s="11">
        <f>SUMIFS(Purchases!$D:$D,Purchases!$A:$A,$A147,Purchases!$C:$C,$B147)</f>
      </c>
      <c r="E147" s="11">
        <f>SUMIFS('Sales Log'!$D:$D,'Sales Log'!$A:$A,$A147,'Sales Log'!$C:$C,$B147)</f>
      </c>
      <c r="F147" s="8"/>
      <c r="G147" s="8"/>
      <c r="H147" s="11">
        <f>C147+D147-E147-F147</f>
      </c>
      <c r="I147" s="11">
        <f>H147-G147</f>
      </c>
    </row>
    <row r="148" ht="21" customHeight="1" spans="1:9" x14ac:dyDescent="0.25">
      <c r="A148" s="8"/>
      <c r="B148" s="8"/>
      <c r="C148" s="11">
        <f>IFERROR(LOOKUP(2,1/(($B$3:$B147=B148)*($A$3:$A147&lt;A148)),$G$3:$G147),IFERROR(VLOOKUP(B148,'Inventory Master'!$A$3:$L$300,6,FALSE),0))</f>
      </c>
      <c r="D148" s="11">
        <f>SUMIFS(Purchases!$D:$D,Purchases!$A:$A,$A148,Purchases!$C:$C,$B148)</f>
      </c>
      <c r="E148" s="11">
        <f>SUMIFS('Sales Log'!$D:$D,'Sales Log'!$A:$A,$A148,'Sales Log'!$C:$C,$B148)</f>
      </c>
      <c r="F148" s="8"/>
      <c r="G148" s="8"/>
      <c r="H148" s="11">
        <f>C148+D148-E148-F148</f>
      </c>
      <c r="I148" s="11">
        <f>H148-G148</f>
      </c>
    </row>
    <row r="149" ht="21" customHeight="1" spans="1:9" x14ac:dyDescent="0.25">
      <c r="A149" s="8"/>
      <c r="B149" s="8"/>
      <c r="C149" s="11">
        <f>IFERROR(LOOKUP(2,1/(($B$3:$B148=B149)*($A$3:$A148&lt;A149)),$G$3:$G148),IFERROR(VLOOKUP(B149,'Inventory Master'!$A$3:$L$300,6,FALSE),0))</f>
      </c>
      <c r="D149" s="11">
        <f>SUMIFS(Purchases!$D:$D,Purchases!$A:$A,$A149,Purchases!$C:$C,$B149)</f>
      </c>
      <c r="E149" s="11">
        <f>SUMIFS('Sales Log'!$D:$D,'Sales Log'!$A:$A,$A149,'Sales Log'!$C:$C,$B149)</f>
      </c>
      <c r="F149" s="8"/>
      <c r="G149" s="8"/>
      <c r="H149" s="11">
        <f>C149+D149-E149-F149</f>
      </c>
      <c r="I149" s="11">
        <f>H149-G149</f>
      </c>
    </row>
    <row r="150" ht="21" customHeight="1" spans="1:9" x14ac:dyDescent="0.25">
      <c r="A150" s="8"/>
      <c r="B150" s="8"/>
      <c r="C150" s="11">
        <f>IFERROR(LOOKUP(2,1/(($B$3:$B149=B150)*($A$3:$A149&lt;A150)),$G$3:$G149),IFERROR(VLOOKUP(B150,'Inventory Master'!$A$3:$L$300,6,FALSE),0))</f>
      </c>
      <c r="D150" s="11">
        <f>SUMIFS(Purchases!$D:$D,Purchases!$A:$A,$A150,Purchases!$C:$C,$B150)</f>
      </c>
      <c r="E150" s="11">
        <f>SUMIFS('Sales Log'!$D:$D,'Sales Log'!$A:$A,$A150,'Sales Log'!$C:$C,$B150)</f>
      </c>
      <c r="F150" s="8"/>
      <c r="G150" s="8"/>
      <c r="H150" s="11">
        <f>C150+D150-E150-F150</f>
      </c>
      <c r="I150" s="11">
        <f>H150-G150</f>
      </c>
    </row>
    <row r="151" ht="21" customHeight="1" spans="1:9" x14ac:dyDescent="0.25">
      <c r="A151" s="8"/>
      <c r="B151" s="8"/>
      <c r="C151" s="11">
        <f>IFERROR(LOOKUP(2,1/(($B$3:$B150=B151)*($A$3:$A150&lt;A151)),$G$3:$G150),IFERROR(VLOOKUP(B151,'Inventory Master'!$A$3:$L$300,6,FALSE),0))</f>
      </c>
      <c r="D151" s="11">
        <f>SUMIFS(Purchases!$D:$D,Purchases!$A:$A,$A151,Purchases!$C:$C,$B151)</f>
      </c>
      <c r="E151" s="11">
        <f>SUMIFS('Sales Log'!$D:$D,'Sales Log'!$A:$A,$A151,'Sales Log'!$C:$C,$B151)</f>
      </c>
      <c r="F151" s="8"/>
      <c r="G151" s="8"/>
      <c r="H151" s="11">
        <f>C151+D151-E151-F151</f>
      </c>
      <c r="I151" s="11">
        <f>H151-G151</f>
      </c>
    </row>
    <row r="152" ht="21" customHeight="1" spans="1:9" x14ac:dyDescent="0.25">
      <c r="A152" s="8"/>
      <c r="B152" s="8"/>
      <c r="C152" s="11">
        <f>IFERROR(LOOKUP(2,1/(($B$3:$B151=B152)*($A$3:$A151&lt;A152)),$G$3:$G151),IFERROR(VLOOKUP(B152,'Inventory Master'!$A$3:$L$300,6,FALSE),0))</f>
      </c>
      <c r="D152" s="11">
        <f>SUMIFS(Purchases!$D:$D,Purchases!$A:$A,$A152,Purchases!$C:$C,$B152)</f>
      </c>
      <c r="E152" s="11">
        <f>SUMIFS('Sales Log'!$D:$D,'Sales Log'!$A:$A,$A152,'Sales Log'!$C:$C,$B152)</f>
      </c>
      <c r="F152" s="8"/>
      <c r="G152" s="8"/>
      <c r="H152" s="11">
        <f>C152+D152-E152-F152</f>
      </c>
      <c r="I152" s="11">
        <f>H152-G152</f>
      </c>
    </row>
    <row r="153" ht="21" customHeight="1" spans="1:9" x14ac:dyDescent="0.25">
      <c r="A153" s="8"/>
      <c r="B153" s="8"/>
      <c r="C153" s="11">
        <f>IFERROR(LOOKUP(2,1/(($B$3:$B152=B153)*($A$3:$A152&lt;A153)),$G$3:$G152),IFERROR(VLOOKUP(B153,'Inventory Master'!$A$3:$L$300,6,FALSE),0))</f>
      </c>
      <c r="D153" s="11">
        <f>SUMIFS(Purchases!$D:$D,Purchases!$A:$A,$A153,Purchases!$C:$C,$B153)</f>
      </c>
      <c r="E153" s="11">
        <f>SUMIFS('Sales Log'!$D:$D,'Sales Log'!$A:$A,$A153,'Sales Log'!$C:$C,$B153)</f>
      </c>
      <c r="F153" s="8"/>
      <c r="G153" s="8"/>
      <c r="H153" s="11">
        <f>C153+D153-E153-F153</f>
      </c>
      <c r="I153" s="11">
        <f>H153-G153</f>
      </c>
    </row>
    <row r="154" ht="21" customHeight="1" spans="1:9" x14ac:dyDescent="0.25">
      <c r="A154" s="8"/>
      <c r="B154" s="8"/>
      <c r="C154" s="11">
        <f>IFERROR(LOOKUP(2,1/(($B$3:$B153=B154)*($A$3:$A153&lt;A154)),$G$3:$G153),IFERROR(VLOOKUP(B154,'Inventory Master'!$A$3:$L$300,6,FALSE),0))</f>
      </c>
      <c r="D154" s="11">
        <f>SUMIFS(Purchases!$D:$D,Purchases!$A:$A,$A154,Purchases!$C:$C,$B154)</f>
      </c>
      <c r="E154" s="11">
        <f>SUMIFS('Sales Log'!$D:$D,'Sales Log'!$A:$A,$A154,'Sales Log'!$C:$C,$B154)</f>
      </c>
      <c r="F154" s="8"/>
      <c r="G154" s="8"/>
      <c r="H154" s="11">
        <f>C154+D154-E154-F154</f>
      </c>
      <c r="I154" s="11">
        <f>H154-G154</f>
      </c>
    </row>
    <row r="155" ht="21" customHeight="1" spans="1:9" x14ac:dyDescent="0.25">
      <c r="A155" s="8"/>
      <c r="B155" s="8"/>
      <c r="C155" s="11">
        <f>IFERROR(LOOKUP(2,1/(($B$3:$B154=B155)*($A$3:$A154&lt;A155)),$G$3:$G154),IFERROR(VLOOKUP(B155,'Inventory Master'!$A$3:$L$300,6,FALSE),0))</f>
      </c>
      <c r="D155" s="11">
        <f>SUMIFS(Purchases!$D:$D,Purchases!$A:$A,$A155,Purchases!$C:$C,$B155)</f>
      </c>
      <c r="E155" s="11">
        <f>SUMIFS('Sales Log'!$D:$D,'Sales Log'!$A:$A,$A155,'Sales Log'!$C:$C,$B155)</f>
      </c>
      <c r="F155" s="8"/>
      <c r="G155" s="8"/>
      <c r="H155" s="11">
        <f>C155+D155-E155-F155</f>
      </c>
      <c r="I155" s="11">
        <f>H155-G155</f>
      </c>
    </row>
    <row r="156" ht="21" customHeight="1" spans="1:9" x14ac:dyDescent="0.25">
      <c r="A156" s="8"/>
      <c r="B156" s="8"/>
      <c r="C156" s="11">
        <f>IFERROR(LOOKUP(2,1/(($B$3:$B155=B156)*($A$3:$A155&lt;A156)),$G$3:$G155),IFERROR(VLOOKUP(B156,'Inventory Master'!$A$3:$L$300,6,FALSE),0))</f>
      </c>
      <c r="D156" s="11">
        <f>SUMIFS(Purchases!$D:$D,Purchases!$A:$A,$A156,Purchases!$C:$C,$B156)</f>
      </c>
      <c r="E156" s="11">
        <f>SUMIFS('Sales Log'!$D:$D,'Sales Log'!$A:$A,$A156,'Sales Log'!$C:$C,$B156)</f>
      </c>
      <c r="F156" s="8"/>
      <c r="G156" s="8"/>
      <c r="H156" s="11">
        <f>C156+D156-E156-F156</f>
      </c>
      <c r="I156" s="11">
        <f>H156-G156</f>
      </c>
    </row>
    <row r="157" ht="21" customHeight="1" spans="1:9" x14ac:dyDescent="0.25">
      <c r="A157" s="8"/>
      <c r="B157" s="8"/>
      <c r="C157" s="11">
        <f>IFERROR(LOOKUP(2,1/(($B$3:$B156=B157)*($A$3:$A156&lt;A157)),$G$3:$G156),IFERROR(VLOOKUP(B157,'Inventory Master'!$A$3:$L$300,6,FALSE),0))</f>
      </c>
      <c r="D157" s="11">
        <f>SUMIFS(Purchases!$D:$D,Purchases!$A:$A,$A157,Purchases!$C:$C,$B157)</f>
      </c>
      <c r="E157" s="11">
        <f>SUMIFS('Sales Log'!$D:$D,'Sales Log'!$A:$A,$A157,'Sales Log'!$C:$C,$B157)</f>
      </c>
      <c r="F157" s="8"/>
      <c r="G157" s="8"/>
      <c r="H157" s="11">
        <f>C157+D157-E157-F157</f>
      </c>
      <c r="I157" s="11">
        <f>H157-G157</f>
      </c>
    </row>
    <row r="158" ht="21" customHeight="1" spans="1:9" x14ac:dyDescent="0.25">
      <c r="A158" s="8"/>
      <c r="B158" s="8"/>
      <c r="C158" s="11">
        <f>IFERROR(LOOKUP(2,1/(($B$3:$B157=B158)*($A$3:$A157&lt;A158)),$G$3:$G157),IFERROR(VLOOKUP(B158,'Inventory Master'!$A$3:$L$300,6,FALSE),0))</f>
      </c>
      <c r="D158" s="11">
        <f>SUMIFS(Purchases!$D:$D,Purchases!$A:$A,$A158,Purchases!$C:$C,$B158)</f>
      </c>
      <c r="E158" s="11">
        <f>SUMIFS('Sales Log'!$D:$D,'Sales Log'!$A:$A,$A158,'Sales Log'!$C:$C,$B158)</f>
      </c>
      <c r="F158" s="8"/>
      <c r="G158" s="8"/>
      <c r="H158" s="11">
        <f>C158+D158-E158-F158</f>
      </c>
      <c r="I158" s="11">
        <f>H158-G158</f>
      </c>
    </row>
    <row r="159" ht="21" customHeight="1" spans="1:9" x14ac:dyDescent="0.25">
      <c r="A159" s="8"/>
      <c r="B159" s="8"/>
      <c r="C159" s="11">
        <f>IFERROR(LOOKUP(2,1/(($B$3:$B158=B159)*($A$3:$A158&lt;A159)),$G$3:$G158),IFERROR(VLOOKUP(B159,'Inventory Master'!$A$3:$L$300,6,FALSE),0))</f>
      </c>
      <c r="D159" s="11">
        <f>SUMIFS(Purchases!$D:$D,Purchases!$A:$A,$A159,Purchases!$C:$C,$B159)</f>
      </c>
      <c r="E159" s="11">
        <f>SUMIFS('Sales Log'!$D:$D,'Sales Log'!$A:$A,$A159,'Sales Log'!$C:$C,$B159)</f>
      </c>
      <c r="F159" s="8"/>
      <c r="G159" s="8"/>
      <c r="H159" s="11">
        <f>C159+D159-E159-F159</f>
      </c>
      <c r="I159" s="11">
        <f>H159-G159</f>
      </c>
    </row>
    <row r="160" ht="21" customHeight="1" spans="1:9" x14ac:dyDescent="0.25">
      <c r="A160" s="8"/>
      <c r="B160" s="8"/>
      <c r="C160" s="11">
        <f>IFERROR(LOOKUP(2,1/(($B$3:$B159=B160)*($A$3:$A159&lt;A160)),$G$3:$G159),IFERROR(VLOOKUP(B160,'Inventory Master'!$A$3:$L$300,6,FALSE),0))</f>
      </c>
      <c r="D160" s="11">
        <f>SUMIFS(Purchases!$D:$D,Purchases!$A:$A,$A160,Purchases!$C:$C,$B160)</f>
      </c>
      <c r="E160" s="11">
        <f>SUMIFS('Sales Log'!$D:$D,'Sales Log'!$A:$A,$A160,'Sales Log'!$C:$C,$B160)</f>
      </c>
      <c r="F160" s="8"/>
      <c r="G160" s="8"/>
      <c r="H160" s="11">
        <f>C160+D160-E160-F160</f>
      </c>
      <c r="I160" s="11">
        <f>H160-G160</f>
      </c>
    </row>
    <row r="161" ht="21" customHeight="1" spans="1:9" x14ac:dyDescent="0.25">
      <c r="A161" s="8"/>
      <c r="B161" s="8"/>
      <c r="C161" s="11">
        <f>IFERROR(LOOKUP(2,1/(($B$3:$B160=B161)*($A$3:$A160&lt;A161)),$G$3:$G160),IFERROR(VLOOKUP(B161,'Inventory Master'!$A$3:$L$300,6,FALSE),0))</f>
      </c>
      <c r="D161" s="11">
        <f>SUMIFS(Purchases!$D:$D,Purchases!$A:$A,$A161,Purchases!$C:$C,$B161)</f>
      </c>
      <c r="E161" s="11">
        <f>SUMIFS('Sales Log'!$D:$D,'Sales Log'!$A:$A,$A161,'Sales Log'!$C:$C,$B161)</f>
      </c>
      <c r="F161" s="8"/>
      <c r="G161" s="8"/>
      <c r="H161" s="11">
        <f>C161+D161-E161-F161</f>
      </c>
      <c r="I161" s="11">
        <f>H161-G161</f>
      </c>
    </row>
    <row r="162" ht="21" customHeight="1" spans="1:9" x14ac:dyDescent="0.25">
      <c r="A162" s="8"/>
      <c r="B162" s="8"/>
      <c r="C162" s="11">
        <f>IFERROR(LOOKUP(2,1/(($B$3:$B161=B162)*($A$3:$A161&lt;A162)),$G$3:$G161),IFERROR(VLOOKUP(B162,'Inventory Master'!$A$3:$L$300,6,FALSE),0))</f>
      </c>
      <c r="D162" s="11">
        <f>SUMIFS(Purchases!$D:$D,Purchases!$A:$A,$A162,Purchases!$C:$C,$B162)</f>
      </c>
      <c r="E162" s="11">
        <f>SUMIFS('Sales Log'!$D:$D,'Sales Log'!$A:$A,$A162,'Sales Log'!$C:$C,$B162)</f>
      </c>
      <c r="F162" s="8"/>
      <c r="G162" s="8"/>
      <c r="H162" s="11">
        <f>C162+D162-E162-F162</f>
      </c>
      <c r="I162" s="11">
        <f>H162-G162</f>
      </c>
    </row>
    <row r="163" ht="21" customHeight="1" spans="1:9" x14ac:dyDescent="0.25">
      <c r="A163" s="8"/>
      <c r="B163" s="8"/>
      <c r="C163" s="11">
        <f>IFERROR(LOOKUP(2,1/(($B$3:$B162=B163)*($A$3:$A162&lt;A163)),$G$3:$G162),IFERROR(VLOOKUP(B163,'Inventory Master'!$A$3:$L$300,6,FALSE),0))</f>
      </c>
      <c r="D163" s="11">
        <f>SUMIFS(Purchases!$D:$D,Purchases!$A:$A,$A163,Purchases!$C:$C,$B163)</f>
      </c>
      <c r="E163" s="11">
        <f>SUMIFS('Sales Log'!$D:$D,'Sales Log'!$A:$A,$A163,'Sales Log'!$C:$C,$B163)</f>
      </c>
      <c r="F163" s="8"/>
      <c r="G163" s="8"/>
      <c r="H163" s="11">
        <f>C163+D163-E163-F163</f>
      </c>
      <c r="I163" s="11">
        <f>H163-G163</f>
      </c>
    </row>
    <row r="164" ht="21" customHeight="1" spans="1:9" x14ac:dyDescent="0.25">
      <c r="A164" s="8"/>
      <c r="B164" s="8"/>
      <c r="C164" s="11">
        <f>IFERROR(LOOKUP(2,1/(($B$3:$B163=B164)*($A$3:$A163&lt;A164)),$G$3:$G163),IFERROR(VLOOKUP(B164,'Inventory Master'!$A$3:$L$300,6,FALSE),0))</f>
      </c>
      <c r="D164" s="11">
        <f>SUMIFS(Purchases!$D:$D,Purchases!$A:$A,$A164,Purchases!$C:$C,$B164)</f>
      </c>
      <c r="E164" s="11">
        <f>SUMIFS('Sales Log'!$D:$D,'Sales Log'!$A:$A,$A164,'Sales Log'!$C:$C,$B164)</f>
      </c>
      <c r="F164" s="8"/>
      <c r="G164" s="8"/>
      <c r="H164" s="11">
        <f>C164+D164-E164-F164</f>
      </c>
      <c r="I164" s="11">
        <f>H164-G164</f>
      </c>
    </row>
    <row r="165" ht="21" customHeight="1" spans="1:9" x14ac:dyDescent="0.25">
      <c r="A165" s="8"/>
      <c r="B165" s="8"/>
      <c r="C165" s="11">
        <f>IFERROR(LOOKUP(2,1/(($B$3:$B164=B165)*($A$3:$A164&lt;A165)),$G$3:$G164),IFERROR(VLOOKUP(B165,'Inventory Master'!$A$3:$L$300,6,FALSE),0))</f>
      </c>
      <c r="D165" s="11">
        <f>SUMIFS(Purchases!$D:$D,Purchases!$A:$A,$A165,Purchases!$C:$C,$B165)</f>
      </c>
      <c r="E165" s="11">
        <f>SUMIFS('Sales Log'!$D:$D,'Sales Log'!$A:$A,$A165,'Sales Log'!$C:$C,$B165)</f>
      </c>
      <c r="F165" s="8"/>
      <c r="G165" s="8"/>
      <c r="H165" s="11">
        <f>C165+D165-E165-F165</f>
      </c>
      <c r="I165" s="11">
        <f>H165-G165</f>
      </c>
    </row>
    <row r="166" ht="21" customHeight="1" spans="1:9" x14ac:dyDescent="0.25">
      <c r="A166" s="8"/>
      <c r="B166" s="8"/>
      <c r="C166" s="11">
        <f>IFERROR(LOOKUP(2,1/(($B$3:$B165=B166)*($A$3:$A165&lt;A166)),$G$3:$G165),IFERROR(VLOOKUP(B166,'Inventory Master'!$A$3:$L$300,6,FALSE),0))</f>
      </c>
      <c r="D166" s="11">
        <f>SUMIFS(Purchases!$D:$D,Purchases!$A:$A,$A166,Purchases!$C:$C,$B166)</f>
      </c>
      <c r="E166" s="11">
        <f>SUMIFS('Sales Log'!$D:$D,'Sales Log'!$A:$A,$A166,'Sales Log'!$C:$C,$B166)</f>
      </c>
      <c r="F166" s="8"/>
      <c r="G166" s="8"/>
      <c r="H166" s="11">
        <f>C166+D166-E166-F166</f>
      </c>
      <c r="I166" s="11">
        <f>H166-G166</f>
      </c>
    </row>
    <row r="167" ht="21" customHeight="1" spans="1:9" x14ac:dyDescent="0.25">
      <c r="A167" s="8"/>
      <c r="B167" s="8"/>
      <c r="C167" s="11">
        <f>IFERROR(LOOKUP(2,1/(($B$3:$B166=B167)*($A$3:$A166&lt;A167)),$G$3:$G166),IFERROR(VLOOKUP(B167,'Inventory Master'!$A$3:$L$300,6,FALSE),0))</f>
      </c>
      <c r="D167" s="11">
        <f>SUMIFS(Purchases!$D:$D,Purchases!$A:$A,$A167,Purchases!$C:$C,$B167)</f>
      </c>
      <c r="E167" s="11">
        <f>SUMIFS('Sales Log'!$D:$D,'Sales Log'!$A:$A,$A167,'Sales Log'!$C:$C,$B167)</f>
      </c>
      <c r="F167" s="8"/>
      <c r="G167" s="8"/>
      <c r="H167" s="11">
        <f>C167+D167-E167-F167</f>
      </c>
      <c r="I167" s="11">
        <f>H167-G167</f>
      </c>
    </row>
    <row r="168" ht="21" customHeight="1" spans="1:9" x14ac:dyDescent="0.25">
      <c r="A168" s="8"/>
      <c r="B168" s="8"/>
      <c r="C168" s="11">
        <f>IFERROR(LOOKUP(2,1/(($B$3:$B167=B168)*($A$3:$A167&lt;A168)),$G$3:$G167),IFERROR(VLOOKUP(B168,'Inventory Master'!$A$3:$L$300,6,FALSE),0))</f>
      </c>
      <c r="D168" s="11">
        <f>SUMIFS(Purchases!$D:$D,Purchases!$A:$A,$A168,Purchases!$C:$C,$B168)</f>
      </c>
      <c r="E168" s="11">
        <f>SUMIFS('Sales Log'!$D:$D,'Sales Log'!$A:$A,$A168,'Sales Log'!$C:$C,$B168)</f>
      </c>
      <c r="F168" s="8"/>
      <c r="G168" s="8"/>
      <c r="H168" s="11">
        <f>C168+D168-E168-F168</f>
      </c>
      <c r="I168" s="11">
        <f>H168-G168</f>
      </c>
    </row>
    <row r="169" ht="21" customHeight="1" spans="1:9" x14ac:dyDescent="0.25">
      <c r="A169" s="8"/>
      <c r="B169" s="8"/>
      <c r="C169" s="11">
        <f>IFERROR(LOOKUP(2,1/(($B$3:$B168=B169)*($A$3:$A168&lt;A169)),$G$3:$G168),IFERROR(VLOOKUP(B169,'Inventory Master'!$A$3:$L$300,6,FALSE),0))</f>
      </c>
      <c r="D169" s="11">
        <f>SUMIFS(Purchases!$D:$D,Purchases!$A:$A,$A169,Purchases!$C:$C,$B169)</f>
      </c>
      <c r="E169" s="11">
        <f>SUMIFS('Sales Log'!$D:$D,'Sales Log'!$A:$A,$A169,'Sales Log'!$C:$C,$B169)</f>
      </c>
      <c r="F169" s="8"/>
      <c r="G169" s="8"/>
      <c r="H169" s="11">
        <f>C169+D169-E169-F169</f>
      </c>
      <c r="I169" s="11">
        <f>H169-G169</f>
      </c>
    </row>
    <row r="170" ht="21" customHeight="1" spans="1:9" x14ac:dyDescent="0.25">
      <c r="A170" s="8"/>
      <c r="B170" s="8"/>
      <c r="C170" s="11">
        <f>IFERROR(LOOKUP(2,1/(($B$3:$B169=B170)*($A$3:$A169&lt;A170)),$G$3:$G169),IFERROR(VLOOKUP(B170,'Inventory Master'!$A$3:$L$300,6,FALSE),0))</f>
      </c>
      <c r="D170" s="11">
        <f>SUMIFS(Purchases!$D:$D,Purchases!$A:$A,$A170,Purchases!$C:$C,$B170)</f>
      </c>
      <c r="E170" s="11">
        <f>SUMIFS('Sales Log'!$D:$D,'Sales Log'!$A:$A,$A170,'Sales Log'!$C:$C,$B170)</f>
      </c>
      <c r="F170" s="8"/>
      <c r="G170" s="8"/>
      <c r="H170" s="11">
        <f>C170+D170-E170-F170</f>
      </c>
      <c r="I170" s="11">
        <f>H170-G170</f>
      </c>
    </row>
    <row r="171" ht="21" customHeight="1" spans="1:9" x14ac:dyDescent="0.25">
      <c r="A171" s="8"/>
      <c r="B171" s="8"/>
      <c r="C171" s="11">
        <f>IFERROR(LOOKUP(2,1/(($B$3:$B170=B171)*($A$3:$A170&lt;A171)),$G$3:$G170),IFERROR(VLOOKUP(B171,'Inventory Master'!$A$3:$L$300,6,FALSE),0))</f>
      </c>
      <c r="D171" s="11">
        <f>SUMIFS(Purchases!$D:$D,Purchases!$A:$A,$A171,Purchases!$C:$C,$B171)</f>
      </c>
      <c r="E171" s="11">
        <f>SUMIFS('Sales Log'!$D:$D,'Sales Log'!$A:$A,$A171,'Sales Log'!$C:$C,$B171)</f>
      </c>
      <c r="F171" s="8"/>
      <c r="G171" s="8"/>
      <c r="H171" s="11">
        <f>C171+D171-E171-F171</f>
      </c>
      <c r="I171" s="11">
        <f>H171-G171</f>
      </c>
    </row>
    <row r="172" ht="21" customHeight="1" spans="1:9" x14ac:dyDescent="0.25">
      <c r="A172" s="8"/>
      <c r="B172" s="8"/>
      <c r="C172" s="11">
        <f>IFERROR(LOOKUP(2,1/(($B$3:$B171=B172)*($A$3:$A171&lt;A172)),$G$3:$G171),IFERROR(VLOOKUP(B172,'Inventory Master'!$A$3:$L$300,6,FALSE),0))</f>
      </c>
      <c r="D172" s="11">
        <f>SUMIFS(Purchases!$D:$D,Purchases!$A:$A,$A172,Purchases!$C:$C,$B172)</f>
      </c>
      <c r="E172" s="11">
        <f>SUMIFS('Sales Log'!$D:$D,'Sales Log'!$A:$A,$A172,'Sales Log'!$C:$C,$B172)</f>
      </c>
      <c r="F172" s="8"/>
      <c r="G172" s="8"/>
      <c r="H172" s="11">
        <f>C172+D172-E172-F172</f>
      </c>
      <c r="I172" s="11">
        <f>H172-G172</f>
      </c>
    </row>
    <row r="173" ht="21" customHeight="1" spans="1:9" x14ac:dyDescent="0.25">
      <c r="A173" s="8"/>
      <c r="B173" s="8"/>
      <c r="C173" s="11">
        <f>IFERROR(LOOKUP(2,1/(($B$3:$B172=B173)*($A$3:$A172&lt;A173)),$G$3:$G172),IFERROR(VLOOKUP(B173,'Inventory Master'!$A$3:$L$300,6,FALSE),0))</f>
      </c>
      <c r="D173" s="11">
        <f>SUMIFS(Purchases!$D:$D,Purchases!$A:$A,$A173,Purchases!$C:$C,$B173)</f>
      </c>
      <c r="E173" s="11">
        <f>SUMIFS('Sales Log'!$D:$D,'Sales Log'!$A:$A,$A173,'Sales Log'!$C:$C,$B173)</f>
      </c>
      <c r="F173" s="8"/>
      <c r="G173" s="8"/>
      <c r="H173" s="11">
        <f>C173+D173-E173-F173</f>
      </c>
      <c r="I173" s="11">
        <f>H173-G173</f>
      </c>
    </row>
    <row r="174" ht="21" customHeight="1" spans="1:9" x14ac:dyDescent="0.25">
      <c r="A174" s="8"/>
      <c r="B174" s="8"/>
      <c r="C174" s="11">
        <f>IFERROR(LOOKUP(2,1/(($B$3:$B173=B174)*($A$3:$A173&lt;A174)),$G$3:$G173),IFERROR(VLOOKUP(B174,'Inventory Master'!$A$3:$L$300,6,FALSE),0))</f>
      </c>
      <c r="D174" s="11">
        <f>SUMIFS(Purchases!$D:$D,Purchases!$A:$A,$A174,Purchases!$C:$C,$B174)</f>
      </c>
      <c r="E174" s="11">
        <f>SUMIFS('Sales Log'!$D:$D,'Sales Log'!$A:$A,$A174,'Sales Log'!$C:$C,$B174)</f>
      </c>
      <c r="F174" s="8"/>
      <c r="G174" s="8"/>
      <c r="H174" s="11">
        <f>C174+D174-E174-F174</f>
      </c>
      <c r="I174" s="11">
        <f>H174-G174</f>
      </c>
    </row>
    <row r="175" ht="21" customHeight="1" spans="1:9" x14ac:dyDescent="0.25">
      <c r="A175" s="8"/>
      <c r="B175" s="8"/>
      <c r="C175" s="11">
        <f>IFERROR(LOOKUP(2,1/(($B$3:$B174=B175)*($A$3:$A174&lt;A175)),$G$3:$G174),IFERROR(VLOOKUP(B175,'Inventory Master'!$A$3:$L$300,6,FALSE),0))</f>
      </c>
      <c r="D175" s="11">
        <f>SUMIFS(Purchases!$D:$D,Purchases!$A:$A,$A175,Purchases!$C:$C,$B175)</f>
      </c>
      <c r="E175" s="11">
        <f>SUMIFS('Sales Log'!$D:$D,'Sales Log'!$A:$A,$A175,'Sales Log'!$C:$C,$B175)</f>
      </c>
      <c r="F175" s="8"/>
      <c r="G175" s="8"/>
      <c r="H175" s="11">
        <f>C175+D175-E175-F175</f>
      </c>
      <c r="I175" s="11">
        <f>H175-G175</f>
      </c>
    </row>
    <row r="176" ht="21" customHeight="1" spans="1:9" x14ac:dyDescent="0.25">
      <c r="A176" s="8"/>
      <c r="B176" s="8"/>
      <c r="C176" s="11">
        <f>IFERROR(LOOKUP(2,1/(($B$3:$B175=B176)*($A$3:$A175&lt;A176)),$G$3:$G175),IFERROR(VLOOKUP(B176,'Inventory Master'!$A$3:$L$300,6,FALSE),0))</f>
      </c>
      <c r="D176" s="11">
        <f>SUMIFS(Purchases!$D:$D,Purchases!$A:$A,$A176,Purchases!$C:$C,$B176)</f>
      </c>
      <c r="E176" s="11">
        <f>SUMIFS('Sales Log'!$D:$D,'Sales Log'!$A:$A,$A176,'Sales Log'!$C:$C,$B176)</f>
      </c>
      <c r="F176" s="8"/>
      <c r="G176" s="8"/>
      <c r="H176" s="11">
        <f>C176+D176-E176-F176</f>
      </c>
      <c r="I176" s="11">
        <f>H176-G176</f>
      </c>
    </row>
    <row r="177" ht="21" customHeight="1" spans="1:9" x14ac:dyDescent="0.25">
      <c r="A177" s="8"/>
      <c r="B177" s="8"/>
      <c r="C177" s="11">
        <f>IFERROR(LOOKUP(2,1/(($B$3:$B176=B177)*($A$3:$A176&lt;A177)),$G$3:$G176),IFERROR(VLOOKUP(B177,'Inventory Master'!$A$3:$L$300,6,FALSE),0))</f>
      </c>
      <c r="D177" s="11">
        <f>SUMIFS(Purchases!$D:$D,Purchases!$A:$A,$A177,Purchases!$C:$C,$B177)</f>
      </c>
      <c r="E177" s="11">
        <f>SUMIFS('Sales Log'!$D:$D,'Sales Log'!$A:$A,$A177,'Sales Log'!$C:$C,$B177)</f>
      </c>
      <c r="F177" s="8"/>
      <c r="G177" s="8"/>
      <c r="H177" s="11">
        <f>C177+D177-E177-F177</f>
      </c>
      <c r="I177" s="11">
        <f>H177-G177</f>
      </c>
    </row>
    <row r="178" ht="21" customHeight="1" spans="1:9" x14ac:dyDescent="0.25">
      <c r="A178" s="8"/>
      <c r="B178" s="8"/>
      <c r="C178" s="11">
        <f>IFERROR(LOOKUP(2,1/(($B$3:$B177=B178)*($A$3:$A177&lt;A178)),$G$3:$G177),IFERROR(VLOOKUP(B178,'Inventory Master'!$A$3:$L$300,6,FALSE),0))</f>
      </c>
      <c r="D178" s="11">
        <f>SUMIFS(Purchases!$D:$D,Purchases!$A:$A,$A178,Purchases!$C:$C,$B178)</f>
      </c>
      <c r="E178" s="11">
        <f>SUMIFS('Sales Log'!$D:$D,'Sales Log'!$A:$A,$A178,'Sales Log'!$C:$C,$B178)</f>
      </c>
      <c r="F178" s="8"/>
      <c r="G178" s="8"/>
      <c r="H178" s="11">
        <f>C178+D178-E178-F178</f>
      </c>
      <c r="I178" s="11">
        <f>H178-G178</f>
      </c>
    </row>
    <row r="179" ht="21" customHeight="1" spans="1:9" x14ac:dyDescent="0.25">
      <c r="A179" s="8"/>
      <c r="B179" s="8"/>
      <c r="C179" s="11">
        <f>IFERROR(LOOKUP(2,1/(($B$3:$B178=B179)*($A$3:$A178&lt;A179)),$G$3:$G178),IFERROR(VLOOKUP(B179,'Inventory Master'!$A$3:$L$300,6,FALSE),0))</f>
      </c>
      <c r="D179" s="11">
        <f>SUMIFS(Purchases!$D:$D,Purchases!$A:$A,$A179,Purchases!$C:$C,$B179)</f>
      </c>
      <c r="E179" s="11">
        <f>SUMIFS('Sales Log'!$D:$D,'Sales Log'!$A:$A,$A179,'Sales Log'!$C:$C,$B179)</f>
      </c>
      <c r="F179" s="8"/>
      <c r="G179" s="8"/>
      <c r="H179" s="11">
        <f>C179+D179-E179-F179</f>
      </c>
      <c r="I179" s="11">
        <f>H179-G179</f>
      </c>
    </row>
    <row r="180" ht="21" customHeight="1" spans="1:9" x14ac:dyDescent="0.25">
      <c r="A180" s="8"/>
      <c r="B180" s="8"/>
      <c r="C180" s="11">
        <f>IFERROR(LOOKUP(2,1/(($B$3:$B179=B180)*($A$3:$A179&lt;A180)),$G$3:$G179),IFERROR(VLOOKUP(B180,'Inventory Master'!$A$3:$L$300,6,FALSE),0))</f>
      </c>
      <c r="D180" s="11">
        <f>SUMIFS(Purchases!$D:$D,Purchases!$A:$A,$A180,Purchases!$C:$C,$B180)</f>
      </c>
      <c r="E180" s="11">
        <f>SUMIFS('Sales Log'!$D:$D,'Sales Log'!$A:$A,$A180,'Sales Log'!$C:$C,$B180)</f>
      </c>
      <c r="F180" s="8"/>
      <c r="G180" s="8"/>
      <c r="H180" s="11">
        <f>C180+D180-E180-F180</f>
      </c>
      <c r="I180" s="11">
        <f>H180-G180</f>
      </c>
    </row>
    <row r="181" ht="21" customHeight="1" spans="1:9" x14ac:dyDescent="0.25">
      <c r="A181" s="8"/>
      <c r="B181" s="8"/>
      <c r="C181" s="11">
        <f>IFERROR(LOOKUP(2,1/(($B$3:$B180=B181)*($A$3:$A180&lt;A181)),$G$3:$G180),IFERROR(VLOOKUP(B181,'Inventory Master'!$A$3:$L$300,6,FALSE),0))</f>
      </c>
      <c r="D181" s="11">
        <f>SUMIFS(Purchases!$D:$D,Purchases!$A:$A,$A181,Purchases!$C:$C,$B181)</f>
      </c>
      <c r="E181" s="11">
        <f>SUMIFS('Sales Log'!$D:$D,'Sales Log'!$A:$A,$A181,'Sales Log'!$C:$C,$B181)</f>
      </c>
      <c r="F181" s="8"/>
      <c r="G181" s="8"/>
      <c r="H181" s="11">
        <f>C181+D181-E181-F181</f>
      </c>
      <c r="I181" s="11">
        <f>H181-G181</f>
      </c>
    </row>
    <row r="182" ht="21" customHeight="1" spans="1:9" x14ac:dyDescent="0.25">
      <c r="A182" s="8"/>
      <c r="B182" s="8"/>
      <c r="C182" s="11">
        <f>IFERROR(LOOKUP(2,1/(($B$3:$B181=B182)*($A$3:$A181&lt;A182)),$G$3:$G181),IFERROR(VLOOKUP(B182,'Inventory Master'!$A$3:$L$300,6,FALSE),0))</f>
      </c>
      <c r="D182" s="11">
        <f>SUMIFS(Purchases!$D:$D,Purchases!$A:$A,$A182,Purchases!$C:$C,$B182)</f>
      </c>
      <c r="E182" s="11">
        <f>SUMIFS('Sales Log'!$D:$D,'Sales Log'!$A:$A,$A182,'Sales Log'!$C:$C,$B182)</f>
      </c>
      <c r="F182" s="8"/>
      <c r="G182" s="8"/>
      <c r="H182" s="11">
        <f>C182+D182-E182-F182</f>
      </c>
      <c r="I182" s="11">
        <f>H182-G182</f>
      </c>
    </row>
    <row r="183" ht="21" customHeight="1" spans="1:9" x14ac:dyDescent="0.25">
      <c r="A183" s="8"/>
      <c r="B183" s="8"/>
      <c r="C183" s="11">
        <f>IFERROR(LOOKUP(2,1/(($B$3:$B182=B183)*($A$3:$A182&lt;A183)),$G$3:$G182),IFERROR(VLOOKUP(B183,'Inventory Master'!$A$3:$L$300,6,FALSE),0))</f>
      </c>
      <c r="D183" s="11">
        <f>SUMIFS(Purchases!$D:$D,Purchases!$A:$A,$A183,Purchases!$C:$C,$B183)</f>
      </c>
      <c r="E183" s="11">
        <f>SUMIFS('Sales Log'!$D:$D,'Sales Log'!$A:$A,$A183,'Sales Log'!$C:$C,$B183)</f>
      </c>
      <c r="F183" s="8"/>
      <c r="G183" s="8"/>
      <c r="H183" s="11">
        <f>C183+D183-E183-F183</f>
      </c>
      <c r="I183" s="11">
        <f>H183-G183</f>
      </c>
    </row>
    <row r="184" ht="21" customHeight="1" spans="1:9" x14ac:dyDescent="0.25">
      <c r="A184" s="8"/>
      <c r="B184" s="8"/>
      <c r="C184" s="11">
        <f>IFERROR(LOOKUP(2,1/(($B$3:$B183=B184)*($A$3:$A183&lt;A184)),$G$3:$G183),IFERROR(VLOOKUP(B184,'Inventory Master'!$A$3:$L$300,6,FALSE),0))</f>
      </c>
      <c r="D184" s="11">
        <f>SUMIFS(Purchases!$D:$D,Purchases!$A:$A,$A184,Purchases!$C:$C,$B184)</f>
      </c>
      <c r="E184" s="11">
        <f>SUMIFS('Sales Log'!$D:$D,'Sales Log'!$A:$A,$A184,'Sales Log'!$C:$C,$B184)</f>
      </c>
      <c r="F184" s="8"/>
      <c r="G184" s="8"/>
      <c r="H184" s="11">
        <f>C184+D184-E184-F184</f>
      </c>
      <c r="I184" s="11">
        <f>H184-G184</f>
      </c>
    </row>
    <row r="185" ht="21" customHeight="1" spans="1:9" x14ac:dyDescent="0.25">
      <c r="A185" s="8"/>
      <c r="B185" s="8"/>
      <c r="C185" s="11">
        <f>IFERROR(LOOKUP(2,1/(($B$3:$B184=B185)*($A$3:$A184&lt;A185)),$G$3:$G184),IFERROR(VLOOKUP(B185,'Inventory Master'!$A$3:$L$300,6,FALSE),0))</f>
      </c>
      <c r="D185" s="11">
        <f>SUMIFS(Purchases!$D:$D,Purchases!$A:$A,$A185,Purchases!$C:$C,$B185)</f>
      </c>
      <c r="E185" s="11">
        <f>SUMIFS('Sales Log'!$D:$D,'Sales Log'!$A:$A,$A185,'Sales Log'!$C:$C,$B185)</f>
      </c>
      <c r="F185" s="8"/>
      <c r="G185" s="8"/>
      <c r="H185" s="11">
        <f>C185+D185-E185-F185</f>
      </c>
      <c r="I185" s="11">
        <f>H185-G185</f>
      </c>
    </row>
    <row r="186" ht="21" customHeight="1" spans="1:9" x14ac:dyDescent="0.25">
      <c r="A186" s="8"/>
      <c r="B186" s="8"/>
      <c r="C186" s="11">
        <f>IFERROR(LOOKUP(2,1/(($B$3:$B185=B186)*($A$3:$A185&lt;A186)),$G$3:$G185),IFERROR(VLOOKUP(B186,'Inventory Master'!$A$3:$L$300,6,FALSE),0))</f>
      </c>
      <c r="D186" s="11">
        <f>SUMIFS(Purchases!$D:$D,Purchases!$A:$A,$A186,Purchases!$C:$C,$B186)</f>
      </c>
      <c r="E186" s="11">
        <f>SUMIFS('Sales Log'!$D:$D,'Sales Log'!$A:$A,$A186,'Sales Log'!$C:$C,$B186)</f>
      </c>
      <c r="F186" s="8"/>
      <c r="G186" s="8"/>
      <c r="H186" s="11">
        <f>C186+D186-E186-F186</f>
      </c>
      <c r="I186" s="11">
        <f>H186-G186</f>
      </c>
    </row>
    <row r="187" ht="21" customHeight="1" spans="1:9" x14ac:dyDescent="0.25">
      <c r="A187" s="8"/>
      <c r="B187" s="8"/>
      <c r="C187" s="11">
        <f>IFERROR(LOOKUP(2,1/(($B$3:$B186=B187)*($A$3:$A186&lt;A187)),$G$3:$G186),IFERROR(VLOOKUP(B187,'Inventory Master'!$A$3:$L$300,6,FALSE),0))</f>
      </c>
      <c r="D187" s="11">
        <f>SUMIFS(Purchases!$D:$D,Purchases!$A:$A,$A187,Purchases!$C:$C,$B187)</f>
      </c>
      <c r="E187" s="11">
        <f>SUMIFS('Sales Log'!$D:$D,'Sales Log'!$A:$A,$A187,'Sales Log'!$C:$C,$B187)</f>
      </c>
      <c r="F187" s="8"/>
      <c r="G187" s="8"/>
      <c r="H187" s="11">
        <f>C187+D187-E187-F187</f>
      </c>
      <c r="I187" s="11">
        <f>H187-G187</f>
      </c>
    </row>
    <row r="188" ht="21" customHeight="1" spans="1:9" x14ac:dyDescent="0.25">
      <c r="A188" s="8"/>
      <c r="B188" s="8"/>
      <c r="C188" s="11">
        <f>IFERROR(LOOKUP(2,1/(($B$3:$B187=B188)*($A$3:$A187&lt;A188)),$G$3:$G187),IFERROR(VLOOKUP(B188,'Inventory Master'!$A$3:$L$300,6,FALSE),0))</f>
      </c>
      <c r="D188" s="11">
        <f>SUMIFS(Purchases!$D:$D,Purchases!$A:$A,$A188,Purchases!$C:$C,$B188)</f>
      </c>
      <c r="E188" s="11">
        <f>SUMIFS('Sales Log'!$D:$D,'Sales Log'!$A:$A,$A188,'Sales Log'!$C:$C,$B188)</f>
      </c>
      <c r="F188" s="8"/>
      <c r="G188" s="8"/>
      <c r="H188" s="11">
        <f>C188+D188-E188-F188</f>
      </c>
      <c r="I188" s="11">
        <f>H188-G188</f>
      </c>
    </row>
    <row r="189" ht="21" customHeight="1" spans="1:9" x14ac:dyDescent="0.25">
      <c r="A189" s="8"/>
      <c r="B189" s="8"/>
      <c r="C189" s="11">
        <f>IFERROR(LOOKUP(2,1/(($B$3:$B188=B189)*($A$3:$A188&lt;A189)),$G$3:$G188),IFERROR(VLOOKUP(B189,'Inventory Master'!$A$3:$L$300,6,FALSE),0))</f>
      </c>
      <c r="D189" s="11">
        <f>SUMIFS(Purchases!$D:$D,Purchases!$A:$A,$A189,Purchases!$C:$C,$B189)</f>
      </c>
      <c r="E189" s="11">
        <f>SUMIFS('Sales Log'!$D:$D,'Sales Log'!$A:$A,$A189,'Sales Log'!$C:$C,$B189)</f>
      </c>
      <c r="F189" s="8"/>
      <c r="G189" s="8"/>
      <c r="H189" s="11">
        <f>C189+D189-E189-F189</f>
      </c>
      <c r="I189" s="11">
        <f>H189-G189</f>
      </c>
    </row>
    <row r="190" ht="21" customHeight="1" spans="1:9" x14ac:dyDescent="0.25">
      <c r="A190" s="8"/>
      <c r="B190" s="8"/>
      <c r="C190" s="11">
        <f>IFERROR(LOOKUP(2,1/(($B$3:$B189=B190)*($A$3:$A189&lt;A190)),$G$3:$G189),IFERROR(VLOOKUP(B190,'Inventory Master'!$A$3:$L$300,6,FALSE),0))</f>
      </c>
      <c r="D190" s="11">
        <f>SUMIFS(Purchases!$D:$D,Purchases!$A:$A,$A190,Purchases!$C:$C,$B190)</f>
      </c>
      <c r="E190" s="11">
        <f>SUMIFS('Sales Log'!$D:$D,'Sales Log'!$A:$A,$A190,'Sales Log'!$C:$C,$B190)</f>
      </c>
      <c r="F190" s="8"/>
      <c r="G190" s="8"/>
      <c r="H190" s="11">
        <f>C190+D190-E190-F190</f>
      </c>
      <c r="I190" s="11">
        <f>H190-G190</f>
      </c>
    </row>
    <row r="191" ht="21" customHeight="1" spans="1:9" x14ac:dyDescent="0.25">
      <c r="A191" s="8"/>
      <c r="B191" s="8"/>
      <c r="C191" s="11">
        <f>IFERROR(LOOKUP(2,1/(($B$3:$B190=B191)*($A$3:$A190&lt;A191)),$G$3:$G190),IFERROR(VLOOKUP(B191,'Inventory Master'!$A$3:$L$300,6,FALSE),0))</f>
      </c>
      <c r="D191" s="11">
        <f>SUMIFS(Purchases!$D:$D,Purchases!$A:$A,$A191,Purchases!$C:$C,$B191)</f>
      </c>
      <c r="E191" s="11">
        <f>SUMIFS('Sales Log'!$D:$D,'Sales Log'!$A:$A,$A191,'Sales Log'!$C:$C,$B191)</f>
      </c>
      <c r="F191" s="8"/>
      <c r="G191" s="8"/>
      <c r="H191" s="11">
        <f>C191+D191-E191-F191</f>
      </c>
      <c r="I191" s="11">
        <f>H191-G191</f>
      </c>
    </row>
    <row r="192" ht="21" customHeight="1" spans="1:9" x14ac:dyDescent="0.25">
      <c r="A192" s="8"/>
      <c r="B192" s="8"/>
      <c r="C192" s="11">
        <f>IFERROR(LOOKUP(2,1/(($B$3:$B191=B192)*($A$3:$A191&lt;A192)),$G$3:$G191),IFERROR(VLOOKUP(B192,'Inventory Master'!$A$3:$L$300,6,FALSE),0))</f>
      </c>
      <c r="D192" s="11">
        <f>SUMIFS(Purchases!$D:$D,Purchases!$A:$A,$A192,Purchases!$C:$C,$B192)</f>
      </c>
      <c r="E192" s="11">
        <f>SUMIFS('Sales Log'!$D:$D,'Sales Log'!$A:$A,$A192,'Sales Log'!$C:$C,$B192)</f>
      </c>
      <c r="F192" s="8"/>
      <c r="G192" s="8"/>
      <c r="H192" s="11">
        <f>C192+D192-E192-F192</f>
      </c>
      <c r="I192" s="11">
        <f>H192-G192</f>
      </c>
    </row>
    <row r="193" ht="21" customHeight="1" spans="1:9" x14ac:dyDescent="0.25">
      <c r="A193" s="8"/>
      <c r="B193" s="8"/>
      <c r="C193" s="11">
        <f>IFERROR(LOOKUP(2,1/(($B$3:$B192=B193)*($A$3:$A192&lt;A193)),$G$3:$G192),IFERROR(VLOOKUP(B193,'Inventory Master'!$A$3:$L$300,6,FALSE),0))</f>
      </c>
      <c r="D193" s="11">
        <f>SUMIFS(Purchases!$D:$D,Purchases!$A:$A,$A193,Purchases!$C:$C,$B193)</f>
      </c>
      <c r="E193" s="11">
        <f>SUMIFS('Sales Log'!$D:$D,'Sales Log'!$A:$A,$A193,'Sales Log'!$C:$C,$B193)</f>
      </c>
      <c r="F193" s="8"/>
      <c r="G193" s="8"/>
      <c r="H193" s="11">
        <f>C193+D193-E193-F193</f>
      </c>
      <c r="I193" s="11">
        <f>H193-G193</f>
      </c>
    </row>
    <row r="194" ht="21" customHeight="1" spans="1:9" x14ac:dyDescent="0.25">
      <c r="A194" s="8"/>
      <c r="B194" s="8"/>
      <c r="C194" s="11">
        <f>IFERROR(LOOKUP(2,1/(($B$3:$B193=B194)*($A$3:$A193&lt;A194)),$G$3:$G193),IFERROR(VLOOKUP(B194,'Inventory Master'!$A$3:$L$300,6,FALSE),0))</f>
      </c>
      <c r="D194" s="11">
        <f>SUMIFS(Purchases!$D:$D,Purchases!$A:$A,$A194,Purchases!$C:$C,$B194)</f>
      </c>
      <c r="E194" s="11">
        <f>SUMIFS('Sales Log'!$D:$D,'Sales Log'!$A:$A,$A194,'Sales Log'!$C:$C,$B194)</f>
      </c>
      <c r="F194" s="8"/>
      <c r="G194" s="8"/>
      <c r="H194" s="11">
        <f>C194+D194-E194-F194</f>
      </c>
      <c r="I194" s="11">
        <f>H194-G194</f>
      </c>
    </row>
    <row r="195" ht="21" customHeight="1" spans="1:9" x14ac:dyDescent="0.25">
      <c r="A195" s="8"/>
      <c r="B195" s="8"/>
      <c r="C195" s="11">
        <f>IFERROR(LOOKUP(2,1/(($B$3:$B194=B195)*($A$3:$A194&lt;A195)),$G$3:$G194),IFERROR(VLOOKUP(B195,'Inventory Master'!$A$3:$L$300,6,FALSE),0))</f>
      </c>
      <c r="D195" s="11">
        <f>SUMIFS(Purchases!$D:$D,Purchases!$A:$A,$A195,Purchases!$C:$C,$B195)</f>
      </c>
      <c r="E195" s="11">
        <f>SUMIFS('Sales Log'!$D:$D,'Sales Log'!$A:$A,$A195,'Sales Log'!$C:$C,$B195)</f>
      </c>
      <c r="F195" s="8"/>
      <c r="G195" s="8"/>
      <c r="H195" s="11">
        <f>C195+D195-E195-F195</f>
      </c>
      <c r="I195" s="11">
        <f>H195-G195</f>
      </c>
    </row>
    <row r="196" ht="21" customHeight="1" spans="1:9" x14ac:dyDescent="0.25">
      <c r="A196" s="8"/>
      <c r="B196" s="8"/>
      <c r="C196" s="11">
        <f>IFERROR(LOOKUP(2,1/(($B$3:$B195=B196)*($A$3:$A195&lt;A196)),$G$3:$G195),IFERROR(VLOOKUP(B196,'Inventory Master'!$A$3:$L$300,6,FALSE),0))</f>
      </c>
      <c r="D196" s="11">
        <f>SUMIFS(Purchases!$D:$D,Purchases!$A:$A,$A196,Purchases!$C:$C,$B196)</f>
      </c>
      <c r="E196" s="11">
        <f>SUMIFS('Sales Log'!$D:$D,'Sales Log'!$A:$A,$A196,'Sales Log'!$C:$C,$B196)</f>
      </c>
      <c r="F196" s="8"/>
      <c r="G196" s="8"/>
      <c r="H196" s="11">
        <f>C196+D196-E196-F196</f>
      </c>
      <c r="I196" s="11">
        <f>H196-G196</f>
      </c>
    </row>
    <row r="197" ht="21" customHeight="1" spans="1:9" x14ac:dyDescent="0.25">
      <c r="A197" s="8"/>
      <c r="B197" s="8"/>
      <c r="C197" s="11">
        <f>IFERROR(LOOKUP(2,1/(($B$3:$B196=B197)*($A$3:$A196&lt;A197)),$G$3:$G196),IFERROR(VLOOKUP(B197,'Inventory Master'!$A$3:$L$300,6,FALSE),0))</f>
      </c>
      <c r="D197" s="11">
        <f>SUMIFS(Purchases!$D:$D,Purchases!$A:$A,$A197,Purchases!$C:$C,$B197)</f>
      </c>
      <c r="E197" s="11">
        <f>SUMIFS('Sales Log'!$D:$D,'Sales Log'!$A:$A,$A197,'Sales Log'!$C:$C,$B197)</f>
      </c>
      <c r="F197" s="8"/>
      <c r="G197" s="8"/>
      <c r="H197" s="11">
        <f>C197+D197-E197-F197</f>
      </c>
      <c r="I197" s="11">
        <f>H197-G197</f>
      </c>
    </row>
    <row r="198" ht="21" customHeight="1" spans="1:9" x14ac:dyDescent="0.25">
      <c r="A198" s="8"/>
      <c r="B198" s="8"/>
      <c r="C198" s="11">
        <f>IFERROR(LOOKUP(2,1/(($B$3:$B197=B198)*($A$3:$A197&lt;A198)),$G$3:$G197),IFERROR(VLOOKUP(B198,'Inventory Master'!$A$3:$L$300,6,FALSE),0))</f>
      </c>
      <c r="D198" s="11">
        <f>SUMIFS(Purchases!$D:$D,Purchases!$A:$A,$A198,Purchases!$C:$C,$B198)</f>
      </c>
      <c r="E198" s="11">
        <f>SUMIFS('Sales Log'!$D:$D,'Sales Log'!$A:$A,$A198,'Sales Log'!$C:$C,$B198)</f>
      </c>
      <c r="F198" s="8"/>
      <c r="G198" s="8"/>
      <c r="H198" s="11">
        <f>C198+D198-E198-F198</f>
      </c>
      <c r="I198" s="11">
        <f>H198-G198</f>
      </c>
    </row>
    <row r="199" ht="21" customHeight="1" spans="1:9" x14ac:dyDescent="0.25">
      <c r="A199" s="8"/>
      <c r="B199" s="8"/>
      <c r="C199" s="11">
        <f>IFERROR(LOOKUP(2,1/(($B$3:$B198=B199)*($A$3:$A198&lt;A199)),$G$3:$G198),IFERROR(VLOOKUP(B199,'Inventory Master'!$A$3:$L$300,6,FALSE),0))</f>
      </c>
      <c r="D199" s="11">
        <f>SUMIFS(Purchases!$D:$D,Purchases!$A:$A,$A199,Purchases!$C:$C,$B199)</f>
      </c>
      <c r="E199" s="11">
        <f>SUMIFS('Sales Log'!$D:$D,'Sales Log'!$A:$A,$A199,'Sales Log'!$C:$C,$B199)</f>
      </c>
      <c r="F199" s="8"/>
      <c r="G199" s="8"/>
      <c r="H199" s="11">
        <f>C199+D199-E199-F199</f>
      </c>
      <c r="I199" s="11">
        <f>H199-G199</f>
      </c>
    </row>
    <row r="200" ht="21" customHeight="1" spans="1:9" x14ac:dyDescent="0.25">
      <c r="A200" s="8"/>
      <c r="B200" s="8"/>
      <c r="C200" s="11">
        <f>IFERROR(LOOKUP(2,1/(($B$3:$B199=B200)*($A$3:$A199&lt;A200)),$G$3:$G199),IFERROR(VLOOKUP(B200,'Inventory Master'!$A$3:$L$300,6,FALSE),0))</f>
      </c>
      <c r="D200" s="11">
        <f>SUMIFS(Purchases!$D:$D,Purchases!$A:$A,$A200,Purchases!$C:$C,$B200)</f>
      </c>
      <c r="E200" s="11">
        <f>SUMIFS('Sales Log'!$D:$D,'Sales Log'!$A:$A,$A200,'Sales Log'!$C:$C,$B200)</f>
      </c>
      <c r="F200" s="8"/>
      <c r="G200" s="8"/>
      <c r="H200" s="11">
        <f>C200+D200-E200-F200</f>
      </c>
      <c r="I200" s="11">
        <f>H200-G200</f>
      </c>
    </row>
    <row r="201" ht="21" customHeight="1" spans="1:9" x14ac:dyDescent="0.25">
      <c r="A201" s="8"/>
      <c r="B201" s="8"/>
      <c r="C201" s="11">
        <f>IFERROR(LOOKUP(2,1/(($B$3:$B200=B201)*($A$3:$A200&lt;A201)),$G$3:$G200),IFERROR(VLOOKUP(B201,'Inventory Master'!$A$3:$L$300,6,FALSE),0))</f>
      </c>
      <c r="D201" s="11">
        <f>SUMIFS(Purchases!$D:$D,Purchases!$A:$A,$A201,Purchases!$C:$C,$B201)</f>
      </c>
      <c r="E201" s="11">
        <f>SUMIFS('Sales Log'!$D:$D,'Sales Log'!$A:$A,$A201,'Sales Log'!$C:$C,$B201)</f>
      </c>
      <c r="F201" s="8"/>
      <c r="G201" s="8"/>
      <c r="H201" s="11">
        <f>C201+D201-E201-F201</f>
      </c>
      <c r="I201" s="11">
        <f>H201-G201</f>
      </c>
    </row>
    <row r="202" ht="21" customHeight="1" spans="1:9" x14ac:dyDescent="0.25">
      <c r="A202" s="8"/>
      <c r="B202" s="8"/>
      <c r="C202" s="11">
        <f>IFERROR(LOOKUP(2,1/(($B$3:$B201=B202)*($A$3:$A201&lt;A202)),$G$3:$G201),IFERROR(VLOOKUP(B202,'Inventory Master'!$A$3:$L$300,6,FALSE),0))</f>
      </c>
      <c r="D202" s="11">
        <f>SUMIFS(Purchases!$D:$D,Purchases!$A:$A,$A202,Purchases!$C:$C,$B202)</f>
      </c>
      <c r="E202" s="11">
        <f>SUMIFS('Sales Log'!$D:$D,'Sales Log'!$A:$A,$A202,'Sales Log'!$C:$C,$B202)</f>
      </c>
      <c r="F202" s="8"/>
      <c r="G202" s="8"/>
      <c r="H202" s="11">
        <f>C202+D202-E202-F202</f>
      </c>
      <c r="I202" s="11">
        <f>H202-G202</f>
      </c>
    </row>
    <row r="203" ht="21" customHeight="1" spans="1:9" x14ac:dyDescent="0.25">
      <c r="A203" s="8"/>
      <c r="B203" s="8"/>
      <c r="C203" s="11">
        <f>IFERROR(LOOKUP(2,1/(($B$3:$B202=B203)*($A$3:$A202&lt;A203)),$G$3:$G202),IFERROR(VLOOKUP(B203,'Inventory Master'!$A$3:$L$300,6,FALSE),0))</f>
      </c>
      <c r="D203" s="11">
        <f>SUMIFS(Purchases!$D:$D,Purchases!$A:$A,$A203,Purchases!$C:$C,$B203)</f>
      </c>
      <c r="E203" s="11">
        <f>SUMIFS('Sales Log'!$D:$D,'Sales Log'!$A:$A,$A203,'Sales Log'!$C:$C,$B203)</f>
      </c>
      <c r="F203" s="8"/>
      <c r="G203" s="8"/>
      <c r="H203" s="11">
        <f>C203+D203-E203-F203</f>
      </c>
      <c r="I203" s="11">
        <f>H203-G203</f>
      </c>
    </row>
    <row r="204" ht="21" customHeight="1" spans="1:9" x14ac:dyDescent="0.25">
      <c r="A204" s="8"/>
      <c r="B204" s="8"/>
      <c r="C204" s="11">
        <f>IFERROR(LOOKUP(2,1/(($B$3:$B203=B204)*($A$3:$A203&lt;A204)),$G$3:$G203),IFERROR(VLOOKUP(B204,'Inventory Master'!$A$3:$L$300,6,FALSE),0))</f>
      </c>
      <c r="D204" s="11">
        <f>SUMIFS(Purchases!$D:$D,Purchases!$A:$A,$A204,Purchases!$C:$C,$B204)</f>
      </c>
      <c r="E204" s="11">
        <f>SUMIFS('Sales Log'!$D:$D,'Sales Log'!$A:$A,$A204,'Sales Log'!$C:$C,$B204)</f>
      </c>
      <c r="F204" s="8"/>
      <c r="G204" s="8"/>
      <c r="H204" s="11">
        <f>C204+D204-E204-F204</f>
      </c>
      <c r="I204" s="11">
        <f>H204-G204</f>
      </c>
    </row>
    <row r="205" ht="21" customHeight="1" spans="1:9" x14ac:dyDescent="0.25">
      <c r="A205" s="8"/>
      <c r="B205" s="8"/>
      <c r="C205" s="11">
        <f>IFERROR(LOOKUP(2,1/(($B$3:$B204=B205)*($A$3:$A204&lt;A205)),$G$3:$G204),IFERROR(VLOOKUP(B205,'Inventory Master'!$A$3:$L$300,6,FALSE),0))</f>
      </c>
      <c r="D205" s="11">
        <f>SUMIFS(Purchases!$D:$D,Purchases!$A:$A,$A205,Purchases!$C:$C,$B205)</f>
      </c>
      <c r="E205" s="11">
        <f>SUMIFS('Sales Log'!$D:$D,'Sales Log'!$A:$A,$A205,'Sales Log'!$C:$C,$B205)</f>
      </c>
      <c r="F205" s="8"/>
      <c r="G205" s="8"/>
      <c r="H205" s="11">
        <f>C205+D205-E205-F205</f>
      </c>
      <c r="I205" s="11">
        <f>H205-G205</f>
      </c>
    </row>
    <row r="206" ht="21" customHeight="1" spans="1:9" x14ac:dyDescent="0.25">
      <c r="A206" s="8"/>
      <c r="B206" s="8"/>
      <c r="C206" s="11">
        <f>IFERROR(LOOKUP(2,1/(($B$3:$B205=B206)*($A$3:$A205&lt;A206)),$G$3:$G205),IFERROR(VLOOKUP(B206,'Inventory Master'!$A$3:$L$300,6,FALSE),0))</f>
      </c>
      <c r="D206" s="11">
        <f>SUMIFS(Purchases!$D:$D,Purchases!$A:$A,$A206,Purchases!$C:$C,$B206)</f>
      </c>
      <c r="E206" s="11">
        <f>SUMIFS('Sales Log'!$D:$D,'Sales Log'!$A:$A,$A206,'Sales Log'!$C:$C,$B206)</f>
      </c>
      <c r="F206" s="8"/>
      <c r="G206" s="8"/>
      <c r="H206" s="11">
        <f>C206+D206-E206-F206</f>
      </c>
      <c r="I206" s="11">
        <f>H206-G206</f>
      </c>
    </row>
    <row r="207" ht="21" customHeight="1" spans="1:9" x14ac:dyDescent="0.25">
      <c r="A207" s="8"/>
      <c r="B207" s="8"/>
      <c r="C207" s="11">
        <f>IFERROR(LOOKUP(2,1/(($B$3:$B206=B207)*($A$3:$A206&lt;A207)),$G$3:$G206),IFERROR(VLOOKUP(B207,'Inventory Master'!$A$3:$L$300,6,FALSE),0))</f>
      </c>
      <c r="D207" s="11">
        <f>SUMIFS(Purchases!$D:$D,Purchases!$A:$A,$A207,Purchases!$C:$C,$B207)</f>
      </c>
      <c r="E207" s="11">
        <f>SUMIFS('Sales Log'!$D:$D,'Sales Log'!$A:$A,$A207,'Sales Log'!$C:$C,$B207)</f>
      </c>
      <c r="F207" s="8"/>
      <c r="G207" s="8"/>
      <c r="H207" s="11">
        <f>C207+D207-E207-F207</f>
      </c>
      <c r="I207" s="11">
        <f>H207-G207</f>
      </c>
    </row>
    <row r="208" ht="21" customHeight="1" spans="1:9" x14ac:dyDescent="0.25">
      <c r="A208" s="8"/>
      <c r="B208" s="8"/>
      <c r="C208" s="11">
        <f>IFERROR(LOOKUP(2,1/(($B$3:$B207=B208)*($A$3:$A207&lt;A208)),$G$3:$G207),IFERROR(VLOOKUP(B208,'Inventory Master'!$A$3:$L$300,6,FALSE),0))</f>
      </c>
      <c r="D208" s="11">
        <f>SUMIFS(Purchases!$D:$D,Purchases!$A:$A,$A208,Purchases!$C:$C,$B208)</f>
      </c>
      <c r="E208" s="11">
        <f>SUMIFS('Sales Log'!$D:$D,'Sales Log'!$A:$A,$A208,'Sales Log'!$C:$C,$B208)</f>
      </c>
      <c r="F208" s="8"/>
      <c r="G208" s="8"/>
      <c r="H208" s="11">
        <f>C208+D208-E208-F208</f>
      </c>
      <c r="I208" s="11">
        <f>H208-G208</f>
      </c>
    </row>
    <row r="209" ht="21" customHeight="1" spans="1:9" x14ac:dyDescent="0.25">
      <c r="A209" s="8"/>
      <c r="B209" s="8"/>
      <c r="C209" s="11">
        <f>IFERROR(LOOKUP(2,1/(($B$3:$B208=B209)*($A$3:$A208&lt;A209)),$G$3:$G208),IFERROR(VLOOKUP(B209,'Inventory Master'!$A$3:$L$300,6,FALSE),0))</f>
      </c>
      <c r="D209" s="11">
        <f>SUMIFS(Purchases!$D:$D,Purchases!$A:$A,$A209,Purchases!$C:$C,$B209)</f>
      </c>
      <c r="E209" s="11">
        <f>SUMIFS('Sales Log'!$D:$D,'Sales Log'!$A:$A,$A209,'Sales Log'!$C:$C,$B209)</f>
      </c>
      <c r="F209" s="8"/>
      <c r="G209" s="8"/>
      <c r="H209" s="11">
        <f>C209+D209-E209-F209</f>
      </c>
      <c r="I209" s="11">
        <f>H209-G209</f>
      </c>
    </row>
    <row r="210" ht="21" customHeight="1" spans="1:9" x14ac:dyDescent="0.25">
      <c r="A210" s="8"/>
      <c r="B210" s="8"/>
      <c r="C210" s="11">
        <f>IFERROR(LOOKUP(2,1/(($B$3:$B209=B210)*($A$3:$A209&lt;A210)),$G$3:$G209),IFERROR(VLOOKUP(B210,'Inventory Master'!$A$3:$L$300,6,FALSE),0))</f>
      </c>
      <c r="D210" s="11">
        <f>SUMIFS(Purchases!$D:$D,Purchases!$A:$A,$A210,Purchases!$C:$C,$B210)</f>
      </c>
      <c r="E210" s="11">
        <f>SUMIFS('Sales Log'!$D:$D,'Sales Log'!$A:$A,$A210,'Sales Log'!$C:$C,$B210)</f>
      </c>
      <c r="F210" s="8"/>
      <c r="G210" s="8"/>
      <c r="H210" s="11">
        <f>C210+D210-E210-F210</f>
      </c>
      <c r="I210" s="11">
        <f>H210-G210</f>
      </c>
    </row>
    <row r="211" ht="21" customHeight="1" spans="1:9" x14ac:dyDescent="0.25">
      <c r="A211" s="8"/>
      <c r="B211" s="8"/>
      <c r="C211" s="11">
        <f>IFERROR(LOOKUP(2,1/(($B$3:$B210=B211)*($A$3:$A210&lt;A211)),$G$3:$G210),IFERROR(VLOOKUP(B211,'Inventory Master'!$A$3:$L$300,6,FALSE),0))</f>
      </c>
      <c r="D211" s="11">
        <f>SUMIFS(Purchases!$D:$D,Purchases!$A:$A,$A211,Purchases!$C:$C,$B211)</f>
      </c>
      <c r="E211" s="11">
        <f>SUMIFS('Sales Log'!$D:$D,'Sales Log'!$A:$A,$A211,'Sales Log'!$C:$C,$B211)</f>
      </c>
      <c r="F211" s="8"/>
      <c r="G211" s="8"/>
      <c r="H211" s="11">
        <f>C211+D211-E211-F211</f>
      </c>
      <c r="I211" s="11">
        <f>H211-G211</f>
      </c>
    </row>
    <row r="212" ht="21" customHeight="1" spans="1:9" x14ac:dyDescent="0.25">
      <c r="A212" s="8"/>
      <c r="B212" s="8"/>
      <c r="C212" s="11">
        <f>IFERROR(LOOKUP(2,1/(($B$3:$B211=B212)*($A$3:$A211&lt;A212)),$G$3:$G211),IFERROR(VLOOKUP(B212,'Inventory Master'!$A$3:$L$300,6,FALSE),0))</f>
      </c>
      <c r="D212" s="11">
        <f>SUMIFS(Purchases!$D:$D,Purchases!$A:$A,$A212,Purchases!$C:$C,$B212)</f>
      </c>
      <c r="E212" s="11">
        <f>SUMIFS('Sales Log'!$D:$D,'Sales Log'!$A:$A,$A212,'Sales Log'!$C:$C,$B212)</f>
      </c>
      <c r="F212" s="8"/>
      <c r="G212" s="8"/>
      <c r="H212" s="11">
        <f>C212+D212-E212-F212</f>
      </c>
      <c r="I212" s="11">
        <f>H212-G212</f>
      </c>
    </row>
    <row r="213" ht="21" customHeight="1" spans="1:9" x14ac:dyDescent="0.25">
      <c r="A213" s="8"/>
      <c r="B213" s="8"/>
      <c r="C213" s="11">
        <f>IFERROR(LOOKUP(2,1/(($B$3:$B212=B213)*($A$3:$A212&lt;A213)),$G$3:$G212),IFERROR(VLOOKUP(B213,'Inventory Master'!$A$3:$L$300,6,FALSE),0))</f>
      </c>
      <c r="D213" s="11">
        <f>SUMIFS(Purchases!$D:$D,Purchases!$A:$A,$A213,Purchases!$C:$C,$B213)</f>
      </c>
      <c r="E213" s="11">
        <f>SUMIFS('Sales Log'!$D:$D,'Sales Log'!$A:$A,$A213,'Sales Log'!$C:$C,$B213)</f>
      </c>
      <c r="F213" s="8"/>
      <c r="G213" s="8"/>
      <c r="H213" s="11">
        <f>C213+D213-E213-F213</f>
      </c>
      <c r="I213" s="11">
        <f>H213-G213</f>
      </c>
    </row>
    <row r="214" ht="21" customHeight="1" spans="1:9" x14ac:dyDescent="0.25">
      <c r="A214" s="8"/>
      <c r="B214" s="8"/>
      <c r="C214" s="11">
        <f>IFERROR(LOOKUP(2,1/(($B$3:$B213=B214)*($A$3:$A213&lt;A214)),$G$3:$G213),IFERROR(VLOOKUP(B214,'Inventory Master'!$A$3:$L$300,6,FALSE),0))</f>
      </c>
      <c r="D214" s="11">
        <f>SUMIFS(Purchases!$D:$D,Purchases!$A:$A,$A214,Purchases!$C:$C,$B214)</f>
      </c>
      <c r="E214" s="11">
        <f>SUMIFS('Sales Log'!$D:$D,'Sales Log'!$A:$A,$A214,'Sales Log'!$C:$C,$B214)</f>
      </c>
      <c r="F214" s="8"/>
      <c r="G214" s="8"/>
      <c r="H214" s="11">
        <f>C214+D214-E214-F214</f>
      </c>
      <c r="I214" s="11">
        <f>H214-G214</f>
      </c>
    </row>
    <row r="215" ht="21" customHeight="1" spans="1:9" x14ac:dyDescent="0.25">
      <c r="A215" s="8"/>
      <c r="B215" s="8"/>
      <c r="C215" s="11">
        <f>IFERROR(LOOKUP(2,1/(($B$3:$B214=B215)*($A$3:$A214&lt;A215)),$G$3:$G214),IFERROR(VLOOKUP(B215,'Inventory Master'!$A$3:$L$300,6,FALSE),0))</f>
      </c>
      <c r="D215" s="11">
        <f>SUMIFS(Purchases!$D:$D,Purchases!$A:$A,$A215,Purchases!$C:$C,$B215)</f>
      </c>
      <c r="E215" s="11">
        <f>SUMIFS('Sales Log'!$D:$D,'Sales Log'!$A:$A,$A215,'Sales Log'!$C:$C,$B215)</f>
      </c>
      <c r="F215" s="8"/>
      <c r="G215" s="8"/>
      <c r="H215" s="11">
        <f>C215+D215-E215-F215</f>
      </c>
      <c r="I215" s="11">
        <f>H215-G215</f>
      </c>
    </row>
    <row r="216" ht="21" customHeight="1" spans="1:9" x14ac:dyDescent="0.25">
      <c r="A216" s="8"/>
      <c r="B216" s="8"/>
      <c r="C216" s="11">
        <f>IFERROR(LOOKUP(2,1/(($B$3:$B215=B216)*($A$3:$A215&lt;A216)),$G$3:$G215),IFERROR(VLOOKUP(B216,'Inventory Master'!$A$3:$L$300,6,FALSE),0))</f>
      </c>
      <c r="D216" s="11">
        <f>SUMIFS(Purchases!$D:$D,Purchases!$A:$A,$A216,Purchases!$C:$C,$B216)</f>
      </c>
      <c r="E216" s="11">
        <f>SUMIFS('Sales Log'!$D:$D,'Sales Log'!$A:$A,$A216,'Sales Log'!$C:$C,$B216)</f>
      </c>
      <c r="F216" s="8"/>
      <c r="G216" s="8"/>
      <c r="H216" s="11">
        <f>C216+D216-E216-F216</f>
      </c>
      <c r="I216" s="11">
        <f>H216-G216</f>
      </c>
    </row>
    <row r="217" ht="21" customHeight="1" spans="1:9" x14ac:dyDescent="0.25">
      <c r="A217" s="8"/>
      <c r="B217" s="8"/>
      <c r="C217" s="11">
        <f>IFERROR(LOOKUP(2,1/(($B$3:$B216=B217)*($A$3:$A216&lt;A217)),$G$3:$G216),IFERROR(VLOOKUP(B217,'Inventory Master'!$A$3:$L$300,6,FALSE),0))</f>
      </c>
      <c r="D217" s="11">
        <f>SUMIFS(Purchases!$D:$D,Purchases!$A:$A,$A217,Purchases!$C:$C,$B217)</f>
      </c>
      <c r="E217" s="11">
        <f>SUMIFS('Sales Log'!$D:$D,'Sales Log'!$A:$A,$A217,'Sales Log'!$C:$C,$B217)</f>
      </c>
      <c r="F217" s="8"/>
      <c r="G217" s="8"/>
      <c r="H217" s="11">
        <f>C217+D217-E217-F217</f>
      </c>
      <c r="I217" s="11">
        <f>H217-G217</f>
      </c>
    </row>
    <row r="218" ht="21" customHeight="1" spans="1:9" x14ac:dyDescent="0.25">
      <c r="A218" s="8"/>
      <c r="B218" s="8"/>
      <c r="C218" s="11">
        <f>IFERROR(LOOKUP(2,1/(($B$3:$B217=B218)*($A$3:$A217&lt;A218)),$G$3:$G217),IFERROR(VLOOKUP(B218,'Inventory Master'!$A$3:$L$300,6,FALSE),0))</f>
      </c>
      <c r="D218" s="11">
        <f>SUMIFS(Purchases!$D:$D,Purchases!$A:$A,$A218,Purchases!$C:$C,$B218)</f>
      </c>
      <c r="E218" s="11">
        <f>SUMIFS('Sales Log'!$D:$D,'Sales Log'!$A:$A,$A218,'Sales Log'!$C:$C,$B218)</f>
      </c>
      <c r="F218" s="8"/>
      <c r="G218" s="8"/>
      <c r="H218" s="11">
        <f>C218+D218-E218-F218</f>
      </c>
      <c r="I218" s="11">
        <f>H218-G218</f>
      </c>
    </row>
    <row r="219" ht="21" customHeight="1" spans="1:9" x14ac:dyDescent="0.25">
      <c r="A219" s="8"/>
      <c r="B219" s="8"/>
      <c r="C219" s="11">
        <f>IFERROR(LOOKUP(2,1/(($B$3:$B218=B219)*($A$3:$A218&lt;A219)),$G$3:$G218),IFERROR(VLOOKUP(B219,'Inventory Master'!$A$3:$L$300,6,FALSE),0))</f>
      </c>
      <c r="D219" s="11">
        <f>SUMIFS(Purchases!$D:$D,Purchases!$A:$A,$A219,Purchases!$C:$C,$B219)</f>
      </c>
      <c r="E219" s="11">
        <f>SUMIFS('Sales Log'!$D:$D,'Sales Log'!$A:$A,$A219,'Sales Log'!$C:$C,$B219)</f>
      </c>
      <c r="F219" s="8"/>
      <c r="G219" s="8"/>
      <c r="H219" s="11">
        <f>C219+D219-E219-F219</f>
      </c>
      <c r="I219" s="11">
        <f>H219-G219</f>
      </c>
    </row>
    <row r="220" ht="21" customHeight="1" spans="1:9" x14ac:dyDescent="0.25">
      <c r="A220" s="8"/>
      <c r="B220" s="8"/>
      <c r="C220" s="11">
        <f>IFERROR(LOOKUP(2,1/(($B$3:$B219=B220)*($A$3:$A219&lt;A220)),$G$3:$G219),IFERROR(VLOOKUP(B220,'Inventory Master'!$A$3:$L$300,6,FALSE),0))</f>
      </c>
      <c r="D220" s="11">
        <f>SUMIFS(Purchases!$D:$D,Purchases!$A:$A,$A220,Purchases!$C:$C,$B220)</f>
      </c>
      <c r="E220" s="11">
        <f>SUMIFS('Sales Log'!$D:$D,'Sales Log'!$A:$A,$A220,'Sales Log'!$C:$C,$B220)</f>
      </c>
      <c r="F220" s="8"/>
      <c r="G220" s="8"/>
      <c r="H220" s="11">
        <f>C220+D220-E220-F220</f>
      </c>
      <c r="I220" s="11">
        <f>H220-G220</f>
      </c>
    </row>
    <row r="221" ht="21" customHeight="1" spans="1:9" x14ac:dyDescent="0.25">
      <c r="A221" s="8"/>
      <c r="B221" s="8"/>
      <c r="C221" s="11">
        <f>IFERROR(LOOKUP(2,1/(($B$3:$B220=B221)*($A$3:$A220&lt;A221)),$G$3:$G220),IFERROR(VLOOKUP(B221,'Inventory Master'!$A$3:$L$300,6,FALSE),0))</f>
      </c>
      <c r="D221" s="11">
        <f>SUMIFS(Purchases!$D:$D,Purchases!$A:$A,$A221,Purchases!$C:$C,$B221)</f>
      </c>
      <c r="E221" s="11">
        <f>SUMIFS('Sales Log'!$D:$D,'Sales Log'!$A:$A,$A221,'Sales Log'!$C:$C,$B221)</f>
      </c>
      <c r="F221" s="8"/>
      <c r="G221" s="8"/>
      <c r="H221" s="11">
        <f>C221+D221-E221-F221</f>
      </c>
      <c r="I221" s="11">
        <f>H221-G221</f>
      </c>
    </row>
    <row r="222" ht="21" customHeight="1" spans="1:9" x14ac:dyDescent="0.25">
      <c r="A222" s="8"/>
      <c r="B222" s="8"/>
      <c r="C222" s="11">
        <f>IFERROR(LOOKUP(2,1/(($B$3:$B221=B222)*($A$3:$A221&lt;A222)),$G$3:$G221),IFERROR(VLOOKUP(B222,'Inventory Master'!$A$3:$L$300,6,FALSE),0))</f>
      </c>
      <c r="D222" s="11">
        <f>SUMIFS(Purchases!$D:$D,Purchases!$A:$A,$A222,Purchases!$C:$C,$B222)</f>
      </c>
      <c r="E222" s="11">
        <f>SUMIFS('Sales Log'!$D:$D,'Sales Log'!$A:$A,$A222,'Sales Log'!$C:$C,$B222)</f>
      </c>
      <c r="F222" s="8"/>
      <c r="G222" s="8"/>
      <c r="H222" s="11">
        <f>C222+D222-E222-F222</f>
      </c>
      <c r="I222" s="11">
        <f>H222-G222</f>
      </c>
    </row>
    <row r="223" ht="21" customHeight="1" spans="1:9" x14ac:dyDescent="0.25">
      <c r="A223" s="8"/>
      <c r="B223" s="8"/>
      <c r="C223" s="11">
        <f>IFERROR(LOOKUP(2,1/(($B$3:$B222=B223)*($A$3:$A222&lt;A223)),$G$3:$G222),IFERROR(VLOOKUP(B223,'Inventory Master'!$A$3:$L$300,6,FALSE),0))</f>
      </c>
      <c r="D223" s="11">
        <f>SUMIFS(Purchases!$D:$D,Purchases!$A:$A,$A223,Purchases!$C:$C,$B223)</f>
      </c>
      <c r="E223" s="11">
        <f>SUMIFS('Sales Log'!$D:$D,'Sales Log'!$A:$A,$A223,'Sales Log'!$C:$C,$B223)</f>
      </c>
      <c r="F223" s="8"/>
      <c r="G223" s="8"/>
      <c r="H223" s="11">
        <f>C223+D223-E223-F223</f>
      </c>
      <c r="I223" s="11">
        <f>H223-G223</f>
      </c>
    </row>
    <row r="224" ht="21" customHeight="1" spans="1:9" x14ac:dyDescent="0.25">
      <c r="A224" s="8"/>
      <c r="B224" s="8"/>
      <c r="C224" s="11">
        <f>IFERROR(LOOKUP(2,1/(($B$3:$B223=B224)*($A$3:$A223&lt;A224)),$G$3:$G223),IFERROR(VLOOKUP(B224,'Inventory Master'!$A$3:$L$300,6,FALSE),0))</f>
      </c>
      <c r="D224" s="11">
        <f>SUMIFS(Purchases!$D:$D,Purchases!$A:$A,$A224,Purchases!$C:$C,$B224)</f>
      </c>
      <c r="E224" s="11">
        <f>SUMIFS('Sales Log'!$D:$D,'Sales Log'!$A:$A,$A224,'Sales Log'!$C:$C,$B224)</f>
      </c>
      <c r="F224" s="8"/>
      <c r="G224" s="8"/>
      <c r="H224" s="11">
        <f>C224+D224-E224-F224</f>
      </c>
      <c r="I224" s="11">
        <f>H224-G224</f>
      </c>
    </row>
    <row r="225" ht="21" customHeight="1" spans="1:9" x14ac:dyDescent="0.25">
      <c r="A225" s="8"/>
      <c r="B225" s="8"/>
      <c r="C225" s="11">
        <f>IFERROR(LOOKUP(2,1/(($B$3:$B224=B225)*($A$3:$A224&lt;A225)),$G$3:$G224),IFERROR(VLOOKUP(B225,'Inventory Master'!$A$3:$L$300,6,FALSE),0))</f>
      </c>
      <c r="D225" s="11">
        <f>SUMIFS(Purchases!$D:$D,Purchases!$A:$A,$A225,Purchases!$C:$C,$B225)</f>
      </c>
      <c r="E225" s="11">
        <f>SUMIFS('Sales Log'!$D:$D,'Sales Log'!$A:$A,$A225,'Sales Log'!$C:$C,$B225)</f>
      </c>
      <c r="F225" s="8"/>
      <c r="G225" s="8"/>
      <c r="H225" s="11">
        <f>C225+D225-E225-F225</f>
      </c>
      <c r="I225" s="11">
        <f>H225-G225</f>
      </c>
    </row>
    <row r="226" ht="21" customHeight="1" spans="1:9" x14ac:dyDescent="0.25">
      <c r="A226" s="8"/>
      <c r="B226" s="8"/>
      <c r="C226" s="11">
        <f>IFERROR(LOOKUP(2,1/(($B$3:$B225=B226)*($A$3:$A225&lt;A226)),$G$3:$G225),IFERROR(VLOOKUP(B226,'Inventory Master'!$A$3:$L$300,6,FALSE),0))</f>
      </c>
      <c r="D226" s="11">
        <f>SUMIFS(Purchases!$D:$D,Purchases!$A:$A,$A226,Purchases!$C:$C,$B226)</f>
      </c>
      <c r="E226" s="11">
        <f>SUMIFS('Sales Log'!$D:$D,'Sales Log'!$A:$A,$A226,'Sales Log'!$C:$C,$B226)</f>
      </c>
      <c r="F226" s="8"/>
      <c r="G226" s="8"/>
      <c r="H226" s="11">
        <f>C226+D226-E226-F226</f>
      </c>
      <c r="I226" s="11">
        <f>H226-G226</f>
      </c>
    </row>
    <row r="227" ht="21" customHeight="1" spans="1:9" x14ac:dyDescent="0.25">
      <c r="A227" s="8"/>
      <c r="B227" s="8"/>
      <c r="C227" s="11">
        <f>IFERROR(LOOKUP(2,1/(($B$3:$B226=B227)*($A$3:$A226&lt;A227)),$G$3:$G226),IFERROR(VLOOKUP(B227,'Inventory Master'!$A$3:$L$300,6,FALSE),0))</f>
      </c>
      <c r="D227" s="11">
        <f>SUMIFS(Purchases!$D:$D,Purchases!$A:$A,$A227,Purchases!$C:$C,$B227)</f>
      </c>
      <c r="E227" s="11">
        <f>SUMIFS('Sales Log'!$D:$D,'Sales Log'!$A:$A,$A227,'Sales Log'!$C:$C,$B227)</f>
      </c>
      <c r="F227" s="8"/>
      <c r="G227" s="8"/>
      <c r="H227" s="11">
        <f>C227+D227-E227-F227</f>
      </c>
      <c r="I227" s="11">
        <f>H227-G227</f>
      </c>
    </row>
    <row r="228" ht="21" customHeight="1" spans="1:9" x14ac:dyDescent="0.25">
      <c r="A228" s="8"/>
      <c r="B228" s="8"/>
      <c r="C228" s="11">
        <f>IFERROR(LOOKUP(2,1/(($B$3:$B227=B228)*($A$3:$A227&lt;A228)),$G$3:$G227),IFERROR(VLOOKUP(B228,'Inventory Master'!$A$3:$L$300,6,FALSE),0))</f>
      </c>
      <c r="D228" s="11">
        <f>SUMIFS(Purchases!$D:$D,Purchases!$A:$A,$A228,Purchases!$C:$C,$B228)</f>
      </c>
      <c r="E228" s="11">
        <f>SUMIFS('Sales Log'!$D:$D,'Sales Log'!$A:$A,$A228,'Sales Log'!$C:$C,$B228)</f>
      </c>
      <c r="F228" s="8"/>
      <c r="G228" s="8"/>
      <c r="H228" s="11">
        <f>C228+D228-E228-F228</f>
      </c>
      <c r="I228" s="11">
        <f>H228-G228</f>
      </c>
    </row>
    <row r="229" ht="21" customHeight="1" spans="1:9" x14ac:dyDescent="0.25">
      <c r="A229" s="8"/>
      <c r="B229" s="8"/>
      <c r="C229" s="11">
        <f>IFERROR(LOOKUP(2,1/(($B$3:$B228=B229)*($A$3:$A228&lt;A229)),$G$3:$G228),IFERROR(VLOOKUP(B229,'Inventory Master'!$A$3:$L$300,6,FALSE),0))</f>
      </c>
      <c r="D229" s="11">
        <f>SUMIFS(Purchases!$D:$D,Purchases!$A:$A,$A229,Purchases!$C:$C,$B229)</f>
      </c>
      <c r="E229" s="11">
        <f>SUMIFS('Sales Log'!$D:$D,'Sales Log'!$A:$A,$A229,'Sales Log'!$C:$C,$B229)</f>
      </c>
      <c r="F229" s="8"/>
      <c r="G229" s="8"/>
      <c r="H229" s="11">
        <f>C229+D229-E229-F229</f>
      </c>
      <c r="I229" s="11">
        <f>H229-G229</f>
      </c>
    </row>
    <row r="230" ht="21" customHeight="1" spans="1:9" x14ac:dyDescent="0.25">
      <c r="A230" s="8"/>
      <c r="B230" s="8"/>
      <c r="C230" s="11">
        <f>IFERROR(LOOKUP(2,1/(($B$3:$B229=B230)*($A$3:$A229&lt;A230)),$G$3:$G229),IFERROR(VLOOKUP(B230,'Inventory Master'!$A$3:$L$300,6,FALSE),0))</f>
      </c>
      <c r="D230" s="11">
        <f>SUMIFS(Purchases!$D:$D,Purchases!$A:$A,$A230,Purchases!$C:$C,$B230)</f>
      </c>
      <c r="E230" s="11">
        <f>SUMIFS('Sales Log'!$D:$D,'Sales Log'!$A:$A,$A230,'Sales Log'!$C:$C,$B230)</f>
      </c>
      <c r="F230" s="8"/>
      <c r="G230" s="8"/>
      <c r="H230" s="11">
        <f>C230+D230-E230-F230</f>
      </c>
      <c r="I230" s="11">
        <f>H230-G230</f>
      </c>
    </row>
    <row r="231" ht="21" customHeight="1" spans="1:9" x14ac:dyDescent="0.25">
      <c r="A231" s="8"/>
      <c r="B231" s="8"/>
      <c r="C231" s="11">
        <f>IFERROR(LOOKUP(2,1/(($B$3:$B230=B231)*($A$3:$A230&lt;A231)),$G$3:$G230),IFERROR(VLOOKUP(B231,'Inventory Master'!$A$3:$L$300,6,FALSE),0))</f>
      </c>
      <c r="D231" s="11">
        <f>SUMIFS(Purchases!$D:$D,Purchases!$A:$A,$A231,Purchases!$C:$C,$B231)</f>
      </c>
      <c r="E231" s="11">
        <f>SUMIFS('Sales Log'!$D:$D,'Sales Log'!$A:$A,$A231,'Sales Log'!$C:$C,$B231)</f>
      </c>
      <c r="F231" s="8"/>
      <c r="G231" s="8"/>
      <c r="H231" s="11">
        <f>C231+D231-E231-F231</f>
      </c>
      <c r="I231" s="11">
        <f>H231-G231</f>
      </c>
    </row>
    <row r="232" ht="21" customHeight="1" spans="1:9" x14ac:dyDescent="0.25">
      <c r="A232" s="8"/>
      <c r="B232" s="8"/>
      <c r="C232" s="11">
        <f>IFERROR(LOOKUP(2,1/(($B$3:$B231=B232)*($A$3:$A231&lt;A232)),$G$3:$G231),IFERROR(VLOOKUP(B232,'Inventory Master'!$A$3:$L$300,6,FALSE),0))</f>
      </c>
      <c r="D232" s="11">
        <f>SUMIFS(Purchases!$D:$D,Purchases!$A:$A,$A232,Purchases!$C:$C,$B232)</f>
      </c>
      <c r="E232" s="11">
        <f>SUMIFS('Sales Log'!$D:$D,'Sales Log'!$A:$A,$A232,'Sales Log'!$C:$C,$B232)</f>
      </c>
      <c r="F232" s="8"/>
      <c r="G232" s="8"/>
      <c r="H232" s="11">
        <f>C232+D232-E232-F232</f>
      </c>
      <c r="I232" s="11">
        <f>H232-G232</f>
      </c>
    </row>
    <row r="233" ht="21" customHeight="1" spans="1:9" x14ac:dyDescent="0.25">
      <c r="A233" s="8"/>
      <c r="B233" s="8"/>
      <c r="C233" s="11">
        <f>IFERROR(LOOKUP(2,1/(($B$3:$B232=B233)*($A$3:$A232&lt;A233)),$G$3:$G232),IFERROR(VLOOKUP(B233,'Inventory Master'!$A$3:$L$300,6,FALSE),0))</f>
      </c>
      <c r="D233" s="11">
        <f>SUMIFS(Purchases!$D:$D,Purchases!$A:$A,$A233,Purchases!$C:$C,$B233)</f>
      </c>
      <c r="E233" s="11">
        <f>SUMIFS('Sales Log'!$D:$D,'Sales Log'!$A:$A,$A233,'Sales Log'!$C:$C,$B233)</f>
      </c>
      <c r="F233" s="8"/>
      <c r="G233" s="8"/>
      <c r="H233" s="11">
        <f>C233+D233-E233-F233</f>
      </c>
      <c r="I233" s="11">
        <f>H233-G233</f>
      </c>
    </row>
    <row r="234" ht="21" customHeight="1" spans="1:9" x14ac:dyDescent="0.25">
      <c r="A234" s="8"/>
      <c r="B234" s="8"/>
      <c r="C234" s="11">
        <f>IFERROR(LOOKUP(2,1/(($B$3:$B233=B234)*($A$3:$A233&lt;A234)),$G$3:$G233),IFERROR(VLOOKUP(B234,'Inventory Master'!$A$3:$L$300,6,FALSE),0))</f>
      </c>
      <c r="D234" s="11">
        <f>SUMIFS(Purchases!$D:$D,Purchases!$A:$A,$A234,Purchases!$C:$C,$B234)</f>
      </c>
      <c r="E234" s="11">
        <f>SUMIFS('Sales Log'!$D:$D,'Sales Log'!$A:$A,$A234,'Sales Log'!$C:$C,$B234)</f>
      </c>
      <c r="F234" s="8"/>
      <c r="G234" s="8"/>
      <c r="H234" s="11">
        <f>C234+D234-E234-F234</f>
      </c>
      <c r="I234" s="11">
        <f>H234-G234</f>
      </c>
    </row>
    <row r="235" ht="21" customHeight="1" spans="1:9" x14ac:dyDescent="0.25">
      <c r="A235" s="8"/>
      <c r="B235" s="8"/>
      <c r="C235" s="11">
        <f>IFERROR(LOOKUP(2,1/(($B$3:$B234=B235)*($A$3:$A234&lt;A235)),$G$3:$G234),IFERROR(VLOOKUP(B235,'Inventory Master'!$A$3:$L$300,6,FALSE),0))</f>
      </c>
      <c r="D235" s="11">
        <f>SUMIFS(Purchases!$D:$D,Purchases!$A:$A,$A235,Purchases!$C:$C,$B235)</f>
      </c>
      <c r="E235" s="11">
        <f>SUMIFS('Sales Log'!$D:$D,'Sales Log'!$A:$A,$A235,'Sales Log'!$C:$C,$B235)</f>
      </c>
      <c r="F235" s="8"/>
      <c r="G235" s="8"/>
      <c r="H235" s="11">
        <f>C235+D235-E235-F235</f>
      </c>
      <c r="I235" s="11">
        <f>H235-G235</f>
      </c>
    </row>
    <row r="236" ht="21" customHeight="1" spans="1:9" x14ac:dyDescent="0.25">
      <c r="A236" s="8"/>
      <c r="B236" s="8"/>
      <c r="C236" s="11">
        <f>IFERROR(LOOKUP(2,1/(($B$3:$B235=B236)*($A$3:$A235&lt;A236)),$G$3:$G235),IFERROR(VLOOKUP(B236,'Inventory Master'!$A$3:$L$300,6,FALSE),0))</f>
      </c>
      <c r="D236" s="11">
        <f>SUMIFS(Purchases!$D:$D,Purchases!$A:$A,$A236,Purchases!$C:$C,$B236)</f>
      </c>
      <c r="E236" s="11">
        <f>SUMIFS('Sales Log'!$D:$D,'Sales Log'!$A:$A,$A236,'Sales Log'!$C:$C,$B236)</f>
      </c>
      <c r="F236" s="8"/>
      <c r="G236" s="8"/>
      <c r="H236" s="11">
        <f>C236+D236-E236-F236</f>
      </c>
      <c r="I236" s="11">
        <f>H236-G236</f>
      </c>
    </row>
    <row r="237" ht="21" customHeight="1" spans="1:9" x14ac:dyDescent="0.25">
      <c r="A237" s="8"/>
      <c r="B237" s="8"/>
      <c r="C237" s="11">
        <f>IFERROR(LOOKUP(2,1/(($B$3:$B236=B237)*($A$3:$A236&lt;A237)),$G$3:$G236),IFERROR(VLOOKUP(B237,'Inventory Master'!$A$3:$L$300,6,FALSE),0))</f>
      </c>
      <c r="D237" s="11">
        <f>SUMIFS(Purchases!$D:$D,Purchases!$A:$A,$A237,Purchases!$C:$C,$B237)</f>
      </c>
      <c r="E237" s="11">
        <f>SUMIFS('Sales Log'!$D:$D,'Sales Log'!$A:$A,$A237,'Sales Log'!$C:$C,$B237)</f>
      </c>
      <c r="F237" s="8"/>
      <c r="G237" s="8"/>
      <c r="H237" s="11">
        <f>C237+D237-E237-F237</f>
      </c>
      <c r="I237" s="11">
        <f>H237-G237</f>
      </c>
    </row>
    <row r="238" ht="21" customHeight="1" spans="1:9" x14ac:dyDescent="0.25">
      <c r="A238" s="8"/>
      <c r="B238" s="8"/>
      <c r="C238" s="11">
        <f>IFERROR(LOOKUP(2,1/(($B$3:$B237=B238)*($A$3:$A237&lt;A238)),$G$3:$G237),IFERROR(VLOOKUP(B238,'Inventory Master'!$A$3:$L$300,6,FALSE),0))</f>
      </c>
      <c r="D238" s="11">
        <f>SUMIFS(Purchases!$D:$D,Purchases!$A:$A,$A238,Purchases!$C:$C,$B238)</f>
      </c>
      <c r="E238" s="11">
        <f>SUMIFS('Sales Log'!$D:$D,'Sales Log'!$A:$A,$A238,'Sales Log'!$C:$C,$B238)</f>
      </c>
      <c r="F238" s="8"/>
      <c r="G238" s="8"/>
      <c r="H238" s="11">
        <f>C238+D238-E238-F238</f>
      </c>
      <c r="I238" s="11">
        <f>H238-G238</f>
      </c>
    </row>
    <row r="239" ht="21" customHeight="1" spans="1:9" x14ac:dyDescent="0.25">
      <c r="A239" s="8"/>
      <c r="B239" s="8"/>
      <c r="C239" s="11">
        <f>IFERROR(LOOKUP(2,1/(($B$3:$B238=B239)*($A$3:$A238&lt;A239)),$G$3:$G238),IFERROR(VLOOKUP(B239,'Inventory Master'!$A$3:$L$300,6,FALSE),0))</f>
      </c>
      <c r="D239" s="11">
        <f>SUMIFS(Purchases!$D:$D,Purchases!$A:$A,$A239,Purchases!$C:$C,$B239)</f>
      </c>
      <c r="E239" s="11">
        <f>SUMIFS('Sales Log'!$D:$D,'Sales Log'!$A:$A,$A239,'Sales Log'!$C:$C,$B239)</f>
      </c>
      <c r="F239" s="8"/>
      <c r="G239" s="8"/>
      <c r="H239" s="11">
        <f>C239+D239-E239-F239</f>
      </c>
      <c r="I239" s="11">
        <f>H239-G239</f>
      </c>
    </row>
    <row r="240" ht="21" customHeight="1" spans="1:9" x14ac:dyDescent="0.25">
      <c r="A240" s="8"/>
      <c r="B240" s="8"/>
      <c r="C240" s="11">
        <f>IFERROR(LOOKUP(2,1/(($B$3:$B239=B240)*($A$3:$A239&lt;A240)),$G$3:$G239),IFERROR(VLOOKUP(B240,'Inventory Master'!$A$3:$L$300,6,FALSE),0))</f>
      </c>
      <c r="D240" s="11">
        <f>SUMIFS(Purchases!$D:$D,Purchases!$A:$A,$A240,Purchases!$C:$C,$B240)</f>
      </c>
      <c r="E240" s="11">
        <f>SUMIFS('Sales Log'!$D:$D,'Sales Log'!$A:$A,$A240,'Sales Log'!$C:$C,$B240)</f>
      </c>
      <c r="F240" s="8"/>
      <c r="G240" s="8"/>
      <c r="H240" s="11">
        <f>C240+D240-E240-F240</f>
      </c>
      <c r="I240" s="11">
        <f>H240-G240</f>
      </c>
    </row>
    <row r="241" ht="21" customHeight="1" spans="1:9" x14ac:dyDescent="0.25">
      <c r="A241" s="8"/>
      <c r="B241" s="8"/>
      <c r="C241" s="11">
        <f>IFERROR(LOOKUP(2,1/(($B$3:$B240=B241)*($A$3:$A240&lt;A241)),$G$3:$G240),IFERROR(VLOOKUP(B241,'Inventory Master'!$A$3:$L$300,6,FALSE),0))</f>
      </c>
      <c r="D241" s="11">
        <f>SUMIFS(Purchases!$D:$D,Purchases!$A:$A,$A241,Purchases!$C:$C,$B241)</f>
      </c>
      <c r="E241" s="11">
        <f>SUMIFS('Sales Log'!$D:$D,'Sales Log'!$A:$A,$A241,'Sales Log'!$C:$C,$B241)</f>
      </c>
      <c r="F241" s="8"/>
      <c r="G241" s="8"/>
      <c r="H241" s="11">
        <f>C241+D241-E241-F241</f>
      </c>
      <c r="I241" s="11">
        <f>H241-G241</f>
      </c>
    </row>
    <row r="242" ht="21" customHeight="1" spans="1:9" x14ac:dyDescent="0.25">
      <c r="A242" s="8"/>
      <c r="B242" s="8"/>
      <c r="C242" s="11">
        <f>IFERROR(LOOKUP(2,1/(($B$3:$B241=B242)*($A$3:$A241&lt;A242)),$G$3:$G241),IFERROR(VLOOKUP(B242,'Inventory Master'!$A$3:$L$300,6,FALSE),0))</f>
      </c>
      <c r="D242" s="11">
        <f>SUMIFS(Purchases!$D:$D,Purchases!$A:$A,$A242,Purchases!$C:$C,$B242)</f>
      </c>
      <c r="E242" s="11">
        <f>SUMIFS('Sales Log'!$D:$D,'Sales Log'!$A:$A,$A242,'Sales Log'!$C:$C,$B242)</f>
      </c>
      <c r="F242" s="8"/>
      <c r="G242" s="8"/>
      <c r="H242" s="11">
        <f>C242+D242-E242-F242</f>
      </c>
      <c r="I242" s="11">
        <f>H242-G242</f>
      </c>
    </row>
    <row r="243" ht="21" customHeight="1" spans="1:9" x14ac:dyDescent="0.25">
      <c r="A243" s="8"/>
      <c r="B243" s="8"/>
      <c r="C243" s="11">
        <f>IFERROR(LOOKUP(2,1/(($B$3:$B242=B243)*($A$3:$A242&lt;A243)),$G$3:$G242),IFERROR(VLOOKUP(B243,'Inventory Master'!$A$3:$L$300,6,FALSE),0))</f>
      </c>
      <c r="D243" s="11">
        <f>SUMIFS(Purchases!$D:$D,Purchases!$A:$A,$A243,Purchases!$C:$C,$B243)</f>
      </c>
      <c r="E243" s="11">
        <f>SUMIFS('Sales Log'!$D:$D,'Sales Log'!$A:$A,$A243,'Sales Log'!$C:$C,$B243)</f>
      </c>
      <c r="F243" s="8"/>
      <c r="G243" s="8"/>
      <c r="H243" s="11">
        <f>C243+D243-E243-F243</f>
      </c>
      <c r="I243" s="11">
        <f>H243-G243</f>
      </c>
    </row>
    <row r="244" ht="21" customHeight="1" spans="1:9" x14ac:dyDescent="0.25">
      <c r="A244" s="8"/>
      <c r="B244" s="8"/>
      <c r="C244" s="11">
        <f>IFERROR(LOOKUP(2,1/(($B$3:$B243=B244)*($A$3:$A243&lt;A244)),$G$3:$G243),IFERROR(VLOOKUP(B244,'Inventory Master'!$A$3:$L$300,6,FALSE),0))</f>
      </c>
      <c r="D244" s="11">
        <f>SUMIFS(Purchases!$D:$D,Purchases!$A:$A,$A244,Purchases!$C:$C,$B244)</f>
      </c>
      <c r="E244" s="11">
        <f>SUMIFS('Sales Log'!$D:$D,'Sales Log'!$A:$A,$A244,'Sales Log'!$C:$C,$B244)</f>
      </c>
      <c r="F244" s="8"/>
      <c r="G244" s="8"/>
      <c r="H244" s="11">
        <f>C244+D244-E244-F244</f>
      </c>
      <c r="I244" s="11">
        <f>H244-G244</f>
      </c>
    </row>
    <row r="245" ht="21" customHeight="1" spans="1:9" x14ac:dyDescent="0.25">
      <c r="A245" s="8"/>
      <c r="B245" s="8"/>
      <c r="C245" s="11">
        <f>IFERROR(LOOKUP(2,1/(($B$3:$B244=B245)*($A$3:$A244&lt;A245)),$G$3:$G244),IFERROR(VLOOKUP(B245,'Inventory Master'!$A$3:$L$300,6,FALSE),0))</f>
      </c>
      <c r="D245" s="11">
        <f>SUMIFS(Purchases!$D:$D,Purchases!$A:$A,$A245,Purchases!$C:$C,$B245)</f>
      </c>
      <c r="E245" s="11">
        <f>SUMIFS('Sales Log'!$D:$D,'Sales Log'!$A:$A,$A245,'Sales Log'!$C:$C,$B245)</f>
      </c>
      <c r="F245" s="8"/>
      <c r="G245" s="8"/>
      <c r="H245" s="11">
        <f>C245+D245-E245-F245</f>
      </c>
      <c r="I245" s="11">
        <f>H245-G245</f>
      </c>
    </row>
    <row r="246" ht="21" customHeight="1" spans="1:9" x14ac:dyDescent="0.25">
      <c r="A246" s="8"/>
      <c r="B246" s="8"/>
      <c r="C246" s="11">
        <f>IFERROR(LOOKUP(2,1/(($B$3:$B245=B246)*($A$3:$A245&lt;A246)),$G$3:$G245),IFERROR(VLOOKUP(B246,'Inventory Master'!$A$3:$L$300,6,FALSE),0))</f>
      </c>
      <c r="D246" s="11">
        <f>SUMIFS(Purchases!$D:$D,Purchases!$A:$A,$A246,Purchases!$C:$C,$B246)</f>
      </c>
      <c r="E246" s="11">
        <f>SUMIFS('Sales Log'!$D:$D,'Sales Log'!$A:$A,$A246,'Sales Log'!$C:$C,$B246)</f>
      </c>
      <c r="F246" s="8"/>
      <c r="G246" s="8"/>
      <c r="H246" s="11">
        <f>C246+D246-E246-F246</f>
      </c>
      <c r="I246" s="11">
        <f>H246-G246</f>
      </c>
    </row>
    <row r="247" ht="21" customHeight="1" spans="1:9" x14ac:dyDescent="0.25">
      <c r="A247" s="8"/>
      <c r="B247" s="8"/>
      <c r="C247" s="11">
        <f>IFERROR(LOOKUP(2,1/(($B$3:$B246=B247)*($A$3:$A246&lt;A247)),$G$3:$G246),IFERROR(VLOOKUP(B247,'Inventory Master'!$A$3:$L$300,6,FALSE),0))</f>
      </c>
      <c r="D247" s="11">
        <f>SUMIFS(Purchases!$D:$D,Purchases!$A:$A,$A247,Purchases!$C:$C,$B247)</f>
      </c>
      <c r="E247" s="11">
        <f>SUMIFS('Sales Log'!$D:$D,'Sales Log'!$A:$A,$A247,'Sales Log'!$C:$C,$B247)</f>
      </c>
      <c r="F247" s="8"/>
      <c r="G247" s="8"/>
      <c r="H247" s="11">
        <f>C247+D247-E247-F247</f>
      </c>
      <c r="I247" s="11">
        <f>H247-G247</f>
      </c>
    </row>
    <row r="248" ht="21" customHeight="1" spans="1:9" x14ac:dyDescent="0.25">
      <c r="A248" s="8"/>
      <c r="B248" s="8"/>
      <c r="C248" s="11">
        <f>IFERROR(LOOKUP(2,1/(($B$3:$B247=B248)*($A$3:$A247&lt;A248)),$G$3:$G247),IFERROR(VLOOKUP(B248,'Inventory Master'!$A$3:$L$300,6,FALSE),0))</f>
      </c>
      <c r="D248" s="11">
        <f>SUMIFS(Purchases!$D:$D,Purchases!$A:$A,$A248,Purchases!$C:$C,$B248)</f>
      </c>
      <c r="E248" s="11">
        <f>SUMIFS('Sales Log'!$D:$D,'Sales Log'!$A:$A,$A248,'Sales Log'!$C:$C,$B248)</f>
      </c>
      <c r="F248" s="8"/>
      <c r="G248" s="8"/>
      <c r="H248" s="11">
        <f>C248+D248-E248-F248</f>
      </c>
      <c r="I248" s="11">
        <f>H248-G248</f>
      </c>
    </row>
    <row r="249" ht="21" customHeight="1" spans="1:9" x14ac:dyDescent="0.25">
      <c r="A249" s="8"/>
      <c r="B249" s="8"/>
      <c r="C249" s="11">
        <f>IFERROR(LOOKUP(2,1/(($B$3:$B248=B249)*($A$3:$A248&lt;A249)),$G$3:$G248),IFERROR(VLOOKUP(B249,'Inventory Master'!$A$3:$L$300,6,FALSE),0))</f>
      </c>
      <c r="D249" s="11">
        <f>SUMIFS(Purchases!$D:$D,Purchases!$A:$A,$A249,Purchases!$C:$C,$B249)</f>
      </c>
      <c r="E249" s="11">
        <f>SUMIFS('Sales Log'!$D:$D,'Sales Log'!$A:$A,$A249,'Sales Log'!$C:$C,$B249)</f>
      </c>
      <c r="F249" s="8"/>
      <c r="G249" s="8"/>
      <c r="H249" s="11">
        <f>C249+D249-E249-F249</f>
      </c>
      <c r="I249" s="11">
        <f>H249-G249</f>
      </c>
    </row>
    <row r="250" ht="21" customHeight="1" spans="1:9" x14ac:dyDescent="0.25">
      <c r="A250" s="8"/>
      <c r="B250" s="8"/>
      <c r="C250" s="11">
        <f>IFERROR(LOOKUP(2,1/(($B$3:$B249=B250)*($A$3:$A249&lt;A250)),$G$3:$G249),IFERROR(VLOOKUP(B250,'Inventory Master'!$A$3:$L$300,6,FALSE),0))</f>
      </c>
      <c r="D250" s="11">
        <f>SUMIFS(Purchases!$D:$D,Purchases!$A:$A,$A250,Purchases!$C:$C,$B250)</f>
      </c>
      <c r="E250" s="11">
        <f>SUMIFS('Sales Log'!$D:$D,'Sales Log'!$A:$A,$A250,'Sales Log'!$C:$C,$B250)</f>
      </c>
      <c r="F250" s="8"/>
      <c r="G250" s="8"/>
      <c r="H250" s="11">
        <f>C250+D250-E250-F250</f>
      </c>
      <c r="I250" s="11">
        <f>H250-G250</f>
      </c>
    </row>
    <row r="251" ht="21" customHeight="1" spans="1:9" x14ac:dyDescent="0.25">
      <c r="A251" s="8"/>
      <c r="B251" s="8"/>
      <c r="C251" s="11">
        <f>IFERROR(LOOKUP(2,1/(($B$3:$B250=B251)*($A$3:$A250&lt;A251)),$G$3:$G250),IFERROR(VLOOKUP(B251,'Inventory Master'!$A$3:$L$300,6,FALSE),0))</f>
      </c>
      <c r="D251" s="11">
        <f>SUMIFS(Purchases!$D:$D,Purchases!$A:$A,$A251,Purchases!$C:$C,$B251)</f>
      </c>
      <c r="E251" s="11">
        <f>SUMIFS('Sales Log'!$D:$D,'Sales Log'!$A:$A,$A251,'Sales Log'!$C:$C,$B251)</f>
      </c>
      <c r="F251" s="8"/>
      <c r="G251" s="8"/>
      <c r="H251" s="11">
        <f>C251+D251-E251-F251</f>
      </c>
      <c r="I251" s="11">
        <f>H251-G251</f>
      </c>
    </row>
    <row r="252" ht="21" customHeight="1" spans="1:9" x14ac:dyDescent="0.25">
      <c r="A252" s="8"/>
      <c r="B252" s="8"/>
      <c r="C252" s="11">
        <f>IFERROR(LOOKUP(2,1/(($B$3:$B251=B252)*($A$3:$A251&lt;A252)),$G$3:$G251),IFERROR(VLOOKUP(B252,'Inventory Master'!$A$3:$L$300,6,FALSE),0))</f>
      </c>
      <c r="D252" s="11">
        <f>SUMIFS(Purchases!$D:$D,Purchases!$A:$A,$A252,Purchases!$C:$C,$B252)</f>
      </c>
      <c r="E252" s="11">
        <f>SUMIFS('Sales Log'!$D:$D,'Sales Log'!$A:$A,$A252,'Sales Log'!$C:$C,$B252)</f>
      </c>
      <c r="F252" s="8"/>
      <c r="G252" s="8"/>
      <c r="H252" s="11">
        <f>C252+D252-E252-F252</f>
      </c>
      <c r="I252" s="11">
        <f>H252-G252</f>
      </c>
    </row>
    <row r="253" ht="21" customHeight="1" spans="1:9" x14ac:dyDescent="0.25">
      <c r="A253" s="8"/>
      <c r="B253" s="8"/>
      <c r="C253" s="11">
        <f>IFERROR(LOOKUP(2,1/(($B$3:$B252=B253)*($A$3:$A252&lt;A253)),$G$3:$G252),IFERROR(VLOOKUP(B253,'Inventory Master'!$A$3:$L$300,6,FALSE),0))</f>
      </c>
      <c r="D253" s="11">
        <f>SUMIFS(Purchases!$D:$D,Purchases!$A:$A,$A253,Purchases!$C:$C,$B253)</f>
      </c>
      <c r="E253" s="11">
        <f>SUMIFS('Sales Log'!$D:$D,'Sales Log'!$A:$A,$A253,'Sales Log'!$C:$C,$B253)</f>
      </c>
      <c r="F253" s="8"/>
      <c r="G253" s="8"/>
      <c r="H253" s="11">
        <f>C253+D253-E253-F253</f>
      </c>
      <c r="I253" s="11">
        <f>H253-G253</f>
      </c>
    </row>
    <row r="254" ht="21" customHeight="1" spans="1:9" x14ac:dyDescent="0.25">
      <c r="A254" s="8"/>
      <c r="B254" s="8"/>
      <c r="C254" s="11">
        <f>IFERROR(LOOKUP(2,1/(($B$3:$B253=B254)*($A$3:$A253&lt;A254)),$G$3:$G253),IFERROR(VLOOKUP(B254,'Inventory Master'!$A$3:$L$300,6,FALSE),0))</f>
      </c>
      <c r="D254" s="11">
        <f>SUMIFS(Purchases!$D:$D,Purchases!$A:$A,$A254,Purchases!$C:$C,$B254)</f>
      </c>
      <c r="E254" s="11">
        <f>SUMIFS('Sales Log'!$D:$D,'Sales Log'!$A:$A,$A254,'Sales Log'!$C:$C,$B254)</f>
      </c>
      <c r="F254" s="8"/>
      <c r="G254" s="8"/>
      <c r="H254" s="11">
        <f>C254+D254-E254-F254</f>
      </c>
      <c r="I254" s="11">
        <f>H254-G254</f>
      </c>
    </row>
    <row r="255" ht="21" customHeight="1" spans="1:9" x14ac:dyDescent="0.25">
      <c r="A255" s="8"/>
      <c r="B255" s="8"/>
      <c r="C255" s="11">
        <f>IFERROR(LOOKUP(2,1/(($B$3:$B254=B255)*($A$3:$A254&lt;A255)),$G$3:$G254),IFERROR(VLOOKUP(B255,'Inventory Master'!$A$3:$L$300,6,FALSE),0))</f>
      </c>
      <c r="D255" s="11">
        <f>SUMIFS(Purchases!$D:$D,Purchases!$A:$A,$A255,Purchases!$C:$C,$B255)</f>
      </c>
      <c r="E255" s="11">
        <f>SUMIFS('Sales Log'!$D:$D,'Sales Log'!$A:$A,$A255,'Sales Log'!$C:$C,$B255)</f>
      </c>
      <c r="F255" s="8"/>
      <c r="G255" s="8"/>
      <c r="H255" s="11">
        <f>C255+D255-E255-F255</f>
      </c>
      <c r="I255" s="11">
        <f>H255-G255</f>
      </c>
    </row>
    <row r="256" ht="21" customHeight="1" spans="1:9" x14ac:dyDescent="0.25">
      <c r="A256" s="8"/>
      <c r="B256" s="8"/>
      <c r="C256" s="11">
        <f>IFERROR(LOOKUP(2,1/(($B$3:$B255=B256)*($A$3:$A255&lt;A256)),$G$3:$G255),IFERROR(VLOOKUP(B256,'Inventory Master'!$A$3:$L$300,6,FALSE),0))</f>
      </c>
      <c r="D256" s="11">
        <f>SUMIFS(Purchases!$D:$D,Purchases!$A:$A,$A256,Purchases!$C:$C,$B256)</f>
      </c>
      <c r="E256" s="11">
        <f>SUMIFS('Sales Log'!$D:$D,'Sales Log'!$A:$A,$A256,'Sales Log'!$C:$C,$B256)</f>
      </c>
      <c r="F256" s="8"/>
      <c r="G256" s="8"/>
      <c r="H256" s="11">
        <f>C256+D256-E256-F256</f>
      </c>
      <c r="I256" s="11">
        <f>H256-G256</f>
      </c>
    </row>
    <row r="257" ht="21" customHeight="1" spans="1:9" x14ac:dyDescent="0.25">
      <c r="A257" s="8"/>
      <c r="B257" s="8"/>
      <c r="C257" s="11">
        <f>IFERROR(LOOKUP(2,1/(($B$3:$B256=B257)*($A$3:$A256&lt;A257)),$G$3:$G256),IFERROR(VLOOKUP(B257,'Inventory Master'!$A$3:$L$300,6,FALSE),0))</f>
      </c>
      <c r="D257" s="11">
        <f>SUMIFS(Purchases!$D:$D,Purchases!$A:$A,$A257,Purchases!$C:$C,$B257)</f>
      </c>
      <c r="E257" s="11">
        <f>SUMIFS('Sales Log'!$D:$D,'Sales Log'!$A:$A,$A257,'Sales Log'!$C:$C,$B257)</f>
      </c>
      <c r="F257" s="8"/>
      <c r="G257" s="8"/>
      <c r="H257" s="11">
        <f>C257+D257-E257-F257</f>
      </c>
      <c r="I257" s="11">
        <f>H257-G257</f>
      </c>
    </row>
    <row r="258" ht="21" customHeight="1" spans="1:9" x14ac:dyDescent="0.25">
      <c r="A258" s="8"/>
      <c r="B258" s="8"/>
      <c r="C258" s="11">
        <f>IFERROR(LOOKUP(2,1/(($B$3:$B257=B258)*($A$3:$A257&lt;A258)),$G$3:$G257),IFERROR(VLOOKUP(B258,'Inventory Master'!$A$3:$L$300,6,FALSE),0))</f>
      </c>
      <c r="D258" s="11">
        <f>SUMIFS(Purchases!$D:$D,Purchases!$A:$A,$A258,Purchases!$C:$C,$B258)</f>
      </c>
      <c r="E258" s="11">
        <f>SUMIFS('Sales Log'!$D:$D,'Sales Log'!$A:$A,$A258,'Sales Log'!$C:$C,$B258)</f>
      </c>
      <c r="F258" s="8"/>
      <c r="G258" s="8"/>
      <c r="H258" s="11">
        <f>C258+D258-E258-F258</f>
      </c>
      <c r="I258" s="11">
        <f>H258-G258</f>
      </c>
    </row>
    <row r="259" ht="21" customHeight="1" spans="1:9" x14ac:dyDescent="0.25">
      <c r="A259" s="8"/>
      <c r="B259" s="8"/>
      <c r="C259" s="11">
        <f>IFERROR(LOOKUP(2,1/(($B$3:$B258=B259)*($A$3:$A258&lt;A259)),$G$3:$G258),IFERROR(VLOOKUP(B259,'Inventory Master'!$A$3:$L$300,6,FALSE),0))</f>
      </c>
      <c r="D259" s="11">
        <f>SUMIFS(Purchases!$D:$D,Purchases!$A:$A,$A259,Purchases!$C:$C,$B259)</f>
      </c>
      <c r="E259" s="11">
        <f>SUMIFS('Sales Log'!$D:$D,'Sales Log'!$A:$A,$A259,'Sales Log'!$C:$C,$B259)</f>
      </c>
      <c r="F259" s="8"/>
      <c r="G259" s="8"/>
      <c r="H259" s="11">
        <f>C259+D259-E259-F259</f>
      </c>
      <c r="I259" s="11">
        <f>H259-G259</f>
      </c>
    </row>
    <row r="260" ht="21" customHeight="1" spans="1:9" x14ac:dyDescent="0.25">
      <c r="A260" s="8"/>
      <c r="B260" s="8"/>
      <c r="C260" s="11">
        <f>IFERROR(LOOKUP(2,1/(($B$3:$B259=B260)*($A$3:$A259&lt;A260)),$G$3:$G259),IFERROR(VLOOKUP(B260,'Inventory Master'!$A$3:$L$300,6,FALSE),0))</f>
      </c>
      <c r="D260" s="11">
        <f>SUMIFS(Purchases!$D:$D,Purchases!$A:$A,$A260,Purchases!$C:$C,$B260)</f>
      </c>
      <c r="E260" s="11">
        <f>SUMIFS('Sales Log'!$D:$D,'Sales Log'!$A:$A,$A260,'Sales Log'!$C:$C,$B260)</f>
      </c>
      <c r="F260" s="8"/>
      <c r="G260" s="8"/>
      <c r="H260" s="11">
        <f>C260+D260-E260-F260</f>
      </c>
      <c r="I260" s="11">
        <f>H260-G260</f>
      </c>
    </row>
    <row r="261" ht="21" customHeight="1" spans="1:9" x14ac:dyDescent="0.25">
      <c r="A261" s="8"/>
      <c r="B261" s="8"/>
      <c r="C261" s="11">
        <f>IFERROR(LOOKUP(2,1/(($B$3:$B260=B261)*($A$3:$A260&lt;A261)),$G$3:$G260),IFERROR(VLOOKUP(B261,'Inventory Master'!$A$3:$L$300,6,FALSE),0))</f>
      </c>
      <c r="D261" s="11">
        <f>SUMIFS(Purchases!$D:$D,Purchases!$A:$A,$A261,Purchases!$C:$C,$B261)</f>
      </c>
      <c r="E261" s="11">
        <f>SUMIFS('Sales Log'!$D:$D,'Sales Log'!$A:$A,$A261,'Sales Log'!$C:$C,$B261)</f>
      </c>
      <c r="F261" s="8"/>
      <c r="G261" s="8"/>
      <c r="H261" s="11">
        <f>C261+D261-E261-F261</f>
      </c>
      <c r="I261" s="11">
        <f>H261-G261</f>
      </c>
    </row>
    <row r="262" ht="21" customHeight="1" spans="1:9" x14ac:dyDescent="0.25">
      <c r="A262" s="8"/>
      <c r="B262" s="8"/>
      <c r="C262" s="11">
        <f>IFERROR(LOOKUP(2,1/(($B$3:$B261=B262)*($A$3:$A261&lt;A262)),$G$3:$G261),IFERROR(VLOOKUP(B262,'Inventory Master'!$A$3:$L$300,6,FALSE),0))</f>
      </c>
      <c r="D262" s="11">
        <f>SUMIFS(Purchases!$D:$D,Purchases!$A:$A,$A262,Purchases!$C:$C,$B262)</f>
      </c>
      <c r="E262" s="11">
        <f>SUMIFS('Sales Log'!$D:$D,'Sales Log'!$A:$A,$A262,'Sales Log'!$C:$C,$B262)</f>
      </c>
      <c r="F262" s="8"/>
      <c r="G262" s="8"/>
      <c r="H262" s="11">
        <f>C262+D262-E262-F262</f>
      </c>
      <c r="I262" s="11">
        <f>H262-G262</f>
      </c>
    </row>
    <row r="263" ht="21" customHeight="1" spans="1:9" x14ac:dyDescent="0.25">
      <c r="A263" s="8"/>
      <c r="B263" s="8"/>
      <c r="C263" s="11">
        <f>IFERROR(LOOKUP(2,1/(($B$3:$B262=B263)*($A$3:$A262&lt;A263)),$G$3:$G262),IFERROR(VLOOKUP(B263,'Inventory Master'!$A$3:$L$300,6,FALSE),0))</f>
      </c>
      <c r="D263" s="11">
        <f>SUMIFS(Purchases!$D:$D,Purchases!$A:$A,$A263,Purchases!$C:$C,$B263)</f>
      </c>
      <c r="E263" s="11">
        <f>SUMIFS('Sales Log'!$D:$D,'Sales Log'!$A:$A,$A263,'Sales Log'!$C:$C,$B263)</f>
      </c>
      <c r="F263" s="8"/>
      <c r="G263" s="8"/>
      <c r="H263" s="11">
        <f>C263+D263-E263-F263</f>
      </c>
      <c r="I263" s="11">
        <f>H263-G263</f>
      </c>
    </row>
    <row r="264" ht="21" customHeight="1" spans="1:9" x14ac:dyDescent="0.25">
      <c r="A264" s="8"/>
      <c r="B264" s="8"/>
      <c r="C264" s="11">
        <f>IFERROR(LOOKUP(2,1/(($B$3:$B263=B264)*($A$3:$A263&lt;A264)),$G$3:$G263),IFERROR(VLOOKUP(B264,'Inventory Master'!$A$3:$L$300,6,FALSE),0))</f>
      </c>
      <c r="D264" s="11">
        <f>SUMIFS(Purchases!$D:$D,Purchases!$A:$A,$A264,Purchases!$C:$C,$B264)</f>
      </c>
      <c r="E264" s="11">
        <f>SUMIFS('Sales Log'!$D:$D,'Sales Log'!$A:$A,$A264,'Sales Log'!$C:$C,$B264)</f>
      </c>
      <c r="F264" s="8"/>
      <c r="G264" s="8"/>
      <c r="H264" s="11">
        <f>C264+D264-E264-F264</f>
      </c>
      <c r="I264" s="11">
        <f>H264-G264</f>
      </c>
    </row>
    <row r="265" ht="21" customHeight="1" spans="1:9" x14ac:dyDescent="0.25">
      <c r="A265" s="8"/>
      <c r="B265" s="8"/>
      <c r="C265" s="11">
        <f>IFERROR(LOOKUP(2,1/(($B$3:$B264=B265)*($A$3:$A264&lt;A265)),$G$3:$G264),IFERROR(VLOOKUP(B265,'Inventory Master'!$A$3:$L$300,6,FALSE),0))</f>
      </c>
      <c r="D265" s="11">
        <f>SUMIFS(Purchases!$D:$D,Purchases!$A:$A,$A265,Purchases!$C:$C,$B265)</f>
      </c>
      <c r="E265" s="11">
        <f>SUMIFS('Sales Log'!$D:$D,'Sales Log'!$A:$A,$A265,'Sales Log'!$C:$C,$B265)</f>
      </c>
      <c r="F265" s="8"/>
      <c r="G265" s="8"/>
      <c r="H265" s="11">
        <f>C265+D265-E265-F265</f>
      </c>
      <c r="I265" s="11">
        <f>H265-G265</f>
      </c>
    </row>
    <row r="266" ht="21" customHeight="1" spans="1:9" x14ac:dyDescent="0.25">
      <c r="A266" s="8"/>
      <c r="B266" s="8"/>
      <c r="C266" s="11">
        <f>IFERROR(LOOKUP(2,1/(($B$3:$B265=B266)*($A$3:$A265&lt;A266)),$G$3:$G265),IFERROR(VLOOKUP(B266,'Inventory Master'!$A$3:$L$300,6,FALSE),0))</f>
      </c>
      <c r="D266" s="11">
        <f>SUMIFS(Purchases!$D:$D,Purchases!$A:$A,$A266,Purchases!$C:$C,$B266)</f>
      </c>
      <c r="E266" s="11">
        <f>SUMIFS('Sales Log'!$D:$D,'Sales Log'!$A:$A,$A266,'Sales Log'!$C:$C,$B266)</f>
      </c>
      <c r="F266" s="8"/>
      <c r="G266" s="8"/>
      <c r="H266" s="11">
        <f>C266+D266-E266-F266</f>
      </c>
      <c r="I266" s="11">
        <f>H266-G266</f>
      </c>
    </row>
    <row r="267" ht="21" customHeight="1" spans="1:9" x14ac:dyDescent="0.25">
      <c r="A267" s="8"/>
      <c r="B267" s="8"/>
      <c r="C267" s="11">
        <f>IFERROR(LOOKUP(2,1/(($B$3:$B266=B267)*($A$3:$A266&lt;A267)),$G$3:$G266),IFERROR(VLOOKUP(B267,'Inventory Master'!$A$3:$L$300,6,FALSE),0))</f>
      </c>
      <c r="D267" s="11">
        <f>SUMIFS(Purchases!$D:$D,Purchases!$A:$A,$A267,Purchases!$C:$C,$B267)</f>
      </c>
      <c r="E267" s="11">
        <f>SUMIFS('Sales Log'!$D:$D,'Sales Log'!$A:$A,$A267,'Sales Log'!$C:$C,$B267)</f>
      </c>
      <c r="F267" s="8"/>
      <c r="G267" s="8"/>
      <c r="H267" s="11">
        <f>C267+D267-E267-F267</f>
      </c>
      <c r="I267" s="11">
        <f>H267-G267</f>
      </c>
    </row>
    <row r="268" ht="21" customHeight="1" spans="1:9" x14ac:dyDescent="0.25">
      <c r="A268" s="8"/>
      <c r="B268" s="8"/>
      <c r="C268" s="11">
        <f>IFERROR(LOOKUP(2,1/(($B$3:$B267=B268)*($A$3:$A267&lt;A268)),$G$3:$G267),IFERROR(VLOOKUP(B268,'Inventory Master'!$A$3:$L$300,6,FALSE),0))</f>
      </c>
      <c r="D268" s="11">
        <f>SUMIFS(Purchases!$D:$D,Purchases!$A:$A,$A268,Purchases!$C:$C,$B268)</f>
      </c>
      <c r="E268" s="11">
        <f>SUMIFS('Sales Log'!$D:$D,'Sales Log'!$A:$A,$A268,'Sales Log'!$C:$C,$B268)</f>
      </c>
      <c r="F268" s="8"/>
      <c r="G268" s="8"/>
      <c r="H268" s="11">
        <f>C268+D268-E268-F268</f>
      </c>
      <c r="I268" s="11">
        <f>H268-G268</f>
      </c>
    </row>
    <row r="269" ht="21" customHeight="1" spans="1:9" x14ac:dyDescent="0.25">
      <c r="A269" s="8"/>
      <c r="B269" s="8"/>
      <c r="C269" s="11">
        <f>IFERROR(LOOKUP(2,1/(($B$3:$B268=B269)*($A$3:$A268&lt;A269)),$G$3:$G268),IFERROR(VLOOKUP(B269,'Inventory Master'!$A$3:$L$300,6,FALSE),0))</f>
      </c>
      <c r="D269" s="11">
        <f>SUMIFS(Purchases!$D:$D,Purchases!$A:$A,$A269,Purchases!$C:$C,$B269)</f>
      </c>
      <c r="E269" s="11">
        <f>SUMIFS('Sales Log'!$D:$D,'Sales Log'!$A:$A,$A269,'Sales Log'!$C:$C,$B269)</f>
      </c>
      <c r="F269" s="8"/>
      <c r="G269" s="8"/>
      <c r="H269" s="11">
        <f>C269+D269-E269-F269</f>
      </c>
      <c r="I269" s="11">
        <f>H269-G269</f>
      </c>
    </row>
    <row r="270" ht="21" customHeight="1" spans="1:9" x14ac:dyDescent="0.25">
      <c r="A270" s="8"/>
      <c r="B270" s="8"/>
      <c r="C270" s="11">
        <f>IFERROR(LOOKUP(2,1/(($B$3:$B269=B270)*($A$3:$A269&lt;A270)),$G$3:$G269),IFERROR(VLOOKUP(B270,'Inventory Master'!$A$3:$L$300,6,FALSE),0))</f>
      </c>
      <c r="D270" s="11">
        <f>SUMIFS(Purchases!$D:$D,Purchases!$A:$A,$A270,Purchases!$C:$C,$B270)</f>
      </c>
      <c r="E270" s="11">
        <f>SUMIFS('Sales Log'!$D:$D,'Sales Log'!$A:$A,$A270,'Sales Log'!$C:$C,$B270)</f>
      </c>
      <c r="F270" s="8"/>
      <c r="G270" s="8"/>
      <c r="H270" s="11">
        <f>C270+D270-E270-F270</f>
      </c>
      <c r="I270" s="11">
        <f>H270-G270</f>
      </c>
    </row>
    <row r="271" ht="21" customHeight="1" spans="1:9" x14ac:dyDescent="0.25">
      <c r="A271" s="8"/>
      <c r="B271" s="8"/>
      <c r="C271" s="11">
        <f>IFERROR(LOOKUP(2,1/(($B$3:$B270=B271)*($A$3:$A270&lt;A271)),$G$3:$G270),IFERROR(VLOOKUP(B271,'Inventory Master'!$A$3:$L$300,6,FALSE),0))</f>
      </c>
      <c r="D271" s="11">
        <f>SUMIFS(Purchases!$D:$D,Purchases!$A:$A,$A271,Purchases!$C:$C,$B271)</f>
      </c>
      <c r="E271" s="11">
        <f>SUMIFS('Sales Log'!$D:$D,'Sales Log'!$A:$A,$A271,'Sales Log'!$C:$C,$B271)</f>
      </c>
      <c r="F271" s="8"/>
      <c r="G271" s="8"/>
      <c r="H271" s="11">
        <f>C271+D271-E271-F271</f>
      </c>
      <c r="I271" s="11">
        <f>H271-G271</f>
      </c>
    </row>
    <row r="272" ht="21" customHeight="1" spans="1:9" x14ac:dyDescent="0.25">
      <c r="A272" s="8"/>
      <c r="B272" s="8"/>
      <c r="C272" s="11">
        <f>IFERROR(LOOKUP(2,1/(($B$3:$B271=B272)*($A$3:$A271&lt;A272)),$G$3:$G271),IFERROR(VLOOKUP(B272,'Inventory Master'!$A$3:$L$300,6,FALSE),0))</f>
      </c>
      <c r="D272" s="11">
        <f>SUMIFS(Purchases!$D:$D,Purchases!$A:$A,$A272,Purchases!$C:$C,$B272)</f>
      </c>
      <c r="E272" s="11">
        <f>SUMIFS('Sales Log'!$D:$D,'Sales Log'!$A:$A,$A272,'Sales Log'!$C:$C,$B272)</f>
      </c>
      <c r="F272" s="8"/>
      <c r="G272" s="8"/>
      <c r="H272" s="11">
        <f>C272+D272-E272-F272</f>
      </c>
      <c r="I272" s="11">
        <f>H272-G272</f>
      </c>
    </row>
    <row r="273" ht="21" customHeight="1" spans="1:9" x14ac:dyDescent="0.25">
      <c r="A273" s="8"/>
      <c r="B273" s="8"/>
      <c r="C273" s="11">
        <f>IFERROR(LOOKUP(2,1/(($B$3:$B272=B273)*($A$3:$A272&lt;A273)),$G$3:$G272),IFERROR(VLOOKUP(B273,'Inventory Master'!$A$3:$L$300,6,FALSE),0))</f>
      </c>
      <c r="D273" s="11">
        <f>SUMIFS(Purchases!$D:$D,Purchases!$A:$A,$A273,Purchases!$C:$C,$B273)</f>
      </c>
      <c r="E273" s="11">
        <f>SUMIFS('Sales Log'!$D:$D,'Sales Log'!$A:$A,$A273,'Sales Log'!$C:$C,$B273)</f>
      </c>
      <c r="F273" s="8"/>
      <c r="G273" s="8"/>
      <c r="H273" s="11">
        <f>C273+D273-E273-F273</f>
      </c>
      <c r="I273" s="11">
        <f>H273-G273</f>
      </c>
    </row>
    <row r="274" ht="21" customHeight="1" spans="1:9" x14ac:dyDescent="0.25">
      <c r="A274" s="8"/>
      <c r="B274" s="8"/>
      <c r="C274" s="11">
        <f>IFERROR(LOOKUP(2,1/(($B$3:$B273=B274)*($A$3:$A273&lt;A274)),$G$3:$G273),IFERROR(VLOOKUP(B274,'Inventory Master'!$A$3:$L$300,6,FALSE),0))</f>
      </c>
      <c r="D274" s="11">
        <f>SUMIFS(Purchases!$D:$D,Purchases!$A:$A,$A274,Purchases!$C:$C,$B274)</f>
      </c>
      <c r="E274" s="11">
        <f>SUMIFS('Sales Log'!$D:$D,'Sales Log'!$A:$A,$A274,'Sales Log'!$C:$C,$B274)</f>
      </c>
      <c r="F274" s="8"/>
      <c r="G274" s="8"/>
      <c r="H274" s="11">
        <f>C274+D274-E274-F274</f>
      </c>
      <c r="I274" s="11">
        <f>H274-G274</f>
      </c>
    </row>
    <row r="275" ht="21" customHeight="1" spans="1:9" x14ac:dyDescent="0.25">
      <c r="A275" s="8"/>
      <c r="B275" s="8"/>
      <c r="C275" s="11">
        <f>IFERROR(LOOKUP(2,1/(($B$3:$B274=B275)*($A$3:$A274&lt;A275)),$G$3:$G274),IFERROR(VLOOKUP(B275,'Inventory Master'!$A$3:$L$300,6,FALSE),0))</f>
      </c>
      <c r="D275" s="11">
        <f>SUMIFS(Purchases!$D:$D,Purchases!$A:$A,$A275,Purchases!$C:$C,$B275)</f>
      </c>
      <c r="E275" s="11">
        <f>SUMIFS('Sales Log'!$D:$D,'Sales Log'!$A:$A,$A275,'Sales Log'!$C:$C,$B275)</f>
      </c>
      <c r="F275" s="8"/>
      <c r="G275" s="8"/>
      <c r="H275" s="11">
        <f>C275+D275-E275-F275</f>
      </c>
      <c r="I275" s="11">
        <f>H275-G275</f>
      </c>
    </row>
    <row r="276" ht="21" customHeight="1" spans="1:9" x14ac:dyDescent="0.25">
      <c r="A276" s="8"/>
      <c r="B276" s="8"/>
      <c r="C276" s="11">
        <f>IFERROR(LOOKUP(2,1/(($B$3:$B275=B276)*($A$3:$A275&lt;A276)),$G$3:$G275),IFERROR(VLOOKUP(B276,'Inventory Master'!$A$3:$L$300,6,FALSE),0))</f>
      </c>
      <c r="D276" s="11">
        <f>SUMIFS(Purchases!$D:$D,Purchases!$A:$A,$A276,Purchases!$C:$C,$B276)</f>
      </c>
      <c r="E276" s="11">
        <f>SUMIFS('Sales Log'!$D:$D,'Sales Log'!$A:$A,$A276,'Sales Log'!$C:$C,$B276)</f>
      </c>
      <c r="F276" s="8"/>
      <c r="G276" s="8"/>
      <c r="H276" s="11">
        <f>C276+D276-E276-F276</f>
      </c>
      <c r="I276" s="11">
        <f>H276-G276</f>
      </c>
    </row>
    <row r="277" ht="21" customHeight="1" spans="1:9" x14ac:dyDescent="0.25">
      <c r="A277" s="8"/>
      <c r="B277" s="8"/>
      <c r="C277" s="11">
        <f>IFERROR(LOOKUP(2,1/(($B$3:$B276=B277)*($A$3:$A276&lt;A277)),$G$3:$G276),IFERROR(VLOOKUP(B277,'Inventory Master'!$A$3:$L$300,6,FALSE),0))</f>
      </c>
      <c r="D277" s="11">
        <f>SUMIFS(Purchases!$D:$D,Purchases!$A:$A,$A277,Purchases!$C:$C,$B277)</f>
      </c>
      <c r="E277" s="11">
        <f>SUMIFS('Sales Log'!$D:$D,'Sales Log'!$A:$A,$A277,'Sales Log'!$C:$C,$B277)</f>
      </c>
      <c r="F277" s="8"/>
      <c r="G277" s="8"/>
      <c r="H277" s="11">
        <f>C277+D277-E277-F277</f>
      </c>
      <c r="I277" s="11">
        <f>H277-G277</f>
      </c>
    </row>
    <row r="278" ht="21" customHeight="1" spans="1:9" x14ac:dyDescent="0.25">
      <c r="A278" s="8"/>
      <c r="B278" s="8"/>
      <c r="C278" s="11">
        <f>IFERROR(LOOKUP(2,1/(($B$3:$B277=B278)*($A$3:$A277&lt;A278)),$G$3:$G277),IFERROR(VLOOKUP(B278,'Inventory Master'!$A$3:$L$300,6,FALSE),0))</f>
      </c>
      <c r="D278" s="11">
        <f>SUMIFS(Purchases!$D:$D,Purchases!$A:$A,$A278,Purchases!$C:$C,$B278)</f>
      </c>
      <c r="E278" s="11">
        <f>SUMIFS('Sales Log'!$D:$D,'Sales Log'!$A:$A,$A278,'Sales Log'!$C:$C,$B278)</f>
      </c>
      <c r="F278" s="8"/>
      <c r="G278" s="8"/>
      <c r="H278" s="11">
        <f>C278+D278-E278-F278</f>
      </c>
      <c r="I278" s="11">
        <f>H278-G278</f>
      </c>
    </row>
    <row r="279" ht="21" customHeight="1" spans="1:9" x14ac:dyDescent="0.25">
      <c r="A279" s="8"/>
      <c r="B279" s="8"/>
      <c r="C279" s="11">
        <f>IFERROR(LOOKUP(2,1/(($B$3:$B278=B279)*($A$3:$A278&lt;A279)),$G$3:$G278),IFERROR(VLOOKUP(B279,'Inventory Master'!$A$3:$L$300,6,FALSE),0))</f>
      </c>
      <c r="D279" s="11">
        <f>SUMIFS(Purchases!$D:$D,Purchases!$A:$A,$A279,Purchases!$C:$C,$B279)</f>
      </c>
      <c r="E279" s="11">
        <f>SUMIFS('Sales Log'!$D:$D,'Sales Log'!$A:$A,$A279,'Sales Log'!$C:$C,$B279)</f>
      </c>
      <c r="F279" s="8"/>
      <c r="G279" s="8"/>
      <c r="H279" s="11">
        <f>C279+D279-E279-F279</f>
      </c>
      <c r="I279" s="11">
        <f>H279-G279</f>
      </c>
    </row>
    <row r="280" ht="21" customHeight="1" spans="1:9" x14ac:dyDescent="0.25">
      <c r="A280" s="8"/>
      <c r="B280" s="8"/>
      <c r="C280" s="11">
        <f>IFERROR(LOOKUP(2,1/(($B$3:$B279=B280)*($A$3:$A279&lt;A280)),$G$3:$G279),IFERROR(VLOOKUP(B280,'Inventory Master'!$A$3:$L$300,6,FALSE),0))</f>
      </c>
      <c r="D280" s="11">
        <f>SUMIFS(Purchases!$D:$D,Purchases!$A:$A,$A280,Purchases!$C:$C,$B280)</f>
      </c>
      <c r="E280" s="11">
        <f>SUMIFS('Sales Log'!$D:$D,'Sales Log'!$A:$A,$A280,'Sales Log'!$C:$C,$B280)</f>
      </c>
      <c r="F280" s="8"/>
      <c r="G280" s="8"/>
      <c r="H280" s="11">
        <f>C280+D280-E280-F280</f>
      </c>
      <c r="I280" s="11">
        <f>H280-G280</f>
      </c>
    </row>
    <row r="281" ht="21" customHeight="1" spans="1:9" x14ac:dyDescent="0.25">
      <c r="A281" s="8"/>
      <c r="B281" s="8"/>
      <c r="C281" s="11">
        <f>IFERROR(LOOKUP(2,1/(($B$3:$B280=B281)*($A$3:$A280&lt;A281)),$G$3:$G280),IFERROR(VLOOKUP(B281,'Inventory Master'!$A$3:$L$300,6,FALSE),0))</f>
      </c>
      <c r="D281" s="11">
        <f>SUMIFS(Purchases!$D:$D,Purchases!$A:$A,$A281,Purchases!$C:$C,$B281)</f>
      </c>
      <c r="E281" s="11">
        <f>SUMIFS('Sales Log'!$D:$D,'Sales Log'!$A:$A,$A281,'Sales Log'!$C:$C,$B281)</f>
      </c>
      <c r="F281" s="8"/>
      <c r="G281" s="8"/>
      <c r="H281" s="11">
        <f>C281+D281-E281-F281</f>
      </c>
      <c r="I281" s="11">
        <f>H281-G281</f>
      </c>
    </row>
    <row r="282" ht="21" customHeight="1" spans="1:9" x14ac:dyDescent="0.25">
      <c r="A282" s="8"/>
      <c r="B282" s="8"/>
      <c r="C282" s="11">
        <f>IFERROR(LOOKUP(2,1/(($B$3:$B281=B282)*($A$3:$A281&lt;A282)),$G$3:$G281),IFERROR(VLOOKUP(B282,'Inventory Master'!$A$3:$L$300,6,FALSE),0))</f>
      </c>
      <c r="D282" s="11">
        <f>SUMIFS(Purchases!$D:$D,Purchases!$A:$A,$A282,Purchases!$C:$C,$B282)</f>
      </c>
      <c r="E282" s="11">
        <f>SUMIFS('Sales Log'!$D:$D,'Sales Log'!$A:$A,$A282,'Sales Log'!$C:$C,$B282)</f>
      </c>
      <c r="F282" s="8"/>
      <c r="G282" s="8"/>
      <c r="H282" s="11">
        <f>C282+D282-E282-F282</f>
      </c>
      <c r="I282" s="11">
        <f>H282-G282</f>
      </c>
    </row>
    <row r="283" ht="21" customHeight="1" spans="1:9" x14ac:dyDescent="0.25">
      <c r="A283" s="8"/>
      <c r="B283" s="8"/>
      <c r="C283" s="11">
        <f>IFERROR(LOOKUP(2,1/(($B$3:$B282=B283)*($A$3:$A282&lt;A283)),$G$3:$G282),IFERROR(VLOOKUP(B283,'Inventory Master'!$A$3:$L$300,6,FALSE),0))</f>
      </c>
      <c r="D283" s="11">
        <f>SUMIFS(Purchases!$D:$D,Purchases!$A:$A,$A283,Purchases!$C:$C,$B283)</f>
      </c>
      <c r="E283" s="11">
        <f>SUMIFS('Sales Log'!$D:$D,'Sales Log'!$A:$A,$A283,'Sales Log'!$C:$C,$B283)</f>
      </c>
      <c r="F283" s="8"/>
      <c r="G283" s="8"/>
      <c r="H283" s="11">
        <f>C283+D283-E283-F283</f>
      </c>
      <c r="I283" s="11">
        <f>H283-G283</f>
      </c>
    </row>
    <row r="284" ht="21" customHeight="1" spans="1:9" x14ac:dyDescent="0.25">
      <c r="A284" s="8"/>
      <c r="B284" s="8"/>
      <c r="C284" s="11">
        <f>IFERROR(LOOKUP(2,1/(($B$3:$B283=B284)*($A$3:$A283&lt;A284)),$G$3:$G283),IFERROR(VLOOKUP(B284,'Inventory Master'!$A$3:$L$300,6,FALSE),0))</f>
      </c>
      <c r="D284" s="11">
        <f>SUMIFS(Purchases!$D:$D,Purchases!$A:$A,$A284,Purchases!$C:$C,$B284)</f>
      </c>
      <c r="E284" s="11">
        <f>SUMIFS('Sales Log'!$D:$D,'Sales Log'!$A:$A,$A284,'Sales Log'!$C:$C,$B284)</f>
      </c>
      <c r="F284" s="8"/>
      <c r="G284" s="8"/>
      <c r="H284" s="11">
        <f>C284+D284-E284-F284</f>
      </c>
      <c r="I284" s="11">
        <f>H284-G284</f>
      </c>
    </row>
    <row r="285" ht="21" customHeight="1" spans="1:9" x14ac:dyDescent="0.25">
      <c r="A285" s="8"/>
      <c r="B285" s="8"/>
      <c r="C285" s="11">
        <f>IFERROR(LOOKUP(2,1/(($B$3:$B284=B285)*($A$3:$A284&lt;A285)),$G$3:$G284),IFERROR(VLOOKUP(B285,'Inventory Master'!$A$3:$L$300,6,FALSE),0))</f>
      </c>
      <c r="D285" s="11">
        <f>SUMIFS(Purchases!$D:$D,Purchases!$A:$A,$A285,Purchases!$C:$C,$B285)</f>
      </c>
      <c r="E285" s="11">
        <f>SUMIFS('Sales Log'!$D:$D,'Sales Log'!$A:$A,$A285,'Sales Log'!$C:$C,$B285)</f>
      </c>
      <c r="F285" s="8"/>
      <c r="G285" s="8"/>
      <c r="H285" s="11">
        <f>C285+D285-E285-F285</f>
      </c>
      <c r="I285" s="11">
        <f>H285-G285</f>
      </c>
    </row>
    <row r="286" ht="21" customHeight="1" spans="1:9" x14ac:dyDescent="0.25">
      <c r="A286" s="8"/>
      <c r="B286" s="8"/>
      <c r="C286" s="11">
        <f>IFERROR(LOOKUP(2,1/(($B$3:$B285=B286)*($A$3:$A285&lt;A286)),$G$3:$G285),IFERROR(VLOOKUP(B286,'Inventory Master'!$A$3:$L$300,6,FALSE),0))</f>
      </c>
      <c r="D286" s="11">
        <f>SUMIFS(Purchases!$D:$D,Purchases!$A:$A,$A286,Purchases!$C:$C,$B286)</f>
      </c>
      <c r="E286" s="11">
        <f>SUMIFS('Sales Log'!$D:$D,'Sales Log'!$A:$A,$A286,'Sales Log'!$C:$C,$B286)</f>
      </c>
      <c r="F286" s="8"/>
      <c r="G286" s="8"/>
      <c r="H286" s="11">
        <f>C286+D286-E286-F286</f>
      </c>
      <c r="I286" s="11">
        <f>H286-G286</f>
      </c>
    </row>
    <row r="287" ht="21" customHeight="1" spans="1:9" x14ac:dyDescent="0.25">
      <c r="A287" s="8"/>
      <c r="B287" s="8"/>
      <c r="C287" s="11">
        <f>IFERROR(LOOKUP(2,1/(($B$3:$B286=B287)*($A$3:$A286&lt;A287)),$G$3:$G286),IFERROR(VLOOKUP(B287,'Inventory Master'!$A$3:$L$300,6,FALSE),0))</f>
      </c>
      <c r="D287" s="11">
        <f>SUMIFS(Purchases!$D:$D,Purchases!$A:$A,$A287,Purchases!$C:$C,$B287)</f>
      </c>
      <c r="E287" s="11">
        <f>SUMIFS('Sales Log'!$D:$D,'Sales Log'!$A:$A,$A287,'Sales Log'!$C:$C,$B287)</f>
      </c>
      <c r="F287" s="8"/>
      <c r="G287" s="8"/>
      <c r="H287" s="11">
        <f>C287+D287-E287-F287</f>
      </c>
      <c r="I287" s="11">
        <f>H287-G287</f>
      </c>
    </row>
    <row r="288" ht="21" customHeight="1" spans="1:9" x14ac:dyDescent="0.25">
      <c r="A288" s="8"/>
      <c r="B288" s="8"/>
      <c r="C288" s="11">
        <f>IFERROR(LOOKUP(2,1/(($B$3:$B287=B288)*($A$3:$A287&lt;A288)),$G$3:$G287),IFERROR(VLOOKUP(B288,'Inventory Master'!$A$3:$L$300,6,FALSE),0))</f>
      </c>
      <c r="D288" s="11">
        <f>SUMIFS(Purchases!$D:$D,Purchases!$A:$A,$A288,Purchases!$C:$C,$B288)</f>
      </c>
      <c r="E288" s="11">
        <f>SUMIFS('Sales Log'!$D:$D,'Sales Log'!$A:$A,$A288,'Sales Log'!$C:$C,$B288)</f>
      </c>
      <c r="F288" s="8"/>
      <c r="G288" s="8"/>
      <c r="H288" s="11">
        <f>C288+D288-E288-F288</f>
      </c>
      <c r="I288" s="11">
        <f>H288-G288</f>
      </c>
    </row>
    <row r="289" ht="21" customHeight="1" spans="1:9" x14ac:dyDescent="0.25">
      <c r="A289" s="8"/>
      <c r="B289" s="8"/>
      <c r="C289" s="11">
        <f>IFERROR(LOOKUP(2,1/(($B$3:$B288=B289)*($A$3:$A288&lt;A289)),$G$3:$G288),IFERROR(VLOOKUP(B289,'Inventory Master'!$A$3:$L$300,6,FALSE),0))</f>
      </c>
      <c r="D289" s="11">
        <f>SUMIFS(Purchases!$D:$D,Purchases!$A:$A,$A289,Purchases!$C:$C,$B289)</f>
      </c>
      <c r="E289" s="11">
        <f>SUMIFS('Sales Log'!$D:$D,'Sales Log'!$A:$A,$A289,'Sales Log'!$C:$C,$B289)</f>
      </c>
      <c r="F289" s="8"/>
      <c r="G289" s="8"/>
      <c r="H289" s="11">
        <f>C289+D289-E289-F289</f>
      </c>
      <c r="I289" s="11">
        <f>H289-G289</f>
      </c>
    </row>
    <row r="290" ht="21" customHeight="1" spans="1:9" x14ac:dyDescent="0.25">
      <c r="A290" s="8"/>
      <c r="B290" s="8"/>
      <c r="C290" s="11">
        <f>IFERROR(LOOKUP(2,1/(($B$3:$B289=B290)*($A$3:$A289&lt;A290)),$G$3:$G289),IFERROR(VLOOKUP(B290,'Inventory Master'!$A$3:$L$300,6,FALSE),0))</f>
      </c>
      <c r="D290" s="11">
        <f>SUMIFS(Purchases!$D:$D,Purchases!$A:$A,$A290,Purchases!$C:$C,$B290)</f>
      </c>
      <c r="E290" s="11">
        <f>SUMIFS('Sales Log'!$D:$D,'Sales Log'!$A:$A,$A290,'Sales Log'!$C:$C,$B290)</f>
      </c>
      <c r="F290" s="8"/>
      <c r="G290" s="8"/>
      <c r="H290" s="11">
        <f>C290+D290-E290-F290</f>
      </c>
      <c r="I290" s="11">
        <f>H290-G290</f>
      </c>
    </row>
    <row r="291" ht="21" customHeight="1" spans="1:9" x14ac:dyDescent="0.25">
      <c r="A291" s="8"/>
      <c r="B291" s="8"/>
      <c r="C291" s="11">
        <f>IFERROR(LOOKUP(2,1/(($B$3:$B290=B291)*($A$3:$A290&lt;A291)),$G$3:$G290),IFERROR(VLOOKUP(B291,'Inventory Master'!$A$3:$L$300,6,FALSE),0))</f>
      </c>
      <c r="D291" s="11">
        <f>SUMIFS(Purchases!$D:$D,Purchases!$A:$A,$A291,Purchases!$C:$C,$B291)</f>
      </c>
      <c r="E291" s="11">
        <f>SUMIFS('Sales Log'!$D:$D,'Sales Log'!$A:$A,$A291,'Sales Log'!$C:$C,$B291)</f>
      </c>
      <c r="F291" s="8"/>
      <c r="G291" s="8"/>
      <c r="H291" s="11">
        <f>C291+D291-E291-F291</f>
      </c>
      <c r="I291" s="11">
        <f>H291-G291</f>
      </c>
    </row>
    <row r="292" ht="21" customHeight="1" spans="1:9" x14ac:dyDescent="0.25">
      <c r="A292" s="8"/>
      <c r="B292" s="8"/>
      <c r="C292" s="11">
        <f>IFERROR(LOOKUP(2,1/(($B$3:$B291=B292)*($A$3:$A291&lt;A292)),$G$3:$G291),IFERROR(VLOOKUP(B292,'Inventory Master'!$A$3:$L$300,6,FALSE),0))</f>
      </c>
      <c r="D292" s="11">
        <f>SUMIFS(Purchases!$D:$D,Purchases!$A:$A,$A292,Purchases!$C:$C,$B292)</f>
      </c>
      <c r="E292" s="11">
        <f>SUMIFS('Sales Log'!$D:$D,'Sales Log'!$A:$A,$A292,'Sales Log'!$C:$C,$B292)</f>
      </c>
      <c r="F292" s="8"/>
      <c r="G292" s="8"/>
      <c r="H292" s="11">
        <f>C292+D292-E292-F292</f>
      </c>
      <c r="I292" s="11">
        <f>H292-G292</f>
      </c>
    </row>
    <row r="293" ht="21" customHeight="1" spans="1:9" x14ac:dyDescent="0.25">
      <c r="A293" s="8"/>
      <c r="B293" s="8"/>
      <c r="C293" s="11">
        <f>IFERROR(LOOKUP(2,1/(($B$3:$B292=B293)*($A$3:$A292&lt;A293)),$G$3:$G292),IFERROR(VLOOKUP(B293,'Inventory Master'!$A$3:$L$300,6,FALSE),0))</f>
      </c>
      <c r="D293" s="11">
        <f>SUMIFS(Purchases!$D:$D,Purchases!$A:$A,$A293,Purchases!$C:$C,$B293)</f>
      </c>
      <c r="E293" s="11">
        <f>SUMIFS('Sales Log'!$D:$D,'Sales Log'!$A:$A,$A293,'Sales Log'!$C:$C,$B293)</f>
      </c>
      <c r="F293" s="8"/>
      <c r="G293" s="8"/>
      <c r="H293" s="11">
        <f>C293+D293-E293-F293</f>
      </c>
      <c r="I293" s="11">
        <f>H293-G293</f>
      </c>
    </row>
    <row r="294" ht="21" customHeight="1" spans="1:9" x14ac:dyDescent="0.25">
      <c r="A294" s="8"/>
      <c r="B294" s="8"/>
      <c r="C294" s="11">
        <f>IFERROR(LOOKUP(2,1/(($B$3:$B293=B294)*($A$3:$A293&lt;A294)),$G$3:$G293),IFERROR(VLOOKUP(B294,'Inventory Master'!$A$3:$L$300,6,FALSE),0))</f>
      </c>
      <c r="D294" s="11">
        <f>SUMIFS(Purchases!$D:$D,Purchases!$A:$A,$A294,Purchases!$C:$C,$B294)</f>
      </c>
      <c r="E294" s="11">
        <f>SUMIFS('Sales Log'!$D:$D,'Sales Log'!$A:$A,$A294,'Sales Log'!$C:$C,$B294)</f>
      </c>
      <c r="F294" s="8"/>
      <c r="G294" s="8"/>
      <c r="H294" s="11">
        <f>C294+D294-E294-F294</f>
      </c>
      <c r="I294" s="11">
        <f>H294-G294</f>
      </c>
    </row>
    <row r="295" ht="21" customHeight="1" spans="1:9" x14ac:dyDescent="0.25">
      <c r="A295" s="8"/>
      <c r="B295" s="8"/>
      <c r="C295" s="11">
        <f>IFERROR(LOOKUP(2,1/(($B$3:$B294=B295)*($A$3:$A294&lt;A295)),$G$3:$G294),IFERROR(VLOOKUP(B295,'Inventory Master'!$A$3:$L$300,6,FALSE),0))</f>
      </c>
      <c r="D295" s="11">
        <f>SUMIFS(Purchases!$D:$D,Purchases!$A:$A,$A295,Purchases!$C:$C,$B295)</f>
      </c>
      <c r="E295" s="11">
        <f>SUMIFS('Sales Log'!$D:$D,'Sales Log'!$A:$A,$A295,'Sales Log'!$C:$C,$B295)</f>
      </c>
      <c r="F295" s="8"/>
      <c r="G295" s="8"/>
      <c r="H295" s="11">
        <f>C295+D295-E295-F295</f>
      </c>
      <c r="I295" s="11">
        <f>H295-G295</f>
      </c>
    </row>
    <row r="296" ht="21" customHeight="1" spans="1:9" x14ac:dyDescent="0.25">
      <c r="A296" s="8"/>
      <c r="B296" s="8"/>
      <c r="C296" s="11">
        <f>IFERROR(LOOKUP(2,1/(($B$3:$B295=B296)*($A$3:$A295&lt;A296)),$G$3:$G295),IFERROR(VLOOKUP(B296,'Inventory Master'!$A$3:$L$300,6,FALSE),0))</f>
      </c>
      <c r="D296" s="11">
        <f>SUMIFS(Purchases!$D:$D,Purchases!$A:$A,$A296,Purchases!$C:$C,$B296)</f>
      </c>
      <c r="E296" s="11">
        <f>SUMIFS('Sales Log'!$D:$D,'Sales Log'!$A:$A,$A296,'Sales Log'!$C:$C,$B296)</f>
      </c>
      <c r="F296" s="8"/>
      <c r="G296" s="8"/>
      <c r="H296" s="11">
        <f>C296+D296-E296-F296</f>
      </c>
      <c r="I296" s="11">
        <f>H296-G296</f>
      </c>
    </row>
    <row r="297" ht="21" customHeight="1" spans="1:9" x14ac:dyDescent="0.25">
      <c r="A297" s="8"/>
      <c r="B297" s="8"/>
      <c r="C297" s="11">
        <f>IFERROR(LOOKUP(2,1/(($B$3:$B296=B297)*($A$3:$A296&lt;A297)),$G$3:$G296),IFERROR(VLOOKUP(B297,'Inventory Master'!$A$3:$L$300,6,FALSE),0))</f>
      </c>
      <c r="D297" s="11">
        <f>SUMIFS(Purchases!$D:$D,Purchases!$A:$A,$A297,Purchases!$C:$C,$B297)</f>
      </c>
      <c r="E297" s="11">
        <f>SUMIFS('Sales Log'!$D:$D,'Sales Log'!$A:$A,$A297,'Sales Log'!$C:$C,$B297)</f>
      </c>
      <c r="F297" s="8"/>
      <c r="G297" s="8"/>
      <c r="H297" s="11">
        <f>C297+D297-E297-F297</f>
      </c>
      <c r="I297" s="11">
        <f>H297-G297</f>
      </c>
    </row>
    <row r="298" ht="21" customHeight="1" spans="1:9" x14ac:dyDescent="0.25">
      <c r="A298" s="8"/>
      <c r="B298" s="8"/>
      <c r="C298" s="11">
        <f>IFERROR(LOOKUP(2,1/(($B$3:$B297=B298)*($A$3:$A297&lt;A298)),$G$3:$G297),IFERROR(VLOOKUP(B298,'Inventory Master'!$A$3:$L$300,6,FALSE),0))</f>
      </c>
      <c r="D298" s="11">
        <f>SUMIFS(Purchases!$D:$D,Purchases!$A:$A,$A298,Purchases!$C:$C,$B298)</f>
      </c>
      <c r="E298" s="11">
        <f>SUMIFS('Sales Log'!$D:$D,'Sales Log'!$A:$A,$A298,'Sales Log'!$C:$C,$B298)</f>
      </c>
      <c r="F298" s="8"/>
      <c r="G298" s="8"/>
      <c r="H298" s="11">
        <f>C298+D298-E298-F298</f>
      </c>
      <c r="I298" s="11">
        <f>H298-G298</f>
      </c>
    </row>
    <row r="299" ht="21" customHeight="1" spans="1:9" x14ac:dyDescent="0.25">
      <c r="A299" s="8"/>
      <c r="B299" s="8"/>
      <c r="C299" s="11">
        <f>IFERROR(LOOKUP(2,1/(($B$3:$B298=B299)*($A$3:$A298&lt;A299)),$G$3:$G298),IFERROR(VLOOKUP(B299,'Inventory Master'!$A$3:$L$300,6,FALSE),0))</f>
      </c>
      <c r="D299" s="11">
        <f>SUMIFS(Purchases!$D:$D,Purchases!$A:$A,$A299,Purchases!$C:$C,$B299)</f>
      </c>
      <c r="E299" s="11">
        <f>SUMIFS('Sales Log'!$D:$D,'Sales Log'!$A:$A,$A299,'Sales Log'!$C:$C,$B299)</f>
      </c>
      <c r="F299" s="8"/>
      <c r="G299" s="8"/>
      <c r="H299" s="11">
        <f>C299+D299-E299-F299</f>
      </c>
      <c r="I299" s="11">
        <f>H299-G299</f>
      </c>
    </row>
    <row r="300" ht="21" customHeight="1" spans="1:9" x14ac:dyDescent="0.25">
      <c r="A300" s="8"/>
      <c r="B300" s="8"/>
      <c r="C300" s="11">
        <f>IFERROR(LOOKUP(2,1/(($B$3:$B299=B300)*($A$3:$A299&lt;A300)),$G$3:$G299),IFERROR(VLOOKUP(B300,'Inventory Master'!$A$3:$L$300,6,FALSE),0))</f>
      </c>
      <c r="D300" s="11">
        <f>SUMIFS(Purchases!$D:$D,Purchases!$A:$A,$A300,Purchases!$C:$C,$B300)</f>
      </c>
      <c r="E300" s="11">
        <f>SUMIFS('Sales Log'!$D:$D,'Sales Log'!$A:$A,$A300,'Sales Log'!$C:$C,$B300)</f>
      </c>
      <c r="F300" s="8"/>
      <c r="G300" s="8"/>
      <c r="H300" s="11">
        <f>C300+D300-E300-F300</f>
      </c>
      <c r="I300" s="11">
        <f>H300-G300</f>
      </c>
    </row>
    <row r="301" ht="21" customHeight="1" spans="1:9" x14ac:dyDescent="0.25">
      <c r="A301" s="8"/>
      <c r="B301" s="8"/>
      <c r="C301" s="11">
        <f>IFERROR(LOOKUP(2,1/(($B$3:$B300=B301)*($A$3:$A300&lt;A301)),$G$3:$G300),IFERROR(VLOOKUP(B301,'Inventory Master'!$A$3:$L$300,6,FALSE),0))</f>
      </c>
      <c r="D301" s="11">
        <f>SUMIFS(Purchases!$D:$D,Purchases!$A:$A,$A301,Purchases!$C:$C,$B301)</f>
      </c>
      <c r="E301" s="11">
        <f>SUMIFS('Sales Log'!$D:$D,'Sales Log'!$A:$A,$A301,'Sales Log'!$C:$C,$B301)</f>
      </c>
      <c r="F301" s="8"/>
      <c r="G301" s="8"/>
      <c r="H301" s="11">
        <f>C301+D301-E301-F301</f>
      </c>
      <c r="I301" s="11">
        <f>H301-G301</f>
      </c>
    </row>
    <row r="302" ht="21" customHeight="1" spans="1:9" x14ac:dyDescent="0.25">
      <c r="A302" s="8"/>
      <c r="B302" s="8"/>
      <c r="C302" s="11">
        <f>IFERROR(LOOKUP(2,1/(($B$3:$B301=B302)*($A$3:$A301&lt;A302)),$G$3:$G301),IFERROR(VLOOKUP(B302,'Inventory Master'!$A$3:$L$300,6,FALSE),0))</f>
      </c>
      <c r="D302" s="11">
        <f>SUMIFS(Purchases!$D:$D,Purchases!$A:$A,$A302,Purchases!$C:$C,$B302)</f>
      </c>
      <c r="E302" s="11">
        <f>SUMIFS('Sales Log'!$D:$D,'Sales Log'!$A:$A,$A302,'Sales Log'!$C:$C,$B302)</f>
      </c>
      <c r="F302" s="8"/>
      <c r="G302" s="8"/>
      <c r="H302" s="11">
        <f>C302+D302-E302-F302</f>
      </c>
      <c r="I302" s="11">
        <f>H302-G302</f>
      </c>
    </row>
    <row r="303" ht="21" customHeight="1" spans="1:9" x14ac:dyDescent="0.25">
      <c r="A303" s="8"/>
      <c r="B303" s="8"/>
      <c r="C303" s="11">
        <f>IFERROR(LOOKUP(2,1/(($B$3:$B302=B303)*($A$3:$A302&lt;A303)),$G$3:$G302),IFERROR(VLOOKUP(B303,'Inventory Master'!$A$3:$L$300,6,FALSE),0))</f>
      </c>
      <c r="D303" s="11">
        <f>SUMIFS(Purchases!$D:$D,Purchases!$A:$A,$A303,Purchases!$C:$C,$B303)</f>
      </c>
      <c r="E303" s="11">
        <f>SUMIFS('Sales Log'!$D:$D,'Sales Log'!$A:$A,$A303,'Sales Log'!$C:$C,$B303)</f>
      </c>
      <c r="F303" s="8"/>
      <c r="G303" s="8"/>
      <c r="H303" s="11">
        <f>C303+D303-E303-F303</f>
      </c>
      <c r="I303" s="11">
        <f>H303-G303</f>
      </c>
    </row>
    <row r="304" ht="21" customHeight="1" spans="1:9" x14ac:dyDescent="0.25">
      <c r="A304" s="8"/>
      <c r="B304" s="8"/>
      <c r="C304" s="11">
        <f>IFERROR(LOOKUP(2,1/(($B$3:$B303=B304)*($A$3:$A303&lt;A304)),$G$3:$G303),IFERROR(VLOOKUP(B304,'Inventory Master'!$A$3:$L$300,6,FALSE),0))</f>
      </c>
      <c r="D304" s="11">
        <f>SUMIFS(Purchases!$D:$D,Purchases!$A:$A,$A304,Purchases!$C:$C,$B304)</f>
      </c>
      <c r="E304" s="11">
        <f>SUMIFS('Sales Log'!$D:$D,'Sales Log'!$A:$A,$A304,'Sales Log'!$C:$C,$B304)</f>
      </c>
      <c r="F304" s="8"/>
      <c r="G304" s="8"/>
      <c r="H304" s="11">
        <f>C304+D304-E304-F304</f>
      </c>
      <c r="I304" s="11">
        <f>H304-G304</f>
      </c>
    </row>
    <row r="305" ht="21" customHeight="1" spans="1:9" x14ac:dyDescent="0.25">
      <c r="A305" s="8"/>
      <c r="B305" s="8"/>
      <c r="C305" s="11">
        <f>IFERROR(LOOKUP(2,1/(($B$3:$B304=B305)*($A$3:$A304&lt;A305)),$G$3:$G304),IFERROR(VLOOKUP(B305,'Inventory Master'!$A$3:$L$300,6,FALSE),0))</f>
      </c>
      <c r="D305" s="11">
        <f>SUMIFS(Purchases!$D:$D,Purchases!$A:$A,$A305,Purchases!$C:$C,$B305)</f>
      </c>
      <c r="E305" s="11">
        <f>SUMIFS('Sales Log'!$D:$D,'Sales Log'!$A:$A,$A305,'Sales Log'!$C:$C,$B305)</f>
      </c>
      <c r="F305" s="8"/>
      <c r="G305" s="8"/>
      <c r="H305" s="11">
        <f>C305+D305-E305-F305</f>
      </c>
      <c r="I305" s="11">
        <f>H305-G305</f>
      </c>
    </row>
    <row r="306" ht="21" customHeight="1" spans="1:9" x14ac:dyDescent="0.25">
      <c r="A306" s="8"/>
      <c r="B306" s="8"/>
      <c r="C306" s="11">
        <f>IFERROR(LOOKUP(2,1/(($B$3:$B305=B306)*($A$3:$A305&lt;A306)),$G$3:$G305),IFERROR(VLOOKUP(B306,'Inventory Master'!$A$3:$L$300,6,FALSE),0))</f>
      </c>
      <c r="D306" s="11">
        <f>SUMIFS(Purchases!$D:$D,Purchases!$A:$A,$A306,Purchases!$C:$C,$B306)</f>
      </c>
      <c r="E306" s="11">
        <f>SUMIFS('Sales Log'!$D:$D,'Sales Log'!$A:$A,$A306,'Sales Log'!$C:$C,$B306)</f>
      </c>
      <c r="F306" s="8"/>
      <c r="G306" s="8"/>
      <c r="H306" s="11">
        <f>C306+D306-E306-F306</f>
      </c>
      <c r="I306" s="11">
        <f>H306-G306</f>
      </c>
    </row>
    <row r="307" ht="21" customHeight="1" spans="1:9" x14ac:dyDescent="0.25">
      <c r="A307" s="8"/>
      <c r="B307" s="8"/>
      <c r="C307" s="11">
        <f>IFERROR(LOOKUP(2,1/(($B$3:$B306=B307)*($A$3:$A306&lt;A307)),$G$3:$G306),IFERROR(VLOOKUP(B307,'Inventory Master'!$A$3:$L$300,6,FALSE),0))</f>
      </c>
      <c r="D307" s="11">
        <f>SUMIFS(Purchases!$D:$D,Purchases!$A:$A,$A307,Purchases!$C:$C,$B307)</f>
      </c>
      <c r="E307" s="11">
        <f>SUMIFS('Sales Log'!$D:$D,'Sales Log'!$A:$A,$A307,'Sales Log'!$C:$C,$B307)</f>
      </c>
      <c r="F307" s="8"/>
      <c r="G307" s="8"/>
      <c r="H307" s="11">
        <f>C307+D307-E307-F307</f>
      </c>
      <c r="I307" s="11">
        <f>H307-G307</f>
      </c>
    </row>
    <row r="308" ht="21" customHeight="1" spans="1:9" x14ac:dyDescent="0.25">
      <c r="A308" s="8"/>
      <c r="B308" s="8"/>
      <c r="C308" s="11">
        <f>IFERROR(LOOKUP(2,1/(($B$3:$B307=B308)*($A$3:$A307&lt;A308)),$G$3:$G307),IFERROR(VLOOKUP(B308,'Inventory Master'!$A$3:$L$300,6,FALSE),0))</f>
      </c>
      <c r="D308" s="11">
        <f>SUMIFS(Purchases!$D:$D,Purchases!$A:$A,$A308,Purchases!$C:$C,$B308)</f>
      </c>
      <c r="E308" s="11">
        <f>SUMIFS('Sales Log'!$D:$D,'Sales Log'!$A:$A,$A308,'Sales Log'!$C:$C,$B308)</f>
      </c>
      <c r="F308" s="8"/>
      <c r="G308" s="8"/>
      <c r="H308" s="11">
        <f>C308+D308-E308-F308</f>
      </c>
      <c r="I308" s="11">
        <f>H308-G308</f>
      </c>
    </row>
    <row r="309" ht="21" customHeight="1" spans="1:9" x14ac:dyDescent="0.25">
      <c r="A309" s="8"/>
      <c r="B309" s="8"/>
      <c r="C309" s="11">
        <f>IFERROR(LOOKUP(2,1/(($B$3:$B308=B309)*($A$3:$A308&lt;A309)),$G$3:$G308),IFERROR(VLOOKUP(B309,'Inventory Master'!$A$3:$L$300,6,FALSE),0))</f>
      </c>
      <c r="D309" s="11">
        <f>SUMIFS(Purchases!$D:$D,Purchases!$A:$A,$A309,Purchases!$C:$C,$B309)</f>
      </c>
      <c r="E309" s="11">
        <f>SUMIFS('Sales Log'!$D:$D,'Sales Log'!$A:$A,$A309,'Sales Log'!$C:$C,$B309)</f>
      </c>
      <c r="F309" s="8"/>
      <c r="G309" s="8"/>
      <c r="H309" s="11">
        <f>C309+D309-E309-F309</f>
      </c>
      <c r="I309" s="11">
        <f>H309-G309</f>
      </c>
    </row>
    <row r="310" ht="21" customHeight="1" spans="1:9" x14ac:dyDescent="0.25">
      <c r="A310" s="8"/>
      <c r="B310" s="8"/>
      <c r="C310" s="11">
        <f>IFERROR(LOOKUP(2,1/(($B$3:$B309=B310)*($A$3:$A309&lt;A310)),$G$3:$G309),IFERROR(VLOOKUP(B310,'Inventory Master'!$A$3:$L$300,6,FALSE),0))</f>
      </c>
      <c r="D310" s="11">
        <f>SUMIFS(Purchases!$D:$D,Purchases!$A:$A,$A310,Purchases!$C:$C,$B310)</f>
      </c>
      <c r="E310" s="11">
        <f>SUMIFS('Sales Log'!$D:$D,'Sales Log'!$A:$A,$A310,'Sales Log'!$C:$C,$B310)</f>
      </c>
      <c r="F310" s="8"/>
      <c r="G310" s="8"/>
      <c r="H310" s="11">
        <f>C310+D310-E310-F310</f>
      </c>
      <c r="I310" s="11">
        <f>H310-G310</f>
      </c>
    </row>
    <row r="311" ht="21" customHeight="1" spans="1:9" x14ac:dyDescent="0.25">
      <c r="A311" s="8"/>
      <c r="B311" s="8"/>
      <c r="C311" s="11">
        <f>IFERROR(LOOKUP(2,1/(($B$3:$B310=B311)*($A$3:$A310&lt;A311)),$G$3:$G310),IFERROR(VLOOKUP(B311,'Inventory Master'!$A$3:$L$300,6,FALSE),0))</f>
      </c>
      <c r="D311" s="11">
        <f>SUMIFS(Purchases!$D:$D,Purchases!$A:$A,$A311,Purchases!$C:$C,$B311)</f>
      </c>
      <c r="E311" s="11">
        <f>SUMIFS('Sales Log'!$D:$D,'Sales Log'!$A:$A,$A311,'Sales Log'!$C:$C,$B311)</f>
      </c>
      <c r="F311" s="8"/>
      <c r="G311" s="8"/>
      <c r="H311" s="11">
        <f>C311+D311-E311-F311</f>
      </c>
      <c r="I311" s="11">
        <f>H311-G311</f>
      </c>
    </row>
    <row r="312" ht="21" customHeight="1" spans="1:9" x14ac:dyDescent="0.25">
      <c r="A312" s="8"/>
      <c r="B312" s="8"/>
      <c r="C312" s="11">
        <f>IFERROR(LOOKUP(2,1/(($B$3:$B311=B312)*($A$3:$A311&lt;A312)),$G$3:$G311),IFERROR(VLOOKUP(B312,'Inventory Master'!$A$3:$L$300,6,FALSE),0))</f>
      </c>
      <c r="D312" s="11">
        <f>SUMIFS(Purchases!$D:$D,Purchases!$A:$A,$A312,Purchases!$C:$C,$B312)</f>
      </c>
      <c r="E312" s="11">
        <f>SUMIFS('Sales Log'!$D:$D,'Sales Log'!$A:$A,$A312,'Sales Log'!$C:$C,$B312)</f>
      </c>
      <c r="F312" s="8"/>
      <c r="G312" s="8"/>
      <c r="H312" s="11">
        <f>C312+D312-E312-F312</f>
      </c>
      <c r="I312" s="11">
        <f>H312-G312</f>
      </c>
    </row>
    <row r="313" ht="21" customHeight="1" spans="1:9" x14ac:dyDescent="0.25">
      <c r="A313" s="8"/>
      <c r="B313" s="8"/>
      <c r="C313" s="11">
        <f>IFERROR(LOOKUP(2,1/(($B$3:$B312=B313)*($A$3:$A312&lt;A313)),$G$3:$G312),IFERROR(VLOOKUP(B313,'Inventory Master'!$A$3:$L$300,6,FALSE),0))</f>
      </c>
      <c r="D313" s="11">
        <f>SUMIFS(Purchases!$D:$D,Purchases!$A:$A,$A313,Purchases!$C:$C,$B313)</f>
      </c>
      <c r="E313" s="11">
        <f>SUMIFS('Sales Log'!$D:$D,'Sales Log'!$A:$A,$A313,'Sales Log'!$C:$C,$B313)</f>
      </c>
      <c r="F313" s="8"/>
      <c r="G313" s="8"/>
      <c r="H313" s="11">
        <f>C313+D313-E313-F313</f>
      </c>
      <c r="I313" s="11">
        <f>H313-G313</f>
      </c>
    </row>
    <row r="314" ht="21" customHeight="1" spans="1:9" x14ac:dyDescent="0.25">
      <c r="A314" s="8"/>
      <c r="B314" s="8"/>
      <c r="C314" s="11">
        <f>IFERROR(LOOKUP(2,1/(($B$3:$B313=B314)*($A$3:$A313&lt;A314)),$G$3:$G313),IFERROR(VLOOKUP(B314,'Inventory Master'!$A$3:$L$300,6,FALSE),0))</f>
      </c>
      <c r="D314" s="11">
        <f>SUMIFS(Purchases!$D:$D,Purchases!$A:$A,$A314,Purchases!$C:$C,$B314)</f>
      </c>
      <c r="E314" s="11">
        <f>SUMIFS('Sales Log'!$D:$D,'Sales Log'!$A:$A,$A314,'Sales Log'!$C:$C,$B314)</f>
      </c>
      <c r="F314" s="8"/>
      <c r="G314" s="8"/>
      <c r="H314" s="11">
        <f>C314+D314-E314-F314</f>
      </c>
      <c r="I314" s="11">
        <f>H314-G314</f>
      </c>
    </row>
    <row r="315" ht="21" customHeight="1" spans="1:9" x14ac:dyDescent="0.25">
      <c r="A315" s="8"/>
      <c r="B315" s="8"/>
      <c r="C315" s="11">
        <f>IFERROR(LOOKUP(2,1/(($B$3:$B314=B315)*($A$3:$A314&lt;A315)),$G$3:$G314),IFERROR(VLOOKUP(B315,'Inventory Master'!$A$3:$L$300,6,FALSE),0))</f>
      </c>
      <c r="D315" s="11">
        <f>SUMIFS(Purchases!$D:$D,Purchases!$A:$A,$A315,Purchases!$C:$C,$B315)</f>
      </c>
      <c r="E315" s="11">
        <f>SUMIFS('Sales Log'!$D:$D,'Sales Log'!$A:$A,$A315,'Sales Log'!$C:$C,$B315)</f>
      </c>
      <c r="F315" s="8"/>
      <c r="G315" s="8"/>
      <c r="H315" s="11">
        <f>C315+D315-E315-F315</f>
      </c>
      <c r="I315" s="11">
        <f>H315-G315</f>
      </c>
    </row>
    <row r="316" ht="21" customHeight="1" spans="1:9" x14ac:dyDescent="0.25">
      <c r="A316" s="8"/>
      <c r="B316" s="8"/>
      <c r="C316" s="11">
        <f>IFERROR(LOOKUP(2,1/(($B$3:$B315=B316)*($A$3:$A315&lt;A316)),$G$3:$G315),IFERROR(VLOOKUP(B316,'Inventory Master'!$A$3:$L$300,6,FALSE),0))</f>
      </c>
      <c r="D316" s="11">
        <f>SUMIFS(Purchases!$D:$D,Purchases!$A:$A,$A316,Purchases!$C:$C,$B316)</f>
      </c>
      <c r="E316" s="11">
        <f>SUMIFS('Sales Log'!$D:$D,'Sales Log'!$A:$A,$A316,'Sales Log'!$C:$C,$B316)</f>
      </c>
      <c r="F316" s="8"/>
      <c r="G316" s="8"/>
      <c r="H316" s="11">
        <f>C316+D316-E316-F316</f>
      </c>
      <c r="I316" s="11">
        <f>H316-G316</f>
      </c>
    </row>
    <row r="317" ht="21" customHeight="1" spans="1:9" x14ac:dyDescent="0.25">
      <c r="A317" s="8"/>
      <c r="B317" s="8"/>
      <c r="C317" s="11">
        <f>IFERROR(LOOKUP(2,1/(($B$3:$B316=B317)*($A$3:$A316&lt;A317)),$G$3:$G316),IFERROR(VLOOKUP(B317,'Inventory Master'!$A$3:$L$300,6,FALSE),0))</f>
      </c>
      <c r="D317" s="11">
        <f>SUMIFS(Purchases!$D:$D,Purchases!$A:$A,$A317,Purchases!$C:$C,$B317)</f>
      </c>
      <c r="E317" s="11">
        <f>SUMIFS('Sales Log'!$D:$D,'Sales Log'!$A:$A,$A317,'Sales Log'!$C:$C,$B317)</f>
      </c>
      <c r="F317" s="8"/>
      <c r="G317" s="8"/>
      <c r="H317" s="11">
        <f>C317+D317-E317-F317</f>
      </c>
      <c r="I317" s="11">
        <f>H317-G317</f>
      </c>
    </row>
    <row r="318" ht="21" customHeight="1" spans="1:9" x14ac:dyDescent="0.25">
      <c r="A318" s="8"/>
      <c r="B318" s="8"/>
      <c r="C318" s="11">
        <f>IFERROR(LOOKUP(2,1/(($B$3:$B317=B318)*($A$3:$A317&lt;A318)),$G$3:$G317),IFERROR(VLOOKUP(B318,'Inventory Master'!$A$3:$L$300,6,FALSE),0))</f>
      </c>
      <c r="D318" s="11">
        <f>SUMIFS(Purchases!$D:$D,Purchases!$A:$A,$A318,Purchases!$C:$C,$B318)</f>
      </c>
      <c r="E318" s="11">
        <f>SUMIFS('Sales Log'!$D:$D,'Sales Log'!$A:$A,$A318,'Sales Log'!$C:$C,$B318)</f>
      </c>
      <c r="F318" s="8"/>
      <c r="G318" s="8"/>
      <c r="H318" s="11">
        <f>C318+D318-E318-F318</f>
      </c>
      <c r="I318" s="11">
        <f>H318-G318</f>
      </c>
    </row>
    <row r="319" ht="21" customHeight="1" spans="1:9" x14ac:dyDescent="0.25">
      <c r="A319" s="8"/>
      <c r="B319" s="8"/>
      <c r="C319" s="11">
        <f>IFERROR(LOOKUP(2,1/(($B$3:$B318=B319)*($A$3:$A318&lt;A319)),$G$3:$G318),IFERROR(VLOOKUP(B319,'Inventory Master'!$A$3:$L$300,6,FALSE),0))</f>
      </c>
      <c r="D319" s="11">
        <f>SUMIFS(Purchases!$D:$D,Purchases!$A:$A,$A319,Purchases!$C:$C,$B319)</f>
      </c>
      <c r="E319" s="11">
        <f>SUMIFS('Sales Log'!$D:$D,'Sales Log'!$A:$A,$A319,'Sales Log'!$C:$C,$B319)</f>
      </c>
      <c r="F319" s="8"/>
      <c r="G319" s="8"/>
      <c r="H319" s="11">
        <f>C319+D319-E319-F319</f>
      </c>
      <c r="I319" s="11">
        <f>H319-G319</f>
      </c>
    </row>
    <row r="320" ht="21" customHeight="1" spans="1:9" x14ac:dyDescent="0.25">
      <c r="A320" s="8"/>
      <c r="B320" s="8"/>
      <c r="C320" s="11">
        <f>IFERROR(LOOKUP(2,1/(($B$3:$B319=B320)*($A$3:$A319&lt;A320)),$G$3:$G319),IFERROR(VLOOKUP(B320,'Inventory Master'!$A$3:$L$300,6,FALSE),0))</f>
      </c>
      <c r="D320" s="11">
        <f>SUMIFS(Purchases!$D:$D,Purchases!$A:$A,$A320,Purchases!$C:$C,$B320)</f>
      </c>
      <c r="E320" s="11">
        <f>SUMIFS('Sales Log'!$D:$D,'Sales Log'!$A:$A,$A320,'Sales Log'!$C:$C,$B320)</f>
      </c>
      <c r="F320" s="8"/>
      <c r="G320" s="8"/>
      <c r="H320" s="11">
        <f>C320+D320-E320-F320</f>
      </c>
      <c r="I320" s="11">
        <f>H320-G320</f>
      </c>
    </row>
    <row r="321" ht="21" customHeight="1" spans="1:9" x14ac:dyDescent="0.25">
      <c r="A321" s="8"/>
      <c r="B321" s="8"/>
      <c r="C321" s="11">
        <f>IFERROR(LOOKUP(2,1/(($B$3:$B320=B321)*($A$3:$A320&lt;A321)),$G$3:$G320),IFERROR(VLOOKUP(B321,'Inventory Master'!$A$3:$L$300,6,FALSE),0))</f>
      </c>
      <c r="D321" s="11">
        <f>SUMIFS(Purchases!$D:$D,Purchases!$A:$A,$A321,Purchases!$C:$C,$B321)</f>
      </c>
      <c r="E321" s="11">
        <f>SUMIFS('Sales Log'!$D:$D,'Sales Log'!$A:$A,$A321,'Sales Log'!$C:$C,$B321)</f>
      </c>
      <c r="F321" s="8"/>
      <c r="G321" s="8"/>
      <c r="H321" s="11">
        <f>C321+D321-E321-F321</f>
      </c>
      <c r="I321" s="11">
        <f>H321-G321</f>
      </c>
    </row>
    <row r="322" ht="21" customHeight="1" spans="1:9" x14ac:dyDescent="0.25">
      <c r="A322" s="8"/>
      <c r="B322" s="8"/>
      <c r="C322" s="11">
        <f>IFERROR(LOOKUP(2,1/(($B$3:$B321=B322)*($A$3:$A321&lt;A322)),$G$3:$G321),IFERROR(VLOOKUP(B322,'Inventory Master'!$A$3:$L$300,6,FALSE),0))</f>
      </c>
      <c r="D322" s="11">
        <f>SUMIFS(Purchases!$D:$D,Purchases!$A:$A,$A322,Purchases!$C:$C,$B322)</f>
      </c>
      <c r="E322" s="11">
        <f>SUMIFS('Sales Log'!$D:$D,'Sales Log'!$A:$A,$A322,'Sales Log'!$C:$C,$B322)</f>
      </c>
      <c r="F322" s="8"/>
      <c r="G322" s="8"/>
      <c r="H322" s="11">
        <f>C322+D322-E322-F322</f>
      </c>
      <c r="I322" s="11">
        <f>H322-G322</f>
      </c>
    </row>
    <row r="323" ht="21" customHeight="1" spans="1:9" x14ac:dyDescent="0.25">
      <c r="A323" s="8"/>
      <c r="B323" s="8"/>
      <c r="C323" s="11">
        <f>IFERROR(LOOKUP(2,1/(($B$3:$B322=B323)*($A$3:$A322&lt;A323)),$G$3:$G322),IFERROR(VLOOKUP(B323,'Inventory Master'!$A$3:$L$300,6,FALSE),0))</f>
      </c>
      <c r="D323" s="11">
        <f>SUMIFS(Purchases!$D:$D,Purchases!$A:$A,$A323,Purchases!$C:$C,$B323)</f>
      </c>
      <c r="E323" s="11">
        <f>SUMIFS('Sales Log'!$D:$D,'Sales Log'!$A:$A,$A323,'Sales Log'!$C:$C,$B323)</f>
      </c>
      <c r="F323" s="8"/>
      <c r="G323" s="8"/>
      <c r="H323" s="11">
        <f>C323+D323-E323-F323</f>
      </c>
      <c r="I323" s="11">
        <f>H323-G323</f>
      </c>
    </row>
    <row r="324" ht="21" customHeight="1" spans="1:9" x14ac:dyDescent="0.25">
      <c r="A324" s="8"/>
      <c r="B324" s="8"/>
      <c r="C324" s="11">
        <f>IFERROR(LOOKUP(2,1/(($B$3:$B323=B324)*($A$3:$A323&lt;A324)),$G$3:$G323),IFERROR(VLOOKUP(B324,'Inventory Master'!$A$3:$L$300,6,FALSE),0))</f>
      </c>
      <c r="D324" s="11">
        <f>SUMIFS(Purchases!$D:$D,Purchases!$A:$A,$A324,Purchases!$C:$C,$B324)</f>
      </c>
      <c r="E324" s="11">
        <f>SUMIFS('Sales Log'!$D:$D,'Sales Log'!$A:$A,$A324,'Sales Log'!$C:$C,$B324)</f>
      </c>
      <c r="F324" s="8"/>
      <c r="G324" s="8"/>
      <c r="H324" s="11">
        <f>C324+D324-E324-F324</f>
      </c>
      <c r="I324" s="11">
        <f>H324-G324</f>
      </c>
    </row>
    <row r="325" ht="21" customHeight="1" spans="1:9" x14ac:dyDescent="0.25">
      <c r="A325" s="8"/>
      <c r="B325" s="8"/>
      <c r="C325" s="11">
        <f>IFERROR(LOOKUP(2,1/(($B$3:$B324=B325)*($A$3:$A324&lt;A325)),$G$3:$G324),IFERROR(VLOOKUP(B325,'Inventory Master'!$A$3:$L$300,6,FALSE),0))</f>
      </c>
      <c r="D325" s="11">
        <f>SUMIFS(Purchases!$D:$D,Purchases!$A:$A,$A325,Purchases!$C:$C,$B325)</f>
      </c>
      <c r="E325" s="11">
        <f>SUMIFS('Sales Log'!$D:$D,'Sales Log'!$A:$A,$A325,'Sales Log'!$C:$C,$B325)</f>
      </c>
      <c r="F325" s="8"/>
      <c r="G325" s="8"/>
      <c r="H325" s="11">
        <f>C325+D325-E325-F325</f>
      </c>
      <c r="I325" s="11">
        <f>H325-G325</f>
      </c>
    </row>
    <row r="326" ht="21" customHeight="1" spans="1:9" x14ac:dyDescent="0.25">
      <c r="A326" s="8"/>
      <c r="B326" s="8"/>
      <c r="C326" s="11">
        <f>IFERROR(LOOKUP(2,1/(($B$3:$B325=B326)*($A$3:$A325&lt;A326)),$G$3:$G325),IFERROR(VLOOKUP(B326,'Inventory Master'!$A$3:$L$300,6,FALSE),0))</f>
      </c>
      <c r="D326" s="11">
        <f>SUMIFS(Purchases!$D:$D,Purchases!$A:$A,$A326,Purchases!$C:$C,$B326)</f>
      </c>
      <c r="E326" s="11">
        <f>SUMIFS('Sales Log'!$D:$D,'Sales Log'!$A:$A,$A326,'Sales Log'!$C:$C,$B326)</f>
      </c>
      <c r="F326" s="8"/>
      <c r="G326" s="8"/>
      <c r="H326" s="11">
        <f>C326+D326-E326-F326</f>
      </c>
      <c r="I326" s="11">
        <f>H326-G326</f>
      </c>
    </row>
    <row r="327" ht="21" customHeight="1" spans="1:9" x14ac:dyDescent="0.25">
      <c r="A327" s="8"/>
      <c r="B327" s="8"/>
      <c r="C327" s="11">
        <f>IFERROR(LOOKUP(2,1/(($B$3:$B326=B327)*($A$3:$A326&lt;A327)),$G$3:$G326),IFERROR(VLOOKUP(B327,'Inventory Master'!$A$3:$L$300,6,FALSE),0))</f>
      </c>
      <c r="D327" s="11">
        <f>SUMIFS(Purchases!$D:$D,Purchases!$A:$A,$A327,Purchases!$C:$C,$B327)</f>
      </c>
      <c r="E327" s="11">
        <f>SUMIFS('Sales Log'!$D:$D,'Sales Log'!$A:$A,$A327,'Sales Log'!$C:$C,$B327)</f>
      </c>
      <c r="F327" s="8"/>
      <c r="G327" s="8"/>
      <c r="H327" s="11">
        <f>C327+D327-E327-F327</f>
      </c>
      <c r="I327" s="11">
        <f>H327-G327</f>
      </c>
    </row>
    <row r="328" ht="21" customHeight="1" spans="1:9" x14ac:dyDescent="0.25">
      <c r="A328" s="8"/>
      <c r="B328" s="8"/>
      <c r="C328" s="11">
        <f>IFERROR(LOOKUP(2,1/(($B$3:$B327=B328)*($A$3:$A327&lt;A328)),$G$3:$G327),IFERROR(VLOOKUP(B328,'Inventory Master'!$A$3:$L$300,6,FALSE),0))</f>
      </c>
      <c r="D328" s="11">
        <f>SUMIFS(Purchases!$D:$D,Purchases!$A:$A,$A328,Purchases!$C:$C,$B328)</f>
      </c>
      <c r="E328" s="11">
        <f>SUMIFS('Sales Log'!$D:$D,'Sales Log'!$A:$A,$A328,'Sales Log'!$C:$C,$B328)</f>
      </c>
      <c r="F328" s="8"/>
      <c r="G328" s="8"/>
      <c r="H328" s="11">
        <f>C328+D328-E328-F328</f>
      </c>
      <c r="I328" s="11">
        <f>H328-G328</f>
      </c>
    </row>
    <row r="329" ht="21" customHeight="1" spans="1:9" x14ac:dyDescent="0.25">
      <c r="A329" s="8"/>
      <c r="B329" s="8"/>
      <c r="C329" s="11">
        <f>IFERROR(LOOKUP(2,1/(($B$3:$B328=B329)*($A$3:$A328&lt;A329)),$G$3:$G328),IFERROR(VLOOKUP(B329,'Inventory Master'!$A$3:$L$300,6,FALSE),0))</f>
      </c>
      <c r="D329" s="11">
        <f>SUMIFS(Purchases!$D:$D,Purchases!$A:$A,$A329,Purchases!$C:$C,$B329)</f>
      </c>
      <c r="E329" s="11">
        <f>SUMIFS('Sales Log'!$D:$D,'Sales Log'!$A:$A,$A329,'Sales Log'!$C:$C,$B329)</f>
      </c>
      <c r="F329" s="8"/>
      <c r="G329" s="8"/>
      <c r="H329" s="11">
        <f>C329+D329-E329-F329</f>
      </c>
      <c r="I329" s="11">
        <f>H329-G329</f>
      </c>
    </row>
    <row r="330" ht="21" customHeight="1" spans="1:9" x14ac:dyDescent="0.25">
      <c r="A330" s="8"/>
      <c r="B330" s="8"/>
      <c r="C330" s="11">
        <f>IFERROR(LOOKUP(2,1/(($B$3:$B329=B330)*($A$3:$A329&lt;A330)),$G$3:$G329),IFERROR(VLOOKUP(B330,'Inventory Master'!$A$3:$L$300,6,FALSE),0))</f>
      </c>
      <c r="D330" s="11">
        <f>SUMIFS(Purchases!$D:$D,Purchases!$A:$A,$A330,Purchases!$C:$C,$B330)</f>
      </c>
      <c r="E330" s="11">
        <f>SUMIFS('Sales Log'!$D:$D,'Sales Log'!$A:$A,$A330,'Sales Log'!$C:$C,$B330)</f>
      </c>
      <c r="F330" s="8"/>
      <c r="G330" s="8"/>
      <c r="H330" s="11">
        <f>C330+D330-E330-F330</f>
      </c>
      <c r="I330" s="11">
        <f>H330-G330</f>
      </c>
    </row>
    <row r="331" ht="21" customHeight="1" spans="1:9" x14ac:dyDescent="0.25">
      <c r="A331" s="8"/>
      <c r="B331" s="8"/>
      <c r="C331" s="11">
        <f>IFERROR(LOOKUP(2,1/(($B$3:$B330=B331)*($A$3:$A330&lt;A331)),$G$3:$G330),IFERROR(VLOOKUP(B331,'Inventory Master'!$A$3:$L$300,6,FALSE),0))</f>
      </c>
      <c r="D331" s="11">
        <f>SUMIFS(Purchases!$D:$D,Purchases!$A:$A,$A331,Purchases!$C:$C,$B331)</f>
      </c>
      <c r="E331" s="11">
        <f>SUMIFS('Sales Log'!$D:$D,'Sales Log'!$A:$A,$A331,'Sales Log'!$C:$C,$B331)</f>
      </c>
      <c r="F331" s="8"/>
      <c r="G331" s="8"/>
      <c r="H331" s="11">
        <f>C331+D331-E331-F331</f>
      </c>
      <c r="I331" s="11">
        <f>H331-G331</f>
      </c>
    </row>
    <row r="332" ht="21" customHeight="1" spans="1:9" x14ac:dyDescent="0.25">
      <c r="A332" s="8"/>
      <c r="B332" s="8"/>
      <c r="C332" s="11">
        <f>IFERROR(LOOKUP(2,1/(($B$3:$B331=B332)*($A$3:$A331&lt;A332)),$G$3:$G331),IFERROR(VLOOKUP(B332,'Inventory Master'!$A$3:$L$300,6,FALSE),0))</f>
      </c>
      <c r="D332" s="11">
        <f>SUMIFS(Purchases!$D:$D,Purchases!$A:$A,$A332,Purchases!$C:$C,$B332)</f>
      </c>
      <c r="E332" s="11">
        <f>SUMIFS('Sales Log'!$D:$D,'Sales Log'!$A:$A,$A332,'Sales Log'!$C:$C,$B332)</f>
      </c>
      <c r="F332" s="8"/>
      <c r="G332" s="8"/>
      <c r="H332" s="11">
        <f>C332+D332-E332-F332</f>
      </c>
      <c r="I332" s="11">
        <f>H332-G332</f>
      </c>
    </row>
    <row r="333" ht="21" customHeight="1" spans="1:9" x14ac:dyDescent="0.25">
      <c r="A333" s="8"/>
      <c r="B333" s="8"/>
      <c r="C333" s="11">
        <f>IFERROR(LOOKUP(2,1/(($B$3:$B332=B333)*($A$3:$A332&lt;A333)),$G$3:$G332),IFERROR(VLOOKUP(B333,'Inventory Master'!$A$3:$L$300,6,FALSE),0))</f>
      </c>
      <c r="D333" s="11">
        <f>SUMIFS(Purchases!$D:$D,Purchases!$A:$A,$A333,Purchases!$C:$C,$B333)</f>
      </c>
      <c r="E333" s="11">
        <f>SUMIFS('Sales Log'!$D:$D,'Sales Log'!$A:$A,$A333,'Sales Log'!$C:$C,$B333)</f>
      </c>
      <c r="F333" s="8"/>
      <c r="G333" s="8"/>
      <c r="H333" s="11">
        <f>C333+D333-E333-F333</f>
      </c>
      <c r="I333" s="11">
        <f>H333-G333</f>
      </c>
    </row>
    <row r="334" ht="21" customHeight="1" spans="1:9" x14ac:dyDescent="0.25">
      <c r="A334" s="8"/>
      <c r="B334" s="8"/>
      <c r="C334" s="11">
        <f>IFERROR(LOOKUP(2,1/(($B$3:$B333=B334)*($A$3:$A333&lt;A334)),$G$3:$G333),IFERROR(VLOOKUP(B334,'Inventory Master'!$A$3:$L$300,6,FALSE),0))</f>
      </c>
      <c r="D334" s="11">
        <f>SUMIFS(Purchases!$D:$D,Purchases!$A:$A,$A334,Purchases!$C:$C,$B334)</f>
      </c>
      <c r="E334" s="11">
        <f>SUMIFS('Sales Log'!$D:$D,'Sales Log'!$A:$A,$A334,'Sales Log'!$C:$C,$B334)</f>
      </c>
      <c r="F334" s="8"/>
      <c r="G334" s="8"/>
      <c r="H334" s="11">
        <f>C334+D334-E334-F334</f>
      </c>
      <c r="I334" s="11">
        <f>H334-G334</f>
      </c>
    </row>
    <row r="335" ht="21" customHeight="1" spans="1:9" x14ac:dyDescent="0.25">
      <c r="A335" s="8"/>
      <c r="B335" s="8"/>
      <c r="C335" s="11">
        <f>IFERROR(LOOKUP(2,1/(($B$3:$B334=B335)*($A$3:$A334&lt;A335)),$G$3:$G334),IFERROR(VLOOKUP(B335,'Inventory Master'!$A$3:$L$300,6,FALSE),0))</f>
      </c>
      <c r="D335" s="11">
        <f>SUMIFS(Purchases!$D:$D,Purchases!$A:$A,$A335,Purchases!$C:$C,$B335)</f>
      </c>
      <c r="E335" s="11">
        <f>SUMIFS('Sales Log'!$D:$D,'Sales Log'!$A:$A,$A335,'Sales Log'!$C:$C,$B335)</f>
      </c>
      <c r="F335" s="8"/>
      <c r="G335" s="8"/>
      <c r="H335" s="11">
        <f>C335+D335-E335-F335</f>
      </c>
      <c r="I335" s="11">
        <f>H335-G335</f>
      </c>
    </row>
    <row r="336" ht="21" customHeight="1" spans="1:9" x14ac:dyDescent="0.25">
      <c r="A336" s="8"/>
      <c r="B336" s="8"/>
      <c r="C336" s="11">
        <f>IFERROR(LOOKUP(2,1/(($B$3:$B335=B336)*($A$3:$A335&lt;A336)),$G$3:$G335),IFERROR(VLOOKUP(B336,'Inventory Master'!$A$3:$L$300,6,FALSE),0))</f>
      </c>
      <c r="D336" s="11">
        <f>SUMIFS(Purchases!$D:$D,Purchases!$A:$A,$A336,Purchases!$C:$C,$B336)</f>
      </c>
      <c r="E336" s="11">
        <f>SUMIFS('Sales Log'!$D:$D,'Sales Log'!$A:$A,$A336,'Sales Log'!$C:$C,$B336)</f>
      </c>
      <c r="F336" s="8"/>
      <c r="G336" s="8"/>
      <c r="H336" s="11">
        <f>C336+D336-E336-F336</f>
      </c>
      <c r="I336" s="11">
        <f>H336-G336</f>
      </c>
    </row>
    <row r="337" ht="21" customHeight="1" spans="1:9" x14ac:dyDescent="0.25">
      <c r="A337" s="8"/>
      <c r="B337" s="8"/>
      <c r="C337" s="11">
        <f>IFERROR(LOOKUP(2,1/(($B$3:$B336=B337)*($A$3:$A336&lt;A337)),$G$3:$G336),IFERROR(VLOOKUP(B337,'Inventory Master'!$A$3:$L$300,6,FALSE),0))</f>
      </c>
      <c r="D337" s="11">
        <f>SUMIFS(Purchases!$D:$D,Purchases!$A:$A,$A337,Purchases!$C:$C,$B337)</f>
      </c>
      <c r="E337" s="11">
        <f>SUMIFS('Sales Log'!$D:$D,'Sales Log'!$A:$A,$A337,'Sales Log'!$C:$C,$B337)</f>
      </c>
      <c r="F337" s="8"/>
      <c r="G337" s="8"/>
      <c r="H337" s="11">
        <f>C337+D337-E337-F337</f>
      </c>
      <c r="I337" s="11">
        <f>H337-G337</f>
      </c>
    </row>
    <row r="338" ht="21" customHeight="1" spans="1:9" x14ac:dyDescent="0.25">
      <c r="A338" s="8"/>
      <c r="B338" s="8"/>
      <c r="C338" s="11">
        <f>IFERROR(LOOKUP(2,1/(($B$3:$B337=B338)*($A$3:$A337&lt;A338)),$G$3:$G337),IFERROR(VLOOKUP(B338,'Inventory Master'!$A$3:$L$300,6,FALSE),0))</f>
      </c>
      <c r="D338" s="11">
        <f>SUMIFS(Purchases!$D:$D,Purchases!$A:$A,$A338,Purchases!$C:$C,$B338)</f>
      </c>
      <c r="E338" s="11">
        <f>SUMIFS('Sales Log'!$D:$D,'Sales Log'!$A:$A,$A338,'Sales Log'!$C:$C,$B338)</f>
      </c>
      <c r="F338" s="8"/>
      <c r="G338" s="8"/>
      <c r="H338" s="11">
        <f>C338+D338-E338-F338</f>
      </c>
      <c r="I338" s="11">
        <f>H338-G338</f>
      </c>
    </row>
    <row r="339" ht="21" customHeight="1" spans="1:9" x14ac:dyDescent="0.25">
      <c r="A339" s="8"/>
      <c r="B339" s="8"/>
      <c r="C339" s="11">
        <f>IFERROR(LOOKUP(2,1/(($B$3:$B338=B339)*($A$3:$A338&lt;A339)),$G$3:$G338),IFERROR(VLOOKUP(B339,'Inventory Master'!$A$3:$L$300,6,FALSE),0))</f>
      </c>
      <c r="D339" s="11">
        <f>SUMIFS(Purchases!$D:$D,Purchases!$A:$A,$A339,Purchases!$C:$C,$B339)</f>
      </c>
      <c r="E339" s="11">
        <f>SUMIFS('Sales Log'!$D:$D,'Sales Log'!$A:$A,$A339,'Sales Log'!$C:$C,$B339)</f>
      </c>
      <c r="F339" s="8"/>
      <c r="G339" s="8"/>
      <c r="H339" s="11">
        <f>C339+D339-E339-F339</f>
      </c>
      <c r="I339" s="11">
        <f>H339-G339</f>
      </c>
    </row>
    <row r="340" ht="21" customHeight="1" spans="1:9" x14ac:dyDescent="0.25">
      <c r="A340" s="8"/>
      <c r="B340" s="8"/>
      <c r="C340" s="11">
        <f>IFERROR(LOOKUP(2,1/(($B$3:$B339=B340)*($A$3:$A339&lt;A340)),$G$3:$G339),IFERROR(VLOOKUP(B340,'Inventory Master'!$A$3:$L$300,6,FALSE),0))</f>
      </c>
      <c r="D340" s="11">
        <f>SUMIFS(Purchases!$D:$D,Purchases!$A:$A,$A340,Purchases!$C:$C,$B340)</f>
      </c>
      <c r="E340" s="11">
        <f>SUMIFS('Sales Log'!$D:$D,'Sales Log'!$A:$A,$A340,'Sales Log'!$C:$C,$B340)</f>
      </c>
      <c r="F340" s="8"/>
      <c r="G340" s="8"/>
      <c r="H340" s="11">
        <f>C340+D340-E340-F340</f>
      </c>
      <c r="I340" s="11">
        <f>H340-G340</f>
      </c>
    </row>
    <row r="341" ht="21" customHeight="1" spans="1:9" x14ac:dyDescent="0.25">
      <c r="A341" s="8"/>
      <c r="B341" s="8"/>
      <c r="C341" s="11">
        <f>IFERROR(LOOKUP(2,1/(($B$3:$B340=B341)*($A$3:$A340&lt;A341)),$G$3:$G340),IFERROR(VLOOKUP(B341,'Inventory Master'!$A$3:$L$300,6,FALSE),0))</f>
      </c>
      <c r="D341" s="11">
        <f>SUMIFS(Purchases!$D:$D,Purchases!$A:$A,$A341,Purchases!$C:$C,$B341)</f>
      </c>
      <c r="E341" s="11">
        <f>SUMIFS('Sales Log'!$D:$D,'Sales Log'!$A:$A,$A341,'Sales Log'!$C:$C,$B341)</f>
      </c>
      <c r="F341" s="8"/>
      <c r="G341" s="8"/>
      <c r="H341" s="11">
        <f>C341+D341-E341-F341</f>
      </c>
      <c r="I341" s="11">
        <f>H341-G341</f>
      </c>
    </row>
    <row r="342" ht="21" customHeight="1" spans="1:9" x14ac:dyDescent="0.25">
      <c r="A342" s="8"/>
      <c r="B342" s="8"/>
      <c r="C342" s="11">
        <f>IFERROR(LOOKUP(2,1/(($B$3:$B341=B342)*($A$3:$A341&lt;A342)),$G$3:$G341),IFERROR(VLOOKUP(B342,'Inventory Master'!$A$3:$L$300,6,FALSE),0))</f>
      </c>
      <c r="D342" s="11">
        <f>SUMIFS(Purchases!$D:$D,Purchases!$A:$A,$A342,Purchases!$C:$C,$B342)</f>
      </c>
      <c r="E342" s="11">
        <f>SUMIFS('Sales Log'!$D:$D,'Sales Log'!$A:$A,$A342,'Sales Log'!$C:$C,$B342)</f>
      </c>
      <c r="F342" s="8"/>
      <c r="G342" s="8"/>
      <c r="H342" s="11">
        <f>C342+D342-E342-F342</f>
      </c>
      <c r="I342" s="11">
        <f>H342-G342</f>
      </c>
    </row>
    <row r="343" ht="21" customHeight="1" spans="1:9" x14ac:dyDescent="0.25">
      <c r="A343" s="8"/>
      <c r="B343" s="8"/>
      <c r="C343" s="11">
        <f>IFERROR(LOOKUP(2,1/(($B$3:$B342=B343)*($A$3:$A342&lt;A343)),$G$3:$G342),IFERROR(VLOOKUP(B343,'Inventory Master'!$A$3:$L$300,6,FALSE),0))</f>
      </c>
      <c r="D343" s="11">
        <f>SUMIFS(Purchases!$D:$D,Purchases!$A:$A,$A343,Purchases!$C:$C,$B343)</f>
      </c>
      <c r="E343" s="11">
        <f>SUMIFS('Sales Log'!$D:$D,'Sales Log'!$A:$A,$A343,'Sales Log'!$C:$C,$B343)</f>
      </c>
      <c r="F343" s="8"/>
      <c r="G343" s="8"/>
      <c r="H343" s="11">
        <f>C343+D343-E343-F343</f>
      </c>
      <c r="I343" s="11">
        <f>H343-G343</f>
      </c>
    </row>
    <row r="344" ht="21" customHeight="1" spans="1:9" x14ac:dyDescent="0.25">
      <c r="A344" s="8"/>
      <c r="B344" s="8"/>
      <c r="C344" s="11">
        <f>IFERROR(LOOKUP(2,1/(($B$3:$B343=B344)*($A$3:$A343&lt;A344)),$G$3:$G343),IFERROR(VLOOKUP(B344,'Inventory Master'!$A$3:$L$300,6,FALSE),0))</f>
      </c>
      <c r="D344" s="11">
        <f>SUMIFS(Purchases!$D:$D,Purchases!$A:$A,$A344,Purchases!$C:$C,$B344)</f>
      </c>
      <c r="E344" s="11">
        <f>SUMIFS('Sales Log'!$D:$D,'Sales Log'!$A:$A,$A344,'Sales Log'!$C:$C,$B344)</f>
      </c>
      <c r="F344" s="8"/>
      <c r="G344" s="8"/>
      <c r="H344" s="11">
        <f>C344+D344-E344-F344</f>
      </c>
      <c r="I344" s="11">
        <f>H344-G344</f>
      </c>
    </row>
    <row r="345" ht="21" customHeight="1" spans="1:9" x14ac:dyDescent="0.25">
      <c r="A345" s="8"/>
      <c r="B345" s="8"/>
      <c r="C345" s="11">
        <f>IFERROR(LOOKUP(2,1/(($B$3:$B344=B345)*($A$3:$A344&lt;A345)),$G$3:$G344),IFERROR(VLOOKUP(B345,'Inventory Master'!$A$3:$L$300,6,FALSE),0))</f>
      </c>
      <c r="D345" s="11">
        <f>SUMIFS(Purchases!$D:$D,Purchases!$A:$A,$A345,Purchases!$C:$C,$B345)</f>
      </c>
      <c r="E345" s="11">
        <f>SUMIFS('Sales Log'!$D:$D,'Sales Log'!$A:$A,$A345,'Sales Log'!$C:$C,$B345)</f>
      </c>
      <c r="F345" s="8"/>
      <c r="G345" s="8"/>
      <c r="H345" s="11">
        <f>C345+D345-E345-F345</f>
      </c>
      <c r="I345" s="11">
        <f>H345-G345</f>
      </c>
    </row>
    <row r="346" ht="21" customHeight="1" spans="1:9" x14ac:dyDescent="0.25">
      <c r="A346" s="8"/>
      <c r="B346" s="8"/>
      <c r="C346" s="11">
        <f>IFERROR(LOOKUP(2,1/(($B$3:$B345=B346)*($A$3:$A345&lt;A346)),$G$3:$G345),IFERROR(VLOOKUP(B346,'Inventory Master'!$A$3:$L$300,6,FALSE),0))</f>
      </c>
      <c r="D346" s="11">
        <f>SUMIFS(Purchases!$D:$D,Purchases!$A:$A,$A346,Purchases!$C:$C,$B346)</f>
      </c>
      <c r="E346" s="11">
        <f>SUMIFS('Sales Log'!$D:$D,'Sales Log'!$A:$A,$A346,'Sales Log'!$C:$C,$B346)</f>
      </c>
      <c r="F346" s="8"/>
      <c r="G346" s="8"/>
      <c r="H346" s="11">
        <f>C346+D346-E346-F346</f>
      </c>
      <c r="I346" s="11">
        <f>H346-G346</f>
      </c>
    </row>
    <row r="347" ht="21" customHeight="1" spans="1:9" x14ac:dyDescent="0.25">
      <c r="A347" s="8"/>
      <c r="B347" s="8"/>
      <c r="C347" s="11">
        <f>IFERROR(LOOKUP(2,1/(($B$3:$B346=B347)*($A$3:$A346&lt;A347)),$G$3:$G346),IFERROR(VLOOKUP(B347,'Inventory Master'!$A$3:$L$300,6,FALSE),0))</f>
      </c>
      <c r="D347" s="11">
        <f>SUMIFS(Purchases!$D:$D,Purchases!$A:$A,$A347,Purchases!$C:$C,$B347)</f>
      </c>
      <c r="E347" s="11">
        <f>SUMIFS('Sales Log'!$D:$D,'Sales Log'!$A:$A,$A347,'Sales Log'!$C:$C,$B347)</f>
      </c>
      <c r="F347" s="8"/>
      <c r="G347" s="8"/>
      <c r="H347" s="11">
        <f>C347+D347-E347-F347</f>
      </c>
      <c r="I347" s="11">
        <f>H347-G347</f>
      </c>
    </row>
    <row r="348" ht="21" customHeight="1" spans="1:9" x14ac:dyDescent="0.25">
      <c r="A348" s="8"/>
      <c r="B348" s="8"/>
      <c r="C348" s="11">
        <f>IFERROR(LOOKUP(2,1/(($B$3:$B347=B348)*($A$3:$A347&lt;A348)),$G$3:$G347),IFERROR(VLOOKUP(B348,'Inventory Master'!$A$3:$L$300,6,FALSE),0))</f>
      </c>
      <c r="D348" s="11">
        <f>SUMIFS(Purchases!$D:$D,Purchases!$A:$A,$A348,Purchases!$C:$C,$B348)</f>
      </c>
      <c r="E348" s="11">
        <f>SUMIFS('Sales Log'!$D:$D,'Sales Log'!$A:$A,$A348,'Sales Log'!$C:$C,$B348)</f>
      </c>
      <c r="F348" s="8"/>
      <c r="G348" s="8"/>
      <c r="H348" s="11">
        <f>C348+D348-E348-F348</f>
      </c>
      <c r="I348" s="11">
        <f>H348-G348</f>
      </c>
    </row>
    <row r="349" ht="21" customHeight="1" spans="1:9" x14ac:dyDescent="0.25">
      <c r="A349" s="8"/>
      <c r="B349" s="8"/>
      <c r="C349" s="11">
        <f>IFERROR(LOOKUP(2,1/(($B$3:$B348=B349)*($A$3:$A348&lt;A349)),$G$3:$G348),IFERROR(VLOOKUP(B349,'Inventory Master'!$A$3:$L$300,6,FALSE),0))</f>
      </c>
      <c r="D349" s="11">
        <f>SUMIFS(Purchases!$D:$D,Purchases!$A:$A,$A349,Purchases!$C:$C,$B349)</f>
      </c>
      <c r="E349" s="11">
        <f>SUMIFS('Sales Log'!$D:$D,'Sales Log'!$A:$A,$A349,'Sales Log'!$C:$C,$B349)</f>
      </c>
      <c r="F349" s="8"/>
      <c r="G349" s="8"/>
      <c r="H349" s="11">
        <f>C349+D349-E349-F349</f>
      </c>
      <c r="I349" s="11">
        <f>H349-G349</f>
      </c>
    </row>
    <row r="350" ht="21" customHeight="1" spans="1:9" x14ac:dyDescent="0.25">
      <c r="A350" s="8"/>
      <c r="B350" s="8"/>
      <c r="C350" s="11">
        <f>IFERROR(LOOKUP(2,1/(($B$3:$B349=B350)*($A$3:$A349&lt;A350)),$G$3:$G349),IFERROR(VLOOKUP(B350,'Inventory Master'!$A$3:$L$300,6,FALSE),0))</f>
      </c>
      <c r="D350" s="11">
        <f>SUMIFS(Purchases!$D:$D,Purchases!$A:$A,$A350,Purchases!$C:$C,$B350)</f>
      </c>
      <c r="E350" s="11">
        <f>SUMIFS('Sales Log'!$D:$D,'Sales Log'!$A:$A,$A350,'Sales Log'!$C:$C,$B350)</f>
      </c>
      <c r="F350" s="8"/>
      <c r="G350" s="8"/>
      <c r="H350" s="11">
        <f>C350+D350-E350-F350</f>
      </c>
      <c r="I350" s="11">
        <f>H350-G350</f>
      </c>
    </row>
    <row r="351" ht="21" customHeight="1" spans="1:9" x14ac:dyDescent="0.25">
      <c r="A351" s="8"/>
      <c r="B351" s="8"/>
      <c r="C351" s="11">
        <f>IFERROR(LOOKUP(2,1/(($B$3:$B350=B351)*($A$3:$A350&lt;A351)),$G$3:$G350),IFERROR(VLOOKUP(B351,'Inventory Master'!$A$3:$L$300,6,FALSE),0))</f>
      </c>
      <c r="D351" s="11">
        <f>SUMIFS(Purchases!$D:$D,Purchases!$A:$A,$A351,Purchases!$C:$C,$B351)</f>
      </c>
      <c r="E351" s="11">
        <f>SUMIFS('Sales Log'!$D:$D,'Sales Log'!$A:$A,$A351,'Sales Log'!$C:$C,$B351)</f>
      </c>
      <c r="F351" s="8"/>
      <c r="G351" s="8"/>
      <c r="H351" s="11">
        <f>C351+D351-E351-F351</f>
      </c>
      <c r="I351" s="11">
        <f>H351-G351</f>
      </c>
    </row>
    <row r="352" ht="21" customHeight="1" spans="1:9" x14ac:dyDescent="0.25">
      <c r="A352" s="8"/>
      <c r="B352" s="8"/>
      <c r="C352" s="11">
        <f>IFERROR(LOOKUP(2,1/(($B$3:$B351=B352)*($A$3:$A351&lt;A352)),$G$3:$G351),IFERROR(VLOOKUP(B352,'Inventory Master'!$A$3:$L$300,6,FALSE),0))</f>
      </c>
      <c r="D352" s="11">
        <f>SUMIFS(Purchases!$D:$D,Purchases!$A:$A,$A352,Purchases!$C:$C,$B352)</f>
      </c>
      <c r="E352" s="11">
        <f>SUMIFS('Sales Log'!$D:$D,'Sales Log'!$A:$A,$A352,'Sales Log'!$C:$C,$B352)</f>
      </c>
      <c r="F352" s="8"/>
      <c r="G352" s="8"/>
      <c r="H352" s="11">
        <f>C352+D352-E352-F352</f>
      </c>
      <c r="I352" s="11">
        <f>H352-G352</f>
      </c>
    </row>
    <row r="353" ht="21" customHeight="1" spans="1:9" x14ac:dyDescent="0.25">
      <c r="A353" s="8"/>
      <c r="B353" s="8"/>
      <c r="C353" s="11">
        <f>IFERROR(LOOKUP(2,1/(($B$3:$B352=B353)*($A$3:$A352&lt;A353)),$G$3:$G352),IFERROR(VLOOKUP(B353,'Inventory Master'!$A$3:$L$300,6,FALSE),0))</f>
      </c>
      <c r="D353" s="11">
        <f>SUMIFS(Purchases!$D:$D,Purchases!$A:$A,$A353,Purchases!$C:$C,$B353)</f>
      </c>
      <c r="E353" s="11">
        <f>SUMIFS('Sales Log'!$D:$D,'Sales Log'!$A:$A,$A353,'Sales Log'!$C:$C,$B353)</f>
      </c>
      <c r="F353" s="8"/>
      <c r="G353" s="8"/>
      <c r="H353" s="11">
        <f>C353+D353-E353-F353</f>
      </c>
      <c r="I353" s="11">
        <f>H353-G353</f>
      </c>
    </row>
    <row r="354" ht="21" customHeight="1" spans="1:9" x14ac:dyDescent="0.25">
      <c r="A354" s="8"/>
      <c r="B354" s="8"/>
      <c r="C354" s="11">
        <f>IFERROR(LOOKUP(2,1/(($B$3:$B353=B354)*($A$3:$A353&lt;A354)),$G$3:$G353),IFERROR(VLOOKUP(B354,'Inventory Master'!$A$3:$L$300,6,FALSE),0))</f>
      </c>
      <c r="D354" s="11">
        <f>SUMIFS(Purchases!$D:$D,Purchases!$A:$A,$A354,Purchases!$C:$C,$B354)</f>
      </c>
      <c r="E354" s="11">
        <f>SUMIFS('Sales Log'!$D:$D,'Sales Log'!$A:$A,$A354,'Sales Log'!$C:$C,$B354)</f>
      </c>
      <c r="F354" s="8"/>
      <c r="G354" s="8"/>
      <c r="H354" s="11">
        <f>C354+D354-E354-F354</f>
      </c>
      <c r="I354" s="11">
        <f>H354-G354</f>
      </c>
    </row>
    <row r="355" ht="21" customHeight="1" spans="1:9" x14ac:dyDescent="0.25">
      <c r="A355" s="8"/>
      <c r="B355" s="8"/>
      <c r="C355" s="11">
        <f>IFERROR(LOOKUP(2,1/(($B$3:$B354=B355)*($A$3:$A354&lt;A355)),$G$3:$G354),IFERROR(VLOOKUP(B355,'Inventory Master'!$A$3:$L$300,6,FALSE),0))</f>
      </c>
      <c r="D355" s="11">
        <f>SUMIFS(Purchases!$D:$D,Purchases!$A:$A,$A355,Purchases!$C:$C,$B355)</f>
      </c>
      <c r="E355" s="11">
        <f>SUMIFS('Sales Log'!$D:$D,'Sales Log'!$A:$A,$A355,'Sales Log'!$C:$C,$B355)</f>
      </c>
      <c r="F355" s="8"/>
      <c r="G355" s="8"/>
      <c r="H355" s="11">
        <f>C355+D355-E355-F355</f>
      </c>
      <c r="I355" s="11">
        <f>H355-G355</f>
      </c>
    </row>
    <row r="356" ht="21" customHeight="1" spans="1:9" x14ac:dyDescent="0.25">
      <c r="A356" s="8"/>
      <c r="B356" s="8"/>
      <c r="C356" s="11">
        <f>IFERROR(LOOKUP(2,1/(($B$3:$B355=B356)*($A$3:$A355&lt;A356)),$G$3:$G355),IFERROR(VLOOKUP(B356,'Inventory Master'!$A$3:$L$300,6,FALSE),0))</f>
      </c>
      <c r="D356" s="11">
        <f>SUMIFS(Purchases!$D:$D,Purchases!$A:$A,$A356,Purchases!$C:$C,$B356)</f>
      </c>
      <c r="E356" s="11">
        <f>SUMIFS('Sales Log'!$D:$D,'Sales Log'!$A:$A,$A356,'Sales Log'!$C:$C,$B356)</f>
      </c>
      <c r="F356" s="8"/>
      <c r="G356" s="8"/>
      <c r="H356" s="11">
        <f>C356+D356-E356-F356</f>
      </c>
      <c r="I356" s="11">
        <f>H356-G356</f>
      </c>
    </row>
    <row r="357" ht="21" customHeight="1" spans="1:9" x14ac:dyDescent="0.25">
      <c r="A357" s="8"/>
      <c r="B357" s="8"/>
      <c r="C357" s="11">
        <f>IFERROR(LOOKUP(2,1/(($B$3:$B356=B357)*($A$3:$A356&lt;A357)),$G$3:$G356),IFERROR(VLOOKUP(B357,'Inventory Master'!$A$3:$L$300,6,FALSE),0))</f>
      </c>
      <c r="D357" s="11">
        <f>SUMIFS(Purchases!$D:$D,Purchases!$A:$A,$A357,Purchases!$C:$C,$B357)</f>
      </c>
      <c r="E357" s="11">
        <f>SUMIFS('Sales Log'!$D:$D,'Sales Log'!$A:$A,$A357,'Sales Log'!$C:$C,$B357)</f>
      </c>
      <c r="F357" s="8"/>
      <c r="G357" s="8"/>
      <c r="H357" s="11">
        <f>C357+D357-E357-F357</f>
      </c>
      <c r="I357" s="11">
        <f>H357-G357</f>
      </c>
    </row>
    <row r="358" ht="21" customHeight="1" spans="1:9" x14ac:dyDescent="0.25">
      <c r="A358" s="8"/>
      <c r="B358" s="8"/>
      <c r="C358" s="11">
        <f>IFERROR(LOOKUP(2,1/(($B$3:$B357=B358)*($A$3:$A357&lt;A358)),$G$3:$G357),IFERROR(VLOOKUP(B358,'Inventory Master'!$A$3:$L$300,6,FALSE),0))</f>
      </c>
      <c r="D358" s="11">
        <f>SUMIFS(Purchases!$D:$D,Purchases!$A:$A,$A358,Purchases!$C:$C,$B358)</f>
      </c>
      <c r="E358" s="11">
        <f>SUMIFS('Sales Log'!$D:$D,'Sales Log'!$A:$A,$A358,'Sales Log'!$C:$C,$B358)</f>
      </c>
      <c r="F358" s="8"/>
      <c r="G358" s="8"/>
      <c r="H358" s="11">
        <f>C358+D358-E358-F358</f>
      </c>
      <c r="I358" s="11">
        <f>H358-G358</f>
      </c>
    </row>
    <row r="359" ht="21" customHeight="1" spans="1:9" x14ac:dyDescent="0.25">
      <c r="A359" s="8"/>
      <c r="B359" s="8"/>
      <c r="C359" s="11">
        <f>IFERROR(LOOKUP(2,1/(($B$3:$B358=B359)*($A$3:$A358&lt;A359)),$G$3:$G358),IFERROR(VLOOKUP(B359,'Inventory Master'!$A$3:$L$300,6,FALSE),0))</f>
      </c>
      <c r="D359" s="11">
        <f>SUMIFS(Purchases!$D:$D,Purchases!$A:$A,$A359,Purchases!$C:$C,$B359)</f>
      </c>
      <c r="E359" s="11">
        <f>SUMIFS('Sales Log'!$D:$D,'Sales Log'!$A:$A,$A359,'Sales Log'!$C:$C,$B359)</f>
      </c>
      <c r="F359" s="8"/>
      <c r="G359" s="8"/>
      <c r="H359" s="11">
        <f>C359+D359-E359-F359</f>
      </c>
      <c r="I359" s="11">
        <f>H359-G359</f>
      </c>
    </row>
    <row r="360" ht="21" customHeight="1" spans="1:9" x14ac:dyDescent="0.25">
      <c r="A360" s="8"/>
      <c r="B360" s="8"/>
      <c r="C360" s="11">
        <f>IFERROR(LOOKUP(2,1/(($B$3:$B359=B360)*($A$3:$A359&lt;A360)),$G$3:$G359),IFERROR(VLOOKUP(B360,'Inventory Master'!$A$3:$L$300,6,FALSE),0))</f>
      </c>
      <c r="D360" s="11">
        <f>SUMIFS(Purchases!$D:$D,Purchases!$A:$A,$A360,Purchases!$C:$C,$B360)</f>
      </c>
      <c r="E360" s="11">
        <f>SUMIFS('Sales Log'!$D:$D,'Sales Log'!$A:$A,$A360,'Sales Log'!$C:$C,$B360)</f>
      </c>
      <c r="F360" s="8"/>
      <c r="G360" s="8"/>
      <c r="H360" s="11">
        <f>C360+D360-E360-F360</f>
      </c>
      <c r="I360" s="11">
        <f>H360-G360</f>
      </c>
    </row>
    <row r="361" ht="21" customHeight="1" spans="1:9" x14ac:dyDescent="0.25">
      <c r="A361" s="8"/>
      <c r="B361" s="8"/>
      <c r="C361" s="11">
        <f>IFERROR(LOOKUP(2,1/(($B$3:$B360=B361)*($A$3:$A360&lt;A361)),$G$3:$G360),IFERROR(VLOOKUP(B361,'Inventory Master'!$A$3:$L$300,6,FALSE),0))</f>
      </c>
      <c r="D361" s="11">
        <f>SUMIFS(Purchases!$D:$D,Purchases!$A:$A,$A361,Purchases!$C:$C,$B361)</f>
      </c>
      <c r="E361" s="11">
        <f>SUMIFS('Sales Log'!$D:$D,'Sales Log'!$A:$A,$A361,'Sales Log'!$C:$C,$B361)</f>
      </c>
      <c r="F361" s="8"/>
      <c r="G361" s="8"/>
      <c r="H361" s="11">
        <f>C361+D361-E361-F361</f>
      </c>
      <c r="I361" s="11">
        <f>H361-G361</f>
      </c>
    </row>
    <row r="362" ht="21" customHeight="1" spans="1:9" x14ac:dyDescent="0.25">
      <c r="A362" s="8"/>
      <c r="B362" s="8"/>
      <c r="C362" s="11">
        <f>IFERROR(LOOKUP(2,1/(($B$3:$B361=B362)*($A$3:$A361&lt;A362)),$G$3:$G361),IFERROR(VLOOKUP(B362,'Inventory Master'!$A$3:$L$300,6,FALSE),0))</f>
      </c>
      <c r="D362" s="11">
        <f>SUMIFS(Purchases!$D:$D,Purchases!$A:$A,$A362,Purchases!$C:$C,$B362)</f>
      </c>
      <c r="E362" s="11">
        <f>SUMIFS('Sales Log'!$D:$D,'Sales Log'!$A:$A,$A362,'Sales Log'!$C:$C,$B362)</f>
      </c>
      <c r="F362" s="8"/>
      <c r="G362" s="8"/>
      <c r="H362" s="11">
        <f>C362+D362-E362-F362</f>
      </c>
      <c r="I362" s="11">
        <f>H362-G362</f>
      </c>
    </row>
    <row r="363" ht="21" customHeight="1" spans="1:9" x14ac:dyDescent="0.25">
      <c r="A363" s="8"/>
      <c r="B363" s="8"/>
      <c r="C363" s="11">
        <f>IFERROR(LOOKUP(2,1/(($B$3:$B362=B363)*($A$3:$A362&lt;A363)),$G$3:$G362),IFERROR(VLOOKUP(B363,'Inventory Master'!$A$3:$L$300,6,FALSE),0))</f>
      </c>
      <c r="D363" s="11">
        <f>SUMIFS(Purchases!$D:$D,Purchases!$A:$A,$A363,Purchases!$C:$C,$B363)</f>
      </c>
      <c r="E363" s="11">
        <f>SUMIFS('Sales Log'!$D:$D,'Sales Log'!$A:$A,$A363,'Sales Log'!$C:$C,$B363)</f>
      </c>
      <c r="F363" s="8"/>
      <c r="G363" s="8"/>
      <c r="H363" s="11">
        <f>C363+D363-E363-F363</f>
      </c>
      <c r="I363" s="11">
        <f>H363-G363</f>
      </c>
    </row>
    <row r="364" ht="21" customHeight="1" spans="1:9" x14ac:dyDescent="0.25">
      <c r="A364" s="8"/>
      <c r="B364" s="8"/>
      <c r="C364" s="11">
        <f>IFERROR(LOOKUP(2,1/(($B$3:$B363=B364)*($A$3:$A363&lt;A364)),$G$3:$G363),IFERROR(VLOOKUP(B364,'Inventory Master'!$A$3:$L$300,6,FALSE),0))</f>
      </c>
      <c r="D364" s="11">
        <f>SUMIFS(Purchases!$D:$D,Purchases!$A:$A,$A364,Purchases!$C:$C,$B364)</f>
      </c>
      <c r="E364" s="11">
        <f>SUMIFS('Sales Log'!$D:$D,'Sales Log'!$A:$A,$A364,'Sales Log'!$C:$C,$B364)</f>
      </c>
      <c r="F364" s="8"/>
      <c r="G364" s="8"/>
      <c r="H364" s="11">
        <f>C364+D364-E364-F364</f>
      </c>
      <c r="I364" s="11">
        <f>H364-G364</f>
      </c>
    </row>
    <row r="365" ht="21" customHeight="1" spans="1:9" x14ac:dyDescent="0.25">
      <c r="A365" s="8"/>
      <c r="B365" s="8"/>
      <c r="C365" s="11">
        <f>IFERROR(LOOKUP(2,1/(($B$3:$B364=B365)*($A$3:$A364&lt;A365)),$G$3:$G364),IFERROR(VLOOKUP(B365,'Inventory Master'!$A$3:$L$300,6,FALSE),0))</f>
      </c>
      <c r="D365" s="11">
        <f>SUMIFS(Purchases!$D:$D,Purchases!$A:$A,$A365,Purchases!$C:$C,$B365)</f>
      </c>
      <c r="E365" s="11">
        <f>SUMIFS('Sales Log'!$D:$D,'Sales Log'!$A:$A,$A365,'Sales Log'!$C:$C,$B365)</f>
      </c>
      <c r="F365" s="8"/>
      <c r="G365" s="8"/>
      <c r="H365" s="11">
        <f>C365+D365-E365-F365</f>
      </c>
      <c r="I365" s="11">
        <f>H365-G365</f>
      </c>
    </row>
    <row r="366" ht="21" customHeight="1" spans="1:9" x14ac:dyDescent="0.25">
      <c r="A366" s="8"/>
      <c r="B366" s="8"/>
      <c r="C366" s="11">
        <f>IFERROR(LOOKUP(2,1/(($B$3:$B365=B366)*($A$3:$A365&lt;A366)),$G$3:$G365),IFERROR(VLOOKUP(B366,'Inventory Master'!$A$3:$L$300,6,FALSE),0))</f>
      </c>
      <c r="D366" s="11">
        <f>SUMIFS(Purchases!$D:$D,Purchases!$A:$A,$A366,Purchases!$C:$C,$B366)</f>
      </c>
      <c r="E366" s="11">
        <f>SUMIFS('Sales Log'!$D:$D,'Sales Log'!$A:$A,$A366,'Sales Log'!$C:$C,$B366)</f>
      </c>
      <c r="F366" s="8"/>
      <c r="G366" s="8"/>
      <c r="H366" s="11">
        <f>C366+D366-E366-F366</f>
      </c>
      <c r="I366" s="11">
        <f>H366-G366</f>
      </c>
    </row>
    <row r="367" ht="21" customHeight="1" spans="1:9" x14ac:dyDescent="0.25">
      <c r="A367" s="8"/>
      <c r="B367" s="8"/>
      <c r="C367" s="11">
        <f>IFERROR(LOOKUP(2,1/(($B$3:$B366=B367)*($A$3:$A366&lt;A367)),$G$3:$G366),IFERROR(VLOOKUP(B367,'Inventory Master'!$A$3:$L$300,6,FALSE),0))</f>
      </c>
      <c r="D367" s="11">
        <f>SUMIFS(Purchases!$D:$D,Purchases!$A:$A,$A367,Purchases!$C:$C,$B367)</f>
      </c>
      <c r="E367" s="11">
        <f>SUMIFS('Sales Log'!$D:$D,'Sales Log'!$A:$A,$A367,'Sales Log'!$C:$C,$B367)</f>
      </c>
      <c r="F367" s="8"/>
      <c r="G367" s="8"/>
      <c r="H367" s="11">
        <f>C367+D367-E367-F367</f>
      </c>
      <c r="I367" s="11">
        <f>H367-G367</f>
      </c>
    </row>
    <row r="368" ht="21" customHeight="1" spans="1:9" x14ac:dyDescent="0.25">
      <c r="A368" s="8"/>
      <c r="B368" s="8"/>
      <c r="C368" s="11">
        <f>IFERROR(LOOKUP(2,1/(($B$3:$B367=B368)*($A$3:$A367&lt;A368)),$G$3:$G367),IFERROR(VLOOKUP(B368,'Inventory Master'!$A$3:$L$300,6,FALSE),0))</f>
      </c>
      <c r="D368" s="11">
        <f>SUMIFS(Purchases!$D:$D,Purchases!$A:$A,$A368,Purchases!$C:$C,$B368)</f>
      </c>
      <c r="E368" s="11">
        <f>SUMIFS('Sales Log'!$D:$D,'Sales Log'!$A:$A,$A368,'Sales Log'!$C:$C,$B368)</f>
      </c>
      <c r="F368" s="8"/>
      <c r="G368" s="8"/>
      <c r="H368" s="11">
        <f>C368+D368-E368-F368</f>
      </c>
      <c r="I368" s="11">
        <f>H368-G368</f>
      </c>
    </row>
    <row r="369" ht="21" customHeight="1" spans="1:9" x14ac:dyDescent="0.25">
      <c r="A369" s="8"/>
      <c r="B369" s="8"/>
      <c r="C369" s="11">
        <f>IFERROR(LOOKUP(2,1/(($B$3:$B368=B369)*($A$3:$A368&lt;A369)),$G$3:$G368),IFERROR(VLOOKUP(B369,'Inventory Master'!$A$3:$L$300,6,FALSE),0))</f>
      </c>
      <c r="D369" s="11">
        <f>SUMIFS(Purchases!$D:$D,Purchases!$A:$A,$A369,Purchases!$C:$C,$B369)</f>
      </c>
      <c r="E369" s="11">
        <f>SUMIFS('Sales Log'!$D:$D,'Sales Log'!$A:$A,$A369,'Sales Log'!$C:$C,$B369)</f>
      </c>
      <c r="F369" s="8"/>
      <c r="G369" s="8"/>
      <c r="H369" s="11">
        <f>C369+D369-E369-F369</f>
      </c>
      <c r="I369" s="11">
        <f>H369-G369</f>
      </c>
    </row>
    <row r="370" ht="21" customHeight="1" spans="1:9" x14ac:dyDescent="0.25">
      <c r="A370" s="8"/>
      <c r="B370" s="8"/>
      <c r="C370" s="11">
        <f>IFERROR(LOOKUP(2,1/(($B$3:$B369=B370)*($A$3:$A369&lt;A370)),$G$3:$G369),IFERROR(VLOOKUP(B370,'Inventory Master'!$A$3:$L$300,6,FALSE),0))</f>
      </c>
      <c r="D370" s="11">
        <f>SUMIFS(Purchases!$D:$D,Purchases!$A:$A,$A370,Purchases!$C:$C,$B370)</f>
      </c>
      <c r="E370" s="11">
        <f>SUMIFS('Sales Log'!$D:$D,'Sales Log'!$A:$A,$A370,'Sales Log'!$C:$C,$B370)</f>
      </c>
      <c r="F370" s="8"/>
      <c r="G370" s="8"/>
      <c r="H370" s="11">
        <f>C370+D370-E370-F370</f>
      </c>
      <c r="I370" s="11">
        <f>H370-G370</f>
      </c>
    </row>
    <row r="371" ht="21" customHeight="1" spans="1:9" x14ac:dyDescent="0.25">
      <c r="A371" s="8"/>
      <c r="B371" s="8"/>
      <c r="C371" s="11">
        <f>IFERROR(LOOKUP(2,1/(($B$3:$B370=B371)*($A$3:$A370&lt;A371)),$G$3:$G370),IFERROR(VLOOKUP(B371,'Inventory Master'!$A$3:$L$300,6,FALSE),0))</f>
      </c>
      <c r="D371" s="11">
        <f>SUMIFS(Purchases!$D:$D,Purchases!$A:$A,$A371,Purchases!$C:$C,$B371)</f>
      </c>
      <c r="E371" s="11">
        <f>SUMIFS('Sales Log'!$D:$D,'Sales Log'!$A:$A,$A371,'Sales Log'!$C:$C,$B371)</f>
      </c>
      <c r="F371" s="8"/>
      <c r="G371" s="8"/>
      <c r="H371" s="11">
        <f>C371+D371-E371-F371</f>
      </c>
      <c r="I371" s="11">
        <f>H371-G371</f>
      </c>
    </row>
    <row r="372" ht="21" customHeight="1" spans="1:9" x14ac:dyDescent="0.25">
      <c r="A372" s="8"/>
      <c r="B372" s="8"/>
      <c r="C372" s="11">
        <f>IFERROR(LOOKUP(2,1/(($B$3:$B371=B372)*($A$3:$A371&lt;A372)),$G$3:$G371),IFERROR(VLOOKUP(B372,'Inventory Master'!$A$3:$L$300,6,FALSE),0))</f>
      </c>
      <c r="D372" s="11">
        <f>SUMIFS(Purchases!$D:$D,Purchases!$A:$A,$A372,Purchases!$C:$C,$B372)</f>
      </c>
      <c r="E372" s="11">
        <f>SUMIFS('Sales Log'!$D:$D,'Sales Log'!$A:$A,$A372,'Sales Log'!$C:$C,$B372)</f>
      </c>
      <c r="F372" s="8"/>
      <c r="G372" s="8"/>
      <c r="H372" s="11">
        <f>C372+D372-E372-F372</f>
      </c>
      <c r="I372" s="11">
        <f>H372-G372</f>
      </c>
    </row>
    <row r="373" ht="21" customHeight="1" spans="1:9" x14ac:dyDescent="0.25">
      <c r="A373" s="8"/>
      <c r="B373" s="8"/>
      <c r="C373" s="11">
        <f>IFERROR(LOOKUP(2,1/(($B$3:$B372=B373)*($A$3:$A372&lt;A373)),$G$3:$G372),IFERROR(VLOOKUP(B373,'Inventory Master'!$A$3:$L$300,6,FALSE),0))</f>
      </c>
      <c r="D373" s="11">
        <f>SUMIFS(Purchases!$D:$D,Purchases!$A:$A,$A373,Purchases!$C:$C,$B373)</f>
      </c>
      <c r="E373" s="11">
        <f>SUMIFS('Sales Log'!$D:$D,'Sales Log'!$A:$A,$A373,'Sales Log'!$C:$C,$B373)</f>
      </c>
      <c r="F373" s="8"/>
      <c r="G373" s="8"/>
      <c r="H373" s="11">
        <f>C373+D373-E373-F373</f>
      </c>
      <c r="I373" s="11">
        <f>H373-G373</f>
      </c>
    </row>
    <row r="374" ht="21" customHeight="1" spans="1:9" x14ac:dyDescent="0.25">
      <c r="A374" s="8"/>
      <c r="B374" s="8"/>
      <c r="C374" s="11">
        <f>IFERROR(LOOKUP(2,1/(($B$3:$B373=B374)*($A$3:$A373&lt;A374)),$G$3:$G373),IFERROR(VLOOKUP(B374,'Inventory Master'!$A$3:$L$300,6,FALSE),0))</f>
      </c>
      <c r="D374" s="11">
        <f>SUMIFS(Purchases!$D:$D,Purchases!$A:$A,$A374,Purchases!$C:$C,$B374)</f>
      </c>
      <c r="E374" s="11">
        <f>SUMIFS('Sales Log'!$D:$D,'Sales Log'!$A:$A,$A374,'Sales Log'!$C:$C,$B374)</f>
      </c>
      <c r="F374" s="8"/>
      <c r="G374" s="8"/>
      <c r="H374" s="11">
        <f>C374+D374-E374-F374</f>
      </c>
      <c r="I374" s="11">
        <f>H374-G374</f>
      </c>
    </row>
    <row r="375" ht="21" customHeight="1" spans="1:9" x14ac:dyDescent="0.25">
      <c r="A375" s="8"/>
      <c r="B375" s="8"/>
      <c r="C375" s="11">
        <f>IFERROR(LOOKUP(2,1/(($B$3:$B374=B375)*($A$3:$A374&lt;A375)),$G$3:$G374),IFERROR(VLOOKUP(B375,'Inventory Master'!$A$3:$L$300,6,FALSE),0))</f>
      </c>
      <c r="D375" s="11">
        <f>SUMIFS(Purchases!$D:$D,Purchases!$A:$A,$A375,Purchases!$C:$C,$B375)</f>
      </c>
      <c r="E375" s="11">
        <f>SUMIFS('Sales Log'!$D:$D,'Sales Log'!$A:$A,$A375,'Sales Log'!$C:$C,$B375)</f>
      </c>
      <c r="F375" s="8"/>
      <c r="G375" s="8"/>
      <c r="H375" s="11">
        <f>C375+D375-E375-F375</f>
      </c>
      <c r="I375" s="11">
        <f>H375-G375</f>
      </c>
    </row>
    <row r="376" ht="21" customHeight="1" spans="1:9" x14ac:dyDescent="0.25">
      <c r="A376" s="8"/>
      <c r="B376" s="8"/>
      <c r="C376" s="11">
        <f>IFERROR(LOOKUP(2,1/(($B$3:$B375=B376)*($A$3:$A375&lt;A376)),$G$3:$G375),IFERROR(VLOOKUP(B376,'Inventory Master'!$A$3:$L$300,6,FALSE),0))</f>
      </c>
      <c r="D376" s="11">
        <f>SUMIFS(Purchases!$D:$D,Purchases!$A:$A,$A376,Purchases!$C:$C,$B376)</f>
      </c>
      <c r="E376" s="11">
        <f>SUMIFS('Sales Log'!$D:$D,'Sales Log'!$A:$A,$A376,'Sales Log'!$C:$C,$B376)</f>
      </c>
      <c r="F376" s="8"/>
      <c r="G376" s="8"/>
      <c r="H376" s="11">
        <f>C376+D376-E376-F376</f>
      </c>
      <c r="I376" s="11">
        <f>H376-G376</f>
      </c>
    </row>
    <row r="377" ht="21" customHeight="1" spans="1:9" x14ac:dyDescent="0.25">
      <c r="A377" s="8"/>
      <c r="B377" s="8"/>
      <c r="C377" s="11">
        <f>IFERROR(LOOKUP(2,1/(($B$3:$B376=B377)*($A$3:$A376&lt;A377)),$G$3:$G376),IFERROR(VLOOKUP(B377,'Inventory Master'!$A$3:$L$300,6,FALSE),0))</f>
      </c>
      <c r="D377" s="11">
        <f>SUMIFS(Purchases!$D:$D,Purchases!$A:$A,$A377,Purchases!$C:$C,$B377)</f>
      </c>
      <c r="E377" s="11">
        <f>SUMIFS('Sales Log'!$D:$D,'Sales Log'!$A:$A,$A377,'Sales Log'!$C:$C,$B377)</f>
      </c>
      <c r="F377" s="8"/>
      <c r="G377" s="8"/>
      <c r="H377" s="11">
        <f>C377+D377-E377-F377</f>
      </c>
      <c r="I377" s="11">
        <f>H377-G377</f>
      </c>
    </row>
    <row r="378" ht="21" customHeight="1" spans="1:9" x14ac:dyDescent="0.25">
      <c r="A378" s="8"/>
      <c r="B378" s="8"/>
      <c r="C378" s="11">
        <f>IFERROR(LOOKUP(2,1/(($B$3:$B377=B378)*($A$3:$A377&lt;A378)),$G$3:$G377),IFERROR(VLOOKUP(B378,'Inventory Master'!$A$3:$L$300,6,FALSE),0))</f>
      </c>
      <c r="D378" s="11">
        <f>SUMIFS(Purchases!$D:$D,Purchases!$A:$A,$A378,Purchases!$C:$C,$B378)</f>
      </c>
      <c r="E378" s="11">
        <f>SUMIFS('Sales Log'!$D:$D,'Sales Log'!$A:$A,$A378,'Sales Log'!$C:$C,$B378)</f>
      </c>
      <c r="F378" s="8"/>
      <c r="G378" s="8"/>
      <c r="H378" s="11">
        <f>C378+D378-E378-F378</f>
      </c>
      <c r="I378" s="11">
        <f>H378-G378</f>
      </c>
    </row>
    <row r="379" ht="21" customHeight="1" spans="1:9" x14ac:dyDescent="0.25">
      <c r="A379" s="8"/>
      <c r="B379" s="8"/>
      <c r="C379" s="11">
        <f>IFERROR(LOOKUP(2,1/(($B$3:$B378=B379)*($A$3:$A378&lt;A379)),$G$3:$G378),IFERROR(VLOOKUP(B379,'Inventory Master'!$A$3:$L$300,6,FALSE),0))</f>
      </c>
      <c r="D379" s="11">
        <f>SUMIFS(Purchases!$D:$D,Purchases!$A:$A,$A379,Purchases!$C:$C,$B379)</f>
      </c>
      <c r="E379" s="11">
        <f>SUMIFS('Sales Log'!$D:$D,'Sales Log'!$A:$A,$A379,'Sales Log'!$C:$C,$B379)</f>
      </c>
      <c r="F379" s="8"/>
      <c r="G379" s="8"/>
      <c r="H379" s="11">
        <f>C379+D379-E379-F379</f>
      </c>
      <c r="I379" s="11">
        <f>H379-G379</f>
      </c>
    </row>
    <row r="380" ht="21" customHeight="1" spans="1:9" x14ac:dyDescent="0.25">
      <c r="A380" s="8"/>
      <c r="B380" s="8"/>
      <c r="C380" s="11">
        <f>IFERROR(LOOKUP(2,1/(($B$3:$B379=B380)*($A$3:$A379&lt;A380)),$G$3:$G379),IFERROR(VLOOKUP(B380,'Inventory Master'!$A$3:$L$300,6,FALSE),0))</f>
      </c>
      <c r="D380" s="11">
        <f>SUMIFS(Purchases!$D:$D,Purchases!$A:$A,$A380,Purchases!$C:$C,$B380)</f>
      </c>
      <c r="E380" s="11">
        <f>SUMIFS('Sales Log'!$D:$D,'Sales Log'!$A:$A,$A380,'Sales Log'!$C:$C,$B380)</f>
      </c>
      <c r="F380" s="8"/>
      <c r="G380" s="8"/>
      <c r="H380" s="11">
        <f>C380+D380-E380-F380</f>
      </c>
      <c r="I380" s="11">
        <f>H380-G380</f>
      </c>
    </row>
    <row r="381" ht="21" customHeight="1" spans="1:9" x14ac:dyDescent="0.25">
      <c r="A381" s="8"/>
      <c r="B381" s="8"/>
      <c r="C381" s="11">
        <f>IFERROR(LOOKUP(2,1/(($B$3:$B380=B381)*($A$3:$A380&lt;A381)),$G$3:$G380),IFERROR(VLOOKUP(B381,'Inventory Master'!$A$3:$L$300,6,FALSE),0))</f>
      </c>
      <c r="D381" s="11">
        <f>SUMIFS(Purchases!$D:$D,Purchases!$A:$A,$A381,Purchases!$C:$C,$B381)</f>
      </c>
      <c r="E381" s="11">
        <f>SUMIFS('Sales Log'!$D:$D,'Sales Log'!$A:$A,$A381,'Sales Log'!$C:$C,$B381)</f>
      </c>
      <c r="F381" s="8"/>
      <c r="G381" s="8"/>
      <c r="H381" s="11">
        <f>C381+D381-E381-F381</f>
      </c>
      <c r="I381" s="11">
        <f>H381-G381</f>
      </c>
    </row>
    <row r="382" ht="21" customHeight="1" spans="1:9" x14ac:dyDescent="0.25">
      <c r="A382" s="8"/>
      <c r="B382" s="8"/>
      <c r="C382" s="11">
        <f>IFERROR(LOOKUP(2,1/(($B$3:$B381=B382)*($A$3:$A381&lt;A382)),$G$3:$G381),IFERROR(VLOOKUP(B382,'Inventory Master'!$A$3:$L$300,6,FALSE),0))</f>
      </c>
      <c r="D382" s="11">
        <f>SUMIFS(Purchases!$D:$D,Purchases!$A:$A,$A382,Purchases!$C:$C,$B382)</f>
      </c>
      <c r="E382" s="11">
        <f>SUMIFS('Sales Log'!$D:$D,'Sales Log'!$A:$A,$A382,'Sales Log'!$C:$C,$B382)</f>
      </c>
      <c r="F382" s="8"/>
      <c r="G382" s="8"/>
      <c r="H382" s="11">
        <f>C382+D382-E382-F382</f>
      </c>
      <c r="I382" s="11">
        <f>H382-G382</f>
      </c>
    </row>
    <row r="383" ht="21" customHeight="1" spans="1:9" x14ac:dyDescent="0.25">
      <c r="A383" s="8"/>
      <c r="B383" s="8"/>
      <c r="C383" s="11">
        <f>IFERROR(LOOKUP(2,1/(($B$3:$B382=B383)*($A$3:$A382&lt;A383)),$G$3:$G382),IFERROR(VLOOKUP(B383,'Inventory Master'!$A$3:$L$300,6,FALSE),0))</f>
      </c>
      <c r="D383" s="11">
        <f>SUMIFS(Purchases!$D:$D,Purchases!$A:$A,$A383,Purchases!$C:$C,$B383)</f>
      </c>
      <c r="E383" s="11">
        <f>SUMIFS('Sales Log'!$D:$D,'Sales Log'!$A:$A,$A383,'Sales Log'!$C:$C,$B383)</f>
      </c>
      <c r="F383" s="8"/>
      <c r="G383" s="8"/>
      <c r="H383" s="11">
        <f>C383+D383-E383-F383</f>
      </c>
      <c r="I383" s="11">
        <f>H383-G383</f>
      </c>
    </row>
    <row r="384" ht="21" customHeight="1" spans="1:9" x14ac:dyDescent="0.25">
      <c r="A384" s="8"/>
      <c r="B384" s="8"/>
      <c r="C384" s="11">
        <f>IFERROR(LOOKUP(2,1/(($B$3:$B383=B384)*($A$3:$A383&lt;A384)),$G$3:$G383),IFERROR(VLOOKUP(B384,'Inventory Master'!$A$3:$L$300,6,FALSE),0))</f>
      </c>
      <c r="D384" s="11">
        <f>SUMIFS(Purchases!$D:$D,Purchases!$A:$A,$A384,Purchases!$C:$C,$B384)</f>
      </c>
      <c r="E384" s="11">
        <f>SUMIFS('Sales Log'!$D:$D,'Sales Log'!$A:$A,$A384,'Sales Log'!$C:$C,$B384)</f>
      </c>
      <c r="F384" s="8"/>
      <c r="G384" s="8"/>
      <c r="H384" s="11">
        <f>C384+D384-E384-F384</f>
      </c>
      <c r="I384" s="11">
        <f>H384-G384</f>
      </c>
    </row>
    <row r="385" ht="21" customHeight="1" spans="1:9" x14ac:dyDescent="0.25">
      <c r="A385" s="8"/>
      <c r="B385" s="8"/>
      <c r="C385" s="11">
        <f>IFERROR(LOOKUP(2,1/(($B$3:$B384=B385)*($A$3:$A384&lt;A385)),$G$3:$G384),IFERROR(VLOOKUP(B385,'Inventory Master'!$A$3:$L$300,6,FALSE),0))</f>
      </c>
      <c r="D385" s="11">
        <f>SUMIFS(Purchases!$D:$D,Purchases!$A:$A,$A385,Purchases!$C:$C,$B385)</f>
      </c>
      <c r="E385" s="11">
        <f>SUMIFS('Sales Log'!$D:$D,'Sales Log'!$A:$A,$A385,'Sales Log'!$C:$C,$B385)</f>
      </c>
      <c r="F385" s="8"/>
      <c r="G385" s="8"/>
      <c r="H385" s="11">
        <f>C385+D385-E385-F385</f>
      </c>
      <c r="I385" s="11">
        <f>H385-G385</f>
      </c>
    </row>
    <row r="386" ht="21" customHeight="1" spans="1:9" x14ac:dyDescent="0.25">
      <c r="A386" s="8"/>
      <c r="B386" s="8"/>
      <c r="C386" s="11">
        <f>IFERROR(LOOKUP(2,1/(($B$3:$B385=B386)*($A$3:$A385&lt;A386)),$G$3:$G385),IFERROR(VLOOKUP(B386,'Inventory Master'!$A$3:$L$300,6,FALSE),0))</f>
      </c>
      <c r="D386" s="11">
        <f>SUMIFS(Purchases!$D:$D,Purchases!$A:$A,$A386,Purchases!$C:$C,$B386)</f>
      </c>
      <c r="E386" s="11">
        <f>SUMIFS('Sales Log'!$D:$D,'Sales Log'!$A:$A,$A386,'Sales Log'!$C:$C,$B386)</f>
      </c>
      <c r="F386" s="8"/>
      <c r="G386" s="8"/>
      <c r="H386" s="11">
        <f>C386+D386-E386-F386</f>
      </c>
      <c r="I386" s="11">
        <f>H386-G386</f>
      </c>
    </row>
    <row r="387" ht="21" customHeight="1" spans="1:9" x14ac:dyDescent="0.25">
      <c r="A387" s="8"/>
      <c r="B387" s="8"/>
      <c r="C387" s="11">
        <f>IFERROR(LOOKUP(2,1/(($B$3:$B386=B387)*($A$3:$A386&lt;A387)),$G$3:$G386),IFERROR(VLOOKUP(B387,'Inventory Master'!$A$3:$L$300,6,FALSE),0))</f>
      </c>
      <c r="D387" s="11">
        <f>SUMIFS(Purchases!$D:$D,Purchases!$A:$A,$A387,Purchases!$C:$C,$B387)</f>
      </c>
      <c r="E387" s="11">
        <f>SUMIFS('Sales Log'!$D:$D,'Sales Log'!$A:$A,$A387,'Sales Log'!$C:$C,$B387)</f>
      </c>
      <c r="F387" s="8"/>
      <c r="G387" s="8"/>
      <c r="H387" s="11">
        <f>C387+D387-E387-F387</f>
      </c>
      <c r="I387" s="11">
        <f>H387-G387</f>
      </c>
    </row>
    <row r="388" ht="21" customHeight="1" spans="1:9" x14ac:dyDescent="0.25">
      <c r="A388" s="8"/>
      <c r="B388" s="8"/>
      <c r="C388" s="11">
        <f>IFERROR(LOOKUP(2,1/(($B$3:$B387=B388)*($A$3:$A387&lt;A388)),$G$3:$G387),IFERROR(VLOOKUP(B388,'Inventory Master'!$A$3:$L$300,6,FALSE),0))</f>
      </c>
      <c r="D388" s="11">
        <f>SUMIFS(Purchases!$D:$D,Purchases!$A:$A,$A388,Purchases!$C:$C,$B388)</f>
      </c>
      <c r="E388" s="11">
        <f>SUMIFS('Sales Log'!$D:$D,'Sales Log'!$A:$A,$A388,'Sales Log'!$C:$C,$B388)</f>
      </c>
      <c r="F388" s="8"/>
      <c r="G388" s="8"/>
      <c r="H388" s="11">
        <f>C388+D388-E388-F388</f>
      </c>
      <c r="I388" s="11">
        <f>H388-G388</f>
      </c>
    </row>
    <row r="389" ht="21" customHeight="1" spans="1:9" x14ac:dyDescent="0.25">
      <c r="A389" s="8"/>
      <c r="B389" s="8"/>
      <c r="C389" s="11">
        <f>IFERROR(LOOKUP(2,1/(($B$3:$B388=B389)*($A$3:$A388&lt;A389)),$G$3:$G388),IFERROR(VLOOKUP(B389,'Inventory Master'!$A$3:$L$300,6,FALSE),0))</f>
      </c>
      <c r="D389" s="11">
        <f>SUMIFS(Purchases!$D:$D,Purchases!$A:$A,$A389,Purchases!$C:$C,$B389)</f>
      </c>
      <c r="E389" s="11">
        <f>SUMIFS('Sales Log'!$D:$D,'Sales Log'!$A:$A,$A389,'Sales Log'!$C:$C,$B389)</f>
      </c>
      <c r="F389" s="8"/>
      <c r="G389" s="8"/>
      <c r="H389" s="11">
        <f>C389+D389-E389-F389</f>
      </c>
      <c r="I389" s="11">
        <f>H389-G389</f>
      </c>
    </row>
    <row r="390" ht="21" customHeight="1" spans="1:9" x14ac:dyDescent="0.25">
      <c r="A390" s="8"/>
      <c r="B390" s="8"/>
      <c r="C390" s="11">
        <f>IFERROR(LOOKUP(2,1/(($B$3:$B389=B390)*($A$3:$A389&lt;A390)),$G$3:$G389),IFERROR(VLOOKUP(B390,'Inventory Master'!$A$3:$L$300,6,FALSE),0))</f>
      </c>
      <c r="D390" s="11">
        <f>SUMIFS(Purchases!$D:$D,Purchases!$A:$A,$A390,Purchases!$C:$C,$B390)</f>
      </c>
      <c r="E390" s="11">
        <f>SUMIFS('Sales Log'!$D:$D,'Sales Log'!$A:$A,$A390,'Sales Log'!$C:$C,$B390)</f>
      </c>
      <c r="F390" s="8"/>
      <c r="G390" s="8"/>
      <c r="H390" s="11">
        <f>C390+D390-E390-F390</f>
      </c>
      <c r="I390" s="11">
        <f>H390-G390</f>
      </c>
    </row>
    <row r="391" ht="21" customHeight="1" spans="1:9" x14ac:dyDescent="0.25">
      <c r="A391" s="8"/>
      <c r="B391" s="8"/>
      <c r="C391" s="11">
        <f>IFERROR(LOOKUP(2,1/(($B$3:$B390=B391)*($A$3:$A390&lt;A391)),$G$3:$G390),IFERROR(VLOOKUP(B391,'Inventory Master'!$A$3:$L$300,6,FALSE),0))</f>
      </c>
      <c r="D391" s="11">
        <f>SUMIFS(Purchases!$D:$D,Purchases!$A:$A,$A391,Purchases!$C:$C,$B391)</f>
      </c>
      <c r="E391" s="11">
        <f>SUMIFS('Sales Log'!$D:$D,'Sales Log'!$A:$A,$A391,'Sales Log'!$C:$C,$B391)</f>
      </c>
      <c r="F391" s="8"/>
      <c r="G391" s="8"/>
      <c r="H391" s="11">
        <f>C391+D391-E391-F391</f>
      </c>
      <c r="I391" s="11">
        <f>H391-G391</f>
      </c>
    </row>
    <row r="392" ht="21" customHeight="1" spans="1:9" x14ac:dyDescent="0.25">
      <c r="A392" s="8"/>
      <c r="B392" s="8"/>
      <c r="C392" s="11">
        <f>IFERROR(LOOKUP(2,1/(($B$3:$B391=B392)*($A$3:$A391&lt;A392)),$G$3:$G391),IFERROR(VLOOKUP(B392,'Inventory Master'!$A$3:$L$300,6,FALSE),0))</f>
      </c>
      <c r="D392" s="11">
        <f>SUMIFS(Purchases!$D:$D,Purchases!$A:$A,$A392,Purchases!$C:$C,$B392)</f>
      </c>
      <c r="E392" s="11">
        <f>SUMIFS('Sales Log'!$D:$D,'Sales Log'!$A:$A,$A392,'Sales Log'!$C:$C,$B392)</f>
      </c>
      <c r="F392" s="8"/>
      <c r="G392" s="8"/>
      <c r="H392" s="11">
        <f>C392+D392-E392-F392</f>
      </c>
      <c r="I392" s="11">
        <f>H392-G392</f>
      </c>
    </row>
    <row r="393" ht="21" customHeight="1" spans="1:9" x14ac:dyDescent="0.25">
      <c r="A393" s="8"/>
      <c r="B393" s="8"/>
      <c r="C393" s="11">
        <f>IFERROR(LOOKUP(2,1/(($B$3:$B392=B393)*($A$3:$A392&lt;A393)),$G$3:$G392),IFERROR(VLOOKUP(B393,'Inventory Master'!$A$3:$L$300,6,FALSE),0))</f>
      </c>
      <c r="D393" s="11">
        <f>SUMIFS(Purchases!$D:$D,Purchases!$A:$A,$A393,Purchases!$C:$C,$B393)</f>
      </c>
      <c r="E393" s="11">
        <f>SUMIFS('Sales Log'!$D:$D,'Sales Log'!$A:$A,$A393,'Sales Log'!$C:$C,$B393)</f>
      </c>
      <c r="F393" s="8"/>
      <c r="G393" s="8"/>
      <c r="H393" s="11">
        <f>C393+D393-E393-F393</f>
      </c>
      <c r="I393" s="11">
        <f>H393-G393</f>
      </c>
    </row>
    <row r="394" ht="21" customHeight="1" spans="1:9" x14ac:dyDescent="0.25">
      <c r="A394" s="8"/>
      <c r="B394" s="8"/>
      <c r="C394" s="11">
        <f>IFERROR(LOOKUP(2,1/(($B$3:$B393=B394)*($A$3:$A393&lt;A394)),$G$3:$G393),IFERROR(VLOOKUP(B394,'Inventory Master'!$A$3:$L$300,6,FALSE),0))</f>
      </c>
      <c r="D394" s="11">
        <f>SUMIFS(Purchases!$D:$D,Purchases!$A:$A,$A394,Purchases!$C:$C,$B394)</f>
      </c>
      <c r="E394" s="11">
        <f>SUMIFS('Sales Log'!$D:$D,'Sales Log'!$A:$A,$A394,'Sales Log'!$C:$C,$B394)</f>
      </c>
      <c r="F394" s="8"/>
      <c r="G394" s="8"/>
      <c r="H394" s="11">
        <f>C394+D394-E394-F394</f>
      </c>
      <c r="I394" s="11">
        <f>H394-G394</f>
      </c>
    </row>
    <row r="395" ht="21" customHeight="1" spans="1:9" x14ac:dyDescent="0.25">
      <c r="A395" s="8"/>
      <c r="B395" s="8"/>
      <c r="C395" s="11">
        <f>IFERROR(LOOKUP(2,1/(($B$3:$B394=B395)*($A$3:$A394&lt;A395)),$G$3:$G394),IFERROR(VLOOKUP(B395,'Inventory Master'!$A$3:$L$300,6,FALSE),0))</f>
      </c>
      <c r="D395" s="11">
        <f>SUMIFS(Purchases!$D:$D,Purchases!$A:$A,$A395,Purchases!$C:$C,$B395)</f>
      </c>
      <c r="E395" s="11">
        <f>SUMIFS('Sales Log'!$D:$D,'Sales Log'!$A:$A,$A395,'Sales Log'!$C:$C,$B395)</f>
      </c>
      <c r="F395" s="8"/>
      <c r="G395" s="8"/>
      <c r="H395" s="11">
        <f>C395+D395-E395-F395</f>
      </c>
      <c r="I395" s="11">
        <f>H395-G395</f>
      </c>
    </row>
    <row r="396" ht="21" customHeight="1" spans="1:9" x14ac:dyDescent="0.25">
      <c r="A396" s="8"/>
      <c r="B396" s="8"/>
      <c r="C396" s="11">
        <f>IFERROR(LOOKUP(2,1/(($B$3:$B395=B396)*($A$3:$A395&lt;A396)),$G$3:$G395),IFERROR(VLOOKUP(B396,'Inventory Master'!$A$3:$L$300,6,FALSE),0))</f>
      </c>
      <c r="D396" s="11">
        <f>SUMIFS(Purchases!$D:$D,Purchases!$A:$A,$A396,Purchases!$C:$C,$B396)</f>
      </c>
      <c r="E396" s="11">
        <f>SUMIFS('Sales Log'!$D:$D,'Sales Log'!$A:$A,$A396,'Sales Log'!$C:$C,$B396)</f>
      </c>
      <c r="F396" s="8"/>
      <c r="G396" s="8"/>
      <c r="H396" s="11">
        <f>C396+D396-E396-F396</f>
      </c>
      <c r="I396" s="11">
        <f>H396-G396</f>
      </c>
    </row>
    <row r="397" ht="21" customHeight="1" spans="1:9" x14ac:dyDescent="0.25">
      <c r="A397" s="8"/>
      <c r="B397" s="8"/>
      <c r="C397" s="11">
        <f>IFERROR(LOOKUP(2,1/(($B$3:$B396=B397)*($A$3:$A396&lt;A397)),$G$3:$G396),IFERROR(VLOOKUP(B397,'Inventory Master'!$A$3:$L$300,6,FALSE),0))</f>
      </c>
      <c r="D397" s="11">
        <f>SUMIFS(Purchases!$D:$D,Purchases!$A:$A,$A397,Purchases!$C:$C,$B397)</f>
      </c>
      <c r="E397" s="11">
        <f>SUMIFS('Sales Log'!$D:$D,'Sales Log'!$A:$A,$A397,'Sales Log'!$C:$C,$B397)</f>
      </c>
      <c r="F397" s="8"/>
      <c r="G397" s="8"/>
      <c r="H397" s="11">
        <f>C397+D397-E397-F397</f>
      </c>
      <c r="I397" s="11">
        <f>H397-G397</f>
      </c>
    </row>
    <row r="398" ht="21" customHeight="1" spans="1:9" x14ac:dyDescent="0.25">
      <c r="A398" s="8"/>
      <c r="B398" s="8"/>
      <c r="C398" s="11">
        <f>IFERROR(LOOKUP(2,1/(($B$3:$B397=B398)*($A$3:$A397&lt;A398)),$G$3:$G397),IFERROR(VLOOKUP(B398,'Inventory Master'!$A$3:$L$300,6,FALSE),0))</f>
      </c>
      <c r="D398" s="11">
        <f>SUMIFS(Purchases!$D:$D,Purchases!$A:$A,$A398,Purchases!$C:$C,$B398)</f>
      </c>
      <c r="E398" s="11">
        <f>SUMIFS('Sales Log'!$D:$D,'Sales Log'!$A:$A,$A398,'Sales Log'!$C:$C,$B398)</f>
      </c>
      <c r="F398" s="8"/>
      <c r="G398" s="8"/>
      <c r="H398" s="11">
        <f>C398+D398-E398-F398</f>
      </c>
      <c r="I398" s="11">
        <f>H398-G398</f>
      </c>
    </row>
    <row r="399" ht="21" customHeight="1" spans="1:9" x14ac:dyDescent="0.25">
      <c r="A399" s="8"/>
      <c r="B399" s="8"/>
      <c r="C399" s="11">
        <f>IFERROR(LOOKUP(2,1/(($B$3:$B398=B399)*($A$3:$A398&lt;A399)),$G$3:$G398),IFERROR(VLOOKUP(B399,'Inventory Master'!$A$3:$L$300,6,FALSE),0))</f>
      </c>
      <c r="D399" s="11">
        <f>SUMIFS(Purchases!$D:$D,Purchases!$A:$A,$A399,Purchases!$C:$C,$B399)</f>
      </c>
      <c r="E399" s="11">
        <f>SUMIFS('Sales Log'!$D:$D,'Sales Log'!$A:$A,$A399,'Sales Log'!$C:$C,$B399)</f>
      </c>
      <c r="F399" s="8"/>
      <c r="G399" s="8"/>
      <c r="H399" s="11">
        <f>C399+D399-E399-F399</f>
      </c>
      <c r="I399" s="11">
        <f>H399-G399</f>
      </c>
    </row>
    <row r="400" ht="21" customHeight="1" spans="1:9" x14ac:dyDescent="0.25">
      <c r="A400" s="8"/>
      <c r="B400" s="8"/>
      <c r="C400" s="11">
        <f>IFERROR(LOOKUP(2,1/(($B$3:$B399=B400)*($A$3:$A399&lt;A400)),$G$3:$G399),IFERROR(VLOOKUP(B400,'Inventory Master'!$A$3:$L$300,6,FALSE),0))</f>
      </c>
      <c r="D400" s="11">
        <f>SUMIFS(Purchases!$D:$D,Purchases!$A:$A,$A400,Purchases!$C:$C,$B400)</f>
      </c>
      <c r="E400" s="11">
        <f>SUMIFS('Sales Log'!$D:$D,'Sales Log'!$A:$A,$A400,'Sales Log'!$C:$C,$B400)</f>
      </c>
      <c r="F400" s="8"/>
      <c r="G400" s="8"/>
      <c r="H400" s="11">
        <f>C400+D400-E400-F400</f>
      </c>
      <c r="I400" s="11">
        <f>H400-G400</f>
      </c>
    </row>
    <row r="401" ht="21" customHeight="1" spans="1:9" x14ac:dyDescent="0.25">
      <c r="A401" s="8"/>
      <c r="B401" s="8"/>
      <c r="C401" s="11">
        <f>IFERROR(LOOKUP(2,1/(($B$3:$B400=B401)*($A$3:$A400&lt;A401)),$G$3:$G400),IFERROR(VLOOKUP(B401,'Inventory Master'!$A$3:$L$300,6,FALSE),0))</f>
      </c>
      <c r="D401" s="11">
        <f>SUMIFS(Purchases!$D:$D,Purchases!$A:$A,$A401,Purchases!$C:$C,$B401)</f>
      </c>
      <c r="E401" s="11">
        <f>SUMIFS('Sales Log'!$D:$D,'Sales Log'!$A:$A,$A401,'Sales Log'!$C:$C,$B401)</f>
      </c>
      <c r="F401" s="8"/>
      <c r="G401" s="8"/>
      <c r="H401" s="11">
        <f>C401+D401-E401-F401</f>
      </c>
      <c r="I401" s="11">
        <f>H401-G401</f>
      </c>
    </row>
    <row r="402" ht="21" customHeight="1" spans="1:9" x14ac:dyDescent="0.25">
      <c r="A402" s="8"/>
      <c r="B402" s="8"/>
      <c r="C402" s="11">
        <f>IFERROR(LOOKUP(2,1/(($B$3:$B401=B402)*($A$3:$A401&lt;A402)),$G$3:$G401),IFERROR(VLOOKUP(B402,'Inventory Master'!$A$3:$L$300,6,FALSE),0))</f>
      </c>
      <c r="D402" s="11">
        <f>SUMIFS(Purchases!$D:$D,Purchases!$A:$A,$A402,Purchases!$C:$C,$B402)</f>
      </c>
      <c r="E402" s="11">
        <f>SUMIFS('Sales Log'!$D:$D,'Sales Log'!$A:$A,$A402,'Sales Log'!$C:$C,$B402)</f>
      </c>
      <c r="F402" s="8"/>
      <c r="G402" s="8"/>
      <c r="H402" s="11">
        <f>C402+D402-E402-F402</f>
      </c>
      <c r="I402" s="11">
        <f>H402-G402</f>
      </c>
    </row>
    <row r="403" ht="21" customHeight="1" spans="1:9" x14ac:dyDescent="0.25">
      <c r="A403" s="8"/>
      <c r="B403" s="8"/>
      <c r="C403" s="11">
        <f>IFERROR(LOOKUP(2,1/(($B$3:$B402=B403)*($A$3:$A402&lt;A403)),$G$3:$G402),IFERROR(VLOOKUP(B403,'Inventory Master'!$A$3:$L$300,6,FALSE),0))</f>
      </c>
      <c r="D403" s="11">
        <f>SUMIFS(Purchases!$D:$D,Purchases!$A:$A,$A403,Purchases!$C:$C,$B403)</f>
      </c>
      <c r="E403" s="11">
        <f>SUMIFS('Sales Log'!$D:$D,'Sales Log'!$A:$A,$A403,'Sales Log'!$C:$C,$B403)</f>
      </c>
      <c r="F403" s="8"/>
      <c r="G403" s="8"/>
      <c r="H403" s="11">
        <f>C403+D403-E403-F403</f>
      </c>
      <c r="I403" s="11">
        <f>H403-G403</f>
      </c>
    </row>
    <row r="404" ht="21" customHeight="1" spans="1:9" x14ac:dyDescent="0.25">
      <c r="A404" s="8"/>
      <c r="B404" s="8"/>
      <c r="C404" s="11">
        <f>IFERROR(LOOKUP(2,1/(($B$3:$B403=B404)*($A$3:$A403&lt;A404)),$G$3:$G403),IFERROR(VLOOKUP(B404,'Inventory Master'!$A$3:$L$300,6,FALSE),0))</f>
      </c>
      <c r="D404" s="11">
        <f>SUMIFS(Purchases!$D:$D,Purchases!$A:$A,$A404,Purchases!$C:$C,$B404)</f>
      </c>
      <c r="E404" s="11">
        <f>SUMIFS('Sales Log'!$D:$D,'Sales Log'!$A:$A,$A404,'Sales Log'!$C:$C,$B404)</f>
      </c>
      <c r="F404" s="8"/>
      <c r="G404" s="8"/>
      <c r="H404" s="11">
        <f>C404+D404-E404-F404</f>
      </c>
      <c r="I404" s="11">
        <f>H404-G404</f>
      </c>
    </row>
    <row r="405" ht="21" customHeight="1" spans="1:9" x14ac:dyDescent="0.25">
      <c r="A405" s="8"/>
      <c r="B405" s="8"/>
      <c r="C405" s="11">
        <f>IFERROR(LOOKUP(2,1/(($B$3:$B404=B405)*($A$3:$A404&lt;A405)),$G$3:$G404),IFERROR(VLOOKUP(B405,'Inventory Master'!$A$3:$L$300,6,FALSE),0))</f>
      </c>
      <c r="D405" s="11">
        <f>SUMIFS(Purchases!$D:$D,Purchases!$A:$A,$A405,Purchases!$C:$C,$B405)</f>
      </c>
      <c r="E405" s="11">
        <f>SUMIFS('Sales Log'!$D:$D,'Sales Log'!$A:$A,$A405,'Sales Log'!$C:$C,$B405)</f>
      </c>
      <c r="F405" s="8"/>
      <c r="G405" s="8"/>
      <c r="H405" s="11">
        <f>C405+D405-E405-F405</f>
      </c>
      <c r="I405" s="11">
        <f>H405-G405</f>
      </c>
    </row>
    <row r="406" ht="21" customHeight="1" spans="1:9" x14ac:dyDescent="0.25">
      <c r="A406" s="8"/>
      <c r="B406" s="8"/>
      <c r="C406" s="11">
        <f>IFERROR(LOOKUP(2,1/(($B$3:$B405=B406)*($A$3:$A405&lt;A406)),$G$3:$G405),IFERROR(VLOOKUP(B406,'Inventory Master'!$A$3:$L$300,6,FALSE),0))</f>
      </c>
      <c r="D406" s="11">
        <f>SUMIFS(Purchases!$D:$D,Purchases!$A:$A,$A406,Purchases!$C:$C,$B406)</f>
      </c>
      <c r="E406" s="11">
        <f>SUMIFS('Sales Log'!$D:$D,'Sales Log'!$A:$A,$A406,'Sales Log'!$C:$C,$B406)</f>
      </c>
      <c r="F406" s="8"/>
      <c r="G406" s="8"/>
      <c r="H406" s="11">
        <f>C406+D406-E406-F406</f>
      </c>
      <c r="I406" s="11">
        <f>H406-G406</f>
      </c>
    </row>
    <row r="407" ht="21" customHeight="1" spans="1:9" x14ac:dyDescent="0.25">
      <c r="A407" s="8"/>
      <c r="B407" s="8"/>
      <c r="C407" s="11">
        <f>IFERROR(LOOKUP(2,1/(($B$3:$B406=B407)*($A$3:$A406&lt;A407)),$G$3:$G406),IFERROR(VLOOKUP(B407,'Inventory Master'!$A$3:$L$300,6,FALSE),0))</f>
      </c>
      <c r="D407" s="11">
        <f>SUMIFS(Purchases!$D:$D,Purchases!$A:$A,$A407,Purchases!$C:$C,$B407)</f>
      </c>
      <c r="E407" s="11">
        <f>SUMIFS('Sales Log'!$D:$D,'Sales Log'!$A:$A,$A407,'Sales Log'!$C:$C,$B407)</f>
      </c>
      <c r="F407" s="8"/>
      <c r="G407" s="8"/>
      <c r="H407" s="11">
        <f>C407+D407-E407-F407</f>
      </c>
      <c r="I407" s="11">
        <f>H407-G407</f>
      </c>
    </row>
    <row r="408" ht="21" customHeight="1" spans="1:9" x14ac:dyDescent="0.25">
      <c r="A408" s="8"/>
      <c r="B408" s="8"/>
      <c r="C408" s="11">
        <f>IFERROR(LOOKUP(2,1/(($B$3:$B407=B408)*($A$3:$A407&lt;A408)),$G$3:$G407),IFERROR(VLOOKUP(B408,'Inventory Master'!$A$3:$L$300,6,FALSE),0))</f>
      </c>
      <c r="D408" s="11">
        <f>SUMIFS(Purchases!$D:$D,Purchases!$A:$A,$A408,Purchases!$C:$C,$B408)</f>
      </c>
      <c r="E408" s="11">
        <f>SUMIFS('Sales Log'!$D:$D,'Sales Log'!$A:$A,$A408,'Sales Log'!$C:$C,$B408)</f>
      </c>
      <c r="F408" s="8"/>
      <c r="G408" s="8"/>
      <c r="H408" s="11">
        <f>C408+D408-E408-F408</f>
      </c>
      <c r="I408" s="11">
        <f>H408-G408</f>
      </c>
    </row>
    <row r="409" ht="21" customHeight="1" spans="1:9" x14ac:dyDescent="0.25">
      <c r="A409" s="8"/>
      <c r="B409" s="8"/>
      <c r="C409" s="11">
        <f>IFERROR(LOOKUP(2,1/(($B$3:$B408=B409)*($A$3:$A408&lt;A409)),$G$3:$G408),IFERROR(VLOOKUP(B409,'Inventory Master'!$A$3:$L$300,6,FALSE),0))</f>
      </c>
      <c r="D409" s="11">
        <f>SUMIFS(Purchases!$D:$D,Purchases!$A:$A,$A409,Purchases!$C:$C,$B409)</f>
      </c>
      <c r="E409" s="11">
        <f>SUMIFS('Sales Log'!$D:$D,'Sales Log'!$A:$A,$A409,'Sales Log'!$C:$C,$B409)</f>
      </c>
      <c r="F409" s="8"/>
      <c r="G409" s="8"/>
      <c r="H409" s="11">
        <f>C409+D409-E409-F409</f>
      </c>
      <c r="I409" s="11">
        <f>H409-G409</f>
      </c>
    </row>
    <row r="410" ht="21" customHeight="1" spans="1:9" x14ac:dyDescent="0.25">
      <c r="A410" s="8"/>
      <c r="B410" s="8"/>
      <c r="C410" s="11">
        <f>IFERROR(LOOKUP(2,1/(($B$3:$B409=B410)*($A$3:$A409&lt;A410)),$G$3:$G409),IFERROR(VLOOKUP(B410,'Inventory Master'!$A$3:$L$300,6,FALSE),0))</f>
      </c>
      <c r="D410" s="11">
        <f>SUMIFS(Purchases!$D:$D,Purchases!$A:$A,$A410,Purchases!$C:$C,$B410)</f>
      </c>
      <c r="E410" s="11">
        <f>SUMIFS('Sales Log'!$D:$D,'Sales Log'!$A:$A,$A410,'Sales Log'!$C:$C,$B410)</f>
      </c>
      <c r="F410" s="8"/>
      <c r="G410" s="8"/>
      <c r="H410" s="11">
        <f>C410+D410-E410-F410</f>
      </c>
      <c r="I410" s="11">
        <f>H410-G410</f>
      </c>
    </row>
    <row r="411" ht="21" customHeight="1" spans="1:9" x14ac:dyDescent="0.25">
      <c r="A411" s="8"/>
      <c r="B411" s="8"/>
      <c r="C411" s="11">
        <f>IFERROR(LOOKUP(2,1/(($B$3:$B410=B411)*($A$3:$A410&lt;A411)),$G$3:$G410),IFERROR(VLOOKUP(B411,'Inventory Master'!$A$3:$L$300,6,FALSE),0))</f>
      </c>
      <c r="D411" s="11">
        <f>SUMIFS(Purchases!$D:$D,Purchases!$A:$A,$A411,Purchases!$C:$C,$B411)</f>
      </c>
      <c r="E411" s="11">
        <f>SUMIFS('Sales Log'!$D:$D,'Sales Log'!$A:$A,$A411,'Sales Log'!$C:$C,$B411)</f>
      </c>
      <c r="F411" s="8"/>
      <c r="G411" s="8"/>
      <c r="H411" s="11">
        <f>C411+D411-E411-F411</f>
      </c>
      <c r="I411" s="11">
        <f>H411-G411</f>
      </c>
    </row>
    <row r="412" ht="21" customHeight="1" spans="1:9" x14ac:dyDescent="0.25">
      <c r="A412" s="8"/>
      <c r="B412" s="8"/>
      <c r="C412" s="11">
        <f>IFERROR(LOOKUP(2,1/(($B$3:$B411=B412)*($A$3:$A411&lt;A412)),$G$3:$G411),IFERROR(VLOOKUP(B412,'Inventory Master'!$A$3:$L$300,6,FALSE),0))</f>
      </c>
      <c r="D412" s="11">
        <f>SUMIFS(Purchases!$D:$D,Purchases!$A:$A,$A412,Purchases!$C:$C,$B412)</f>
      </c>
      <c r="E412" s="11">
        <f>SUMIFS('Sales Log'!$D:$D,'Sales Log'!$A:$A,$A412,'Sales Log'!$C:$C,$B412)</f>
      </c>
      <c r="F412" s="8"/>
      <c r="G412" s="8"/>
      <c r="H412" s="11">
        <f>C412+D412-E412-F412</f>
      </c>
      <c r="I412" s="11">
        <f>H412-G412</f>
      </c>
    </row>
    <row r="413" ht="21" customHeight="1" spans="1:9" x14ac:dyDescent="0.25">
      <c r="A413" s="8"/>
      <c r="B413" s="8"/>
      <c r="C413" s="11">
        <f>IFERROR(LOOKUP(2,1/(($B$3:$B412=B413)*($A$3:$A412&lt;A413)),$G$3:$G412),IFERROR(VLOOKUP(B413,'Inventory Master'!$A$3:$L$300,6,FALSE),0))</f>
      </c>
      <c r="D413" s="11">
        <f>SUMIFS(Purchases!$D:$D,Purchases!$A:$A,$A413,Purchases!$C:$C,$B413)</f>
      </c>
      <c r="E413" s="11">
        <f>SUMIFS('Sales Log'!$D:$D,'Sales Log'!$A:$A,$A413,'Sales Log'!$C:$C,$B413)</f>
      </c>
      <c r="F413" s="8"/>
      <c r="G413" s="8"/>
      <c r="H413" s="11">
        <f>C413+D413-E413-F413</f>
      </c>
      <c r="I413" s="11">
        <f>H413-G413</f>
      </c>
    </row>
    <row r="414" ht="21" customHeight="1" spans="1:9" x14ac:dyDescent="0.25">
      <c r="A414" s="8"/>
      <c r="B414" s="8"/>
      <c r="C414" s="11">
        <f>IFERROR(LOOKUP(2,1/(($B$3:$B413=B414)*($A$3:$A413&lt;A414)),$G$3:$G413),IFERROR(VLOOKUP(B414,'Inventory Master'!$A$3:$L$300,6,FALSE),0))</f>
      </c>
      <c r="D414" s="11">
        <f>SUMIFS(Purchases!$D:$D,Purchases!$A:$A,$A414,Purchases!$C:$C,$B414)</f>
      </c>
      <c r="E414" s="11">
        <f>SUMIFS('Sales Log'!$D:$D,'Sales Log'!$A:$A,$A414,'Sales Log'!$C:$C,$B414)</f>
      </c>
      <c r="F414" s="8"/>
      <c r="G414" s="8"/>
      <c r="H414" s="11">
        <f>C414+D414-E414-F414</f>
      </c>
      <c r="I414" s="11">
        <f>H414-G414</f>
      </c>
    </row>
    <row r="415" ht="21" customHeight="1" spans="1:9" x14ac:dyDescent="0.25">
      <c r="A415" s="8"/>
      <c r="B415" s="8"/>
      <c r="C415" s="11">
        <f>IFERROR(LOOKUP(2,1/(($B$3:$B414=B415)*($A$3:$A414&lt;A415)),$G$3:$G414),IFERROR(VLOOKUP(B415,'Inventory Master'!$A$3:$L$300,6,FALSE),0))</f>
      </c>
      <c r="D415" s="11">
        <f>SUMIFS(Purchases!$D:$D,Purchases!$A:$A,$A415,Purchases!$C:$C,$B415)</f>
      </c>
      <c r="E415" s="11">
        <f>SUMIFS('Sales Log'!$D:$D,'Sales Log'!$A:$A,$A415,'Sales Log'!$C:$C,$B415)</f>
      </c>
      <c r="F415" s="8"/>
      <c r="G415" s="8"/>
      <c r="H415" s="11">
        <f>C415+D415-E415-F415</f>
      </c>
      <c r="I415" s="11">
        <f>H415-G415</f>
      </c>
    </row>
    <row r="416" ht="21" customHeight="1" spans="1:9" x14ac:dyDescent="0.25">
      <c r="A416" s="8"/>
      <c r="B416" s="8"/>
      <c r="C416" s="11">
        <f>IFERROR(LOOKUP(2,1/(($B$3:$B415=B416)*($A$3:$A415&lt;A416)),$G$3:$G415),IFERROR(VLOOKUP(B416,'Inventory Master'!$A$3:$L$300,6,FALSE),0))</f>
      </c>
      <c r="D416" s="11">
        <f>SUMIFS(Purchases!$D:$D,Purchases!$A:$A,$A416,Purchases!$C:$C,$B416)</f>
      </c>
      <c r="E416" s="11">
        <f>SUMIFS('Sales Log'!$D:$D,'Sales Log'!$A:$A,$A416,'Sales Log'!$C:$C,$B416)</f>
      </c>
      <c r="F416" s="8"/>
      <c r="G416" s="8"/>
      <c r="H416" s="11">
        <f>C416+D416-E416-F416</f>
      </c>
      <c r="I416" s="11">
        <f>H416-G416</f>
      </c>
    </row>
    <row r="417" ht="21" customHeight="1" spans="1:9" x14ac:dyDescent="0.25">
      <c r="A417" s="8"/>
      <c r="B417" s="8"/>
      <c r="C417" s="11">
        <f>IFERROR(LOOKUP(2,1/(($B$3:$B416=B417)*($A$3:$A416&lt;A417)),$G$3:$G416),IFERROR(VLOOKUP(B417,'Inventory Master'!$A$3:$L$300,6,FALSE),0))</f>
      </c>
      <c r="D417" s="11">
        <f>SUMIFS(Purchases!$D:$D,Purchases!$A:$A,$A417,Purchases!$C:$C,$B417)</f>
      </c>
      <c r="E417" s="11">
        <f>SUMIFS('Sales Log'!$D:$D,'Sales Log'!$A:$A,$A417,'Sales Log'!$C:$C,$B417)</f>
      </c>
      <c r="F417" s="8"/>
      <c r="G417" s="8"/>
      <c r="H417" s="11">
        <f>C417+D417-E417-F417</f>
      </c>
      <c r="I417" s="11">
        <f>H417-G417</f>
      </c>
    </row>
    <row r="418" ht="21" customHeight="1" spans="1:9" x14ac:dyDescent="0.25">
      <c r="A418" s="8"/>
      <c r="B418" s="8"/>
      <c r="C418" s="11">
        <f>IFERROR(LOOKUP(2,1/(($B$3:$B417=B418)*($A$3:$A417&lt;A418)),$G$3:$G417),IFERROR(VLOOKUP(B418,'Inventory Master'!$A$3:$L$300,6,FALSE),0))</f>
      </c>
      <c r="D418" s="11">
        <f>SUMIFS(Purchases!$D:$D,Purchases!$A:$A,$A418,Purchases!$C:$C,$B418)</f>
      </c>
      <c r="E418" s="11">
        <f>SUMIFS('Sales Log'!$D:$D,'Sales Log'!$A:$A,$A418,'Sales Log'!$C:$C,$B418)</f>
      </c>
      <c r="F418" s="8"/>
      <c r="G418" s="8"/>
      <c r="H418" s="11">
        <f>C418+D418-E418-F418</f>
      </c>
      <c r="I418" s="11">
        <f>H418-G418</f>
      </c>
    </row>
    <row r="419" ht="21" customHeight="1" spans="1:9" x14ac:dyDescent="0.25">
      <c r="A419" s="8"/>
      <c r="B419" s="8"/>
      <c r="C419" s="11">
        <f>IFERROR(LOOKUP(2,1/(($B$3:$B418=B419)*($A$3:$A418&lt;A419)),$G$3:$G418),IFERROR(VLOOKUP(B419,'Inventory Master'!$A$3:$L$300,6,FALSE),0))</f>
      </c>
      <c r="D419" s="11">
        <f>SUMIFS(Purchases!$D:$D,Purchases!$A:$A,$A419,Purchases!$C:$C,$B419)</f>
      </c>
      <c r="E419" s="11">
        <f>SUMIFS('Sales Log'!$D:$D,'Sales Log'!$A:$A,$A419,'Sales Log'!$C:$C,$B419)</f>
      </c>
      <c r="F419" s="8"/>
      <c r="G419" s="8"/>
      <c r="H419" s="11">
        <f>C419+D419-E419-F419</f>
      </c>
      <c r="I419" s="11">
        <f>H419-G419</f>
      </c>
    </row>
    <row r="420" ht="21" customHeight="1" spans="1:9" x14ac:dyDescent="0.25">
      <c r="A420" s="8"/>
      <c r="B420" s="8"/>
      <c r="C420" s="11">
        <f>IFERROR(LOOKUP(2,1/(($B$3:$B419=B420)*($A$3:$A419&lt;A420)),$G$3:$G419),IFERROR(VLOOKUP(B420,'Inventory Master'!$A$3:$L$300,6,FALSE),0))</f>
      </c>
      <c r="D420" s="11">
        <f>SUMIFS(Purchases!$D:$D,Purchases!$A:$A,$A420,Purchases!$C:$C,$B420)</f>
      </c>
      <c r="E420" s="11">
        <f>SUMIFS('Sales Log'!$D:$D,'Sales Log'!$A:$A,$A420,'Sales Log'!$C:$C,$B420)</f>
      </c>
      <c r="F420" s="8"/>
      <c r="G420" s="8"/>
      <c r="H420" s="11">
        <f>C420+D420-E420-F420</f>
      </c>
      <c r="I420" s="11">
        <f>H420-G420</f>
      </c>
    </row>
    <row r="421" ht="21" customHeight="1" spans="1:9" x14ac:dyDescent="0.25">
      <c r="A421" s="8"/>
      <c r="B421" s="8"/>
      <c r="C421" s="11">
        <f>IFERROR(LOOKUP(2,1/(($B$3:$B420=B421)*($A$3:$A420&lt;A421)),$G$3:$G420),IFERROR(VLOOKUP(B421,'Inventory Master'!$A$3:$L$300,6,FALSE),0))</f>
      </c>
      <c r="D421" s="11">
        <f>SUMIFS(Purchases!$D:$D,Purchases!$A:$A,$A421,Purchases!$C:$C,$B421)</f>
      </c>
      <c r="E421" s="11">
        <f>SUMIFS('Sales Log'!$D:$D,'Sales Log'!$A:$A,$A421,'Sales Log'!$C:$C,$B421)</f>
      </c>
      <c r="F421" s="8"/>
      <c r="G421" s="8"/>
      <c r="H421" s="11">
        <f>C421+D421-E421-F421</f>
      </c>
      <c r="I421" s="11">
        <f>H421-G421</f>
      </c>
    </row>
    <row r="422" ht="21" customHeight="1" spans="1:9" x14ac:dyDescent="0.25">
      <c r="A422" s="8"/>
      <c r="B422" s="8"/>
      <c r="C422" s="11">
        <f>IFERROR(LOOKUP(2,1/(($B$3:$B421=B422)*($A$3:$A421&lt;A422)),$G$3:$G421),IFERROR(VLOOKUP(B422,'Inventory Master'!$A$3:$L$300,6,FALSE),0))</f>
      </c>
      <c r="D422" s="11">
        <f>SUMIFS(Purchases!$D:$D,Purchases!$A:$A,$A422,Purchases!$C:$C,$B422)</f>
      </c>
      <c r="E422" s="11">
        <f>SUMIFS('Sales Log'!$D:$D,'Sales Log'!$A:$A,$A422,'Sales Log'!$C:$C,$B422)</f>
      </c>
      <c r="F422" s="8"/>
      <c r="G422" s="8"/>
      <c r="H422" s="11">
        <f>C422+D422-E422-F422</f>
      </c>
      <c r="I422" s="11">
        <f>H422-G422</f>
      </c>
    </row>
    <row r="423" ht="21" customHeight="1" spans="1:9" x14ac:dyDescent="0.25">
      <c r="A423" s="8"/>
      <c r="B423" s="8"/>
      <c r="C423" s="11">
        <f>IFERROR(LOOKUP(2,1/(($B$3:$B422=B423)*($A$3:$A422&lt;A423)),$G$3:$G422),IFERROR(VLOOKUP(B423,'Inventory Master'!$A$3:$L$300,6,FALSE),0))</f>
      </c>
      <c r="D423" s="11">
        <f>SUMIFS(Purchases!$D:$D,Purchases!$A:$A,$A423,Purchases!$C:$C,$B423)</f>
      </c>
      <c r="E423" s="11">
        <f>SUMIFS('Sales Log'!$D:$D,'Sales Log'!$A:$A,$A423,'Sales Log'!$C:$C,$B423)</f>
      </c>
      <c r="F423" s="8"/>
      <c r="G423" s="8"/>
      <c r="H423" s="11">
        <f>C423+D423-E423-F423</f>
      </c>
      <c r="I423" s="11">
        <f>H423-G423</f>
      </c>
    </row>
    <row r="424" ht="21" customHeight="1" spans="1:9" x14ac:dyDescent="0.25">
      <c r="A424" s="8"/>
      <c r="B424" s="8"/>
      <c r="C424" s="11">
        <f>IFERROR(LOOKUP(2,1/(($B$3:$B423=B424)*($A$3:$A423&lt;A424)),$G$3:$G423),IFERROR(VLOOKUP(B424,'Inventory Master'!$A$3:$L$300,6,FALSE),0))</f>
      </c>
      <c r="D424" s="11">
        <f>SUMIFS(Purchases!$D:$D,Purchases!$A:$A,$A424,Purchases!$C:$C,$B424)</f>
      </c>
      <c r="E424" s="11">
        <f>SUMIFS('Sales Log'!$D:$D,'Sales Log'!$A:$A,$A424,'Sales Log'!$C:$C,$B424)</f>
      </c>
      <c r="F424" s="8"/>
      <c r="G424" s="8"/>
      <c r="H424" s="11">
        <f>C424+D424-E424-F424</f>
      </c>
      <c r="I424" s="11">
        <f>H424-G424</f>
      </c>
    </row>
    <row r="425" ht="21" customHeight="1" spans="1:9" x14ac:dyDescent="0.25">
      <c r="A425" s="8"/>
      <c r="B425" s="8"/>
      <c r="C425" s="11">
        <f>IFERROR(LOOKUP(2,1/(($B$3:$B424=B425)*($A$3:$A424&lt;A425)),$G$3:$G424),IFERROR(VLOOKUP(B425,'Inventory Master'!$A$3:$L$300,6,FALSE),0))</f>
      </c>
      <c r="D425" s="11">
        <f>SUMIFS(Purchases!$D:$D,Purchases!$A:$A,$A425,Purchases!$C:$C,$B425)</f>
      </c>
      <c r="E425" s="11">
        <f>SUMIFS('Sales Log'!$D:$D,'Sales Log'!$A:$A,$A425,'Sales Log'!$C:$C,$B425)</f>
      </c>
      <c r="F425" s="8"/>
      <c r="G425" s="8"/>
      <c r="H425" s="11">
        <f>C425+D425-E425-F425</f>
      </c>
      <c r="I425" s="11">
        <f>H425-G425</f>
      </c>
    </row>
    <row r="426" ht="21" customHeight="1" spans="1:9" x14ac:dyDescent="0.25">
      <c r="A426" s="8"/>
      <c r="B426" s="8"/>
      <c r="C426" s="11">
        <f>IFERROR(LOOKUP(2,1/(($B$3:$B425=B426)*($A$3:$A425&lt;A426)),$G$3:$G425),IFERROR(VLOOKUP(B426,'Inventory Master'!$A$3:$L$300,6,FALSE),0))</f>
      </c>
      <c r="D426" s="11">
        <f>SUMIFS(Purchases!$D:$D,Purchases!$A:$A,$A426,Purchases!$C:$C,$B426)</f>
      </c>
      <c r="E426" s="11">
        <f>SUMIFS('Sales Log'!$D:$D,'Sales Log'!$A:$A,$A426,'Sales Log'!$C:$C,$B426)</f>
      </c>
      <c r="F426" s="8"/>
      <c r="G426" s="8"/>
      <c r="H426" s="11">
        <f>C426+D426-E426-F426</f>
      </c>
      <c r="I426" s="11">
        <f>H426-G426</f>
      </c>
    </row>
    <row r="427" ht="21" customHeight="1" spans="1:9" x14ac:dyDescent="0.25">
      <c r="A427" s="8"/>
      <c r="B427" s="8"/>
      <c r="C427" s="11">
        <f>IFERROR(LOOKUP(2,1/(($B$3:$B426=B427)*($A$3:$A426&lt;A427)),$G$3:$G426),IFERROR(VLOOKUP(B427,'Inventory Master'!$A$3:$L$300,6,FALSE),0))</f>
      </c>
      <c r="D427" s="11">
        <f>SUMIFS(Purchases!$D:$D,Purchases!$A:$A,$A427,Purchases!$C:$C,$B427)</f>
      </c>
      <c r="E427" s="11">
        <f>SUMIFS('Sales Log'!$D:$D,'Sales Log'!$A:$A,$A427,'Sales Log'!$C:$C,$B427)</f>
      </c>
      <c r="F427" s="8"/>
      <c r="G427" s="8"/>
      <c r="H427" s="11">
        <f>C427+D427-E427-F427</f>
      </c>
      <c r="I427" s="11">
        <f>H427-G427</f>
      </c>
    </row>
    <row r="428" ht="21" customHeight="1" spans="1:9" x14ac:dyDescent="0.25">
      <c r="A428" s="8"/>
      <c r="B428" s="8"/>
      <c r="C428" s="11">
        <f>IFERROR(LOOKUP(2,1/(($B$3:$B427=B428)*($A$3:$A427&lt;A428)),$G$3:$G427),IFERROR(VLOOKUP(B428,'Inventory Master'!$A$3:$L$300,6,FALSE),0))</f>
      </c>
      <c r="D428" s="11">
        <f>SUMIFS(Purchases!$D:$D,Purchases!$A:$A,$A428,Purchases!$C:$C,$B428)</f>
      </c>
      <c r="E428" s="11">
        <f>SUMIFS('Sales Log'!$D:$D,'Sales Log'!$A:$A,$A428,'Sales Log'!$C:$C,$B428)</f>
      </c>
      <c r="F428" s="8"/>
      <c r="G428" s="8"/>
      <c r="H428" s="11">
        <f>C428+D428-E428-F428</f>
      </c>
      <c r="I428" s="11">
        <f>H428-G428</f>
      </c>
    </row>
    <row r="429" ht="21" customHeight="1" spans="1:9" x14ac:dyDescent="0.25">
      <c r="A429" s="8"/>
      <c r="B429" s="8"/>
      <c r="C429" s="11">
        <f>IFERROR(LOOKUP(2,1/(($B$3:$B428=B429)*($A$3:$A428&lt;A429)),$G$3:$G428),IFERROR(VLOOKUP(B429,'Inventory Master'!$A$3:$L$300,6,FALSE),0))</f>
      </c>
      <c r="D429" s="11">
        <f>SUMIFS(Purchases!$D:$D,Purchases!$A:$A,$A429,Purchases!$C:$C,$B429)</f>
      </c>
      <c r="E429" s="11">
        <f>SUMIFS('Sales Log'!$D:$D,'Sales Log'!$A:$A,$A429,'Sales Log'!$C:$C,$B429)</f>
      </c>
      <c r="F429" s="8"/>
      <c r="G429" s="8"/>
      <c r="H429" s="11">
        <f>C429+D429-E429-F429</f>
      </c>
      <c r="I429" s="11">
        <f>H429-G429</f>
      </c>
    </row>
    <row r="430" ht="21" customHeight="1" spans="1:9" x14ac:dyDescent="0.25">
      <c r="A430" s="8"/>
      <c r="B430" s="8"/>
      <c r="C430" s="11">
        <f>IFERROR(LOOKUP(2,1/(($B$3:$B429=B430)*($A$3:$A429&lt;A430)),$G$3:$G429),IFERROR(VLOOKUP(B430,'Inventory Master'!$A$3:$L$300,6,FALSE),0))</f>
      </c>
      <c r="D430" s="11">
        <f>SUMIFS(Purchases!$D:$D,Purchases!$A:$A,$A430,Purchases!$C:$C,$B430)</f>
      </c>
      <c r="E430" s="11">
        <f>SUMIFS('Sales Log'!$D:$D,'Sales Log'!$A:$A,$A430,'Sales Log'!$C:$C,$B430)</f>
      </c>
      <c r="F430" s="8"/>
      <c r="G430" s="8"/>
      <c r="H430" s="11">
        <f>C430+D430-E430-F430</f>
      </c>
      <c r="I430" s="11">
        <f>H430-G430</f>
      </c>
    </row>
    <row r="431" ht="21" customHeight="1" spans="1:9" x14ac:dyDescent="0.25">
      <c r="A431" s="8"/>
      <c r="B431" s="8"/>
      <c r="C431" s="11">
        <f>IFERROR(LOOKUP(2,1/(($B$3:$B430=B431)*($A$3:$A430&lt;A431)),$G$3:$G430),IFERROR(VLOOKUP(B431,'Inventory Master'!$A$3:$L$300,6,FALSE),0))</f>
      </c>
      <c r="D431" s="11">
        <f>SUMIFS(Purchases!$D:$D,Purchases!$A:$A,$A431,Purchases!$C:$C,$B431)</f>
      </c>
      <c r="E431" s="11">
        <f>SUMIFS('Sales Log'!$D:$D,'Sales Log'!$A:$A,$A431,'Sales Log'!$C:$C,$B431)</f>
      </c>
      <c r="F431" s="8"/>
      <c r="G431" s="8"/>
      <c r="H431" s="11">
        <f>C431+D431-E431-F431</f>
      </c>
      <c r="I431" s="11">
        <f>H431-G431</f>
      </c>
    </row>
    <row r="432" ht="21" customHeight="1" spans="1:9" x14ac:dyDescent="0.25">
      <c r="A432" s="8"/>
      <c r="B432" s="8"/>
      <c r="C432" s="11">
        <f>IFERROR(LOOKUP(2,1/(($B$3:$B431=B432)*($A$3:$A431&lt;A432)),$G$3:$G431),IFERROR(VLOOKUP(B432,'Inventory Master'!$A$3:$L$300,6,FALSE),0))</f>
      </c>
      <c r="D432" s="11">
        <f>SUMIFS(Purchases!$D:$D,Purchases!$A:$A,$A432,Purchases!$C:$C,$B432)</f>
      </c>
      <c r="E432" s="11">
        <f>SUMIFS('Sales Log'!$D:$D,'Sales Log'!$A:$A,$A432,'Sales Log'!$C:$C,$B432)</f>
      </c>
      <c r="F432" s="8"/>
      <c r="G432" s="8"/>
      <c r="H432" s="11">
        <f>C432+D432-E432-F432</f>
      </c>
      <c r="I432" s="11">
        <f>H432-G432</f>
      </c>
    </row>
    <row r="433" ht="21" customHeight="1" spans="1:9" x14ac:dyDescent="0.25">
      <c r="A433" s="8"/>
      <c r="B433" s="8"/>
      <c r="C433" s="11">
        <f>IFERROR(LOOKUP(2,1/(($B$3:$B432=B433)*($A$3:$A432&lt;A433)),$G$3:$G432),IFERROR(VLOOKUP(B433,'Inventory Master'!$A$3:$L$300,6,FALSE),0))</f>
      </c>
      <c r="D433" s="11">
        <f>SUMIFS(Purchases!$D:$D,Purchases!$A:$A,$A433,Purchases!$C:$C,$B433)</f>
      </c>
      <c r="E433" s="11">
        <f>SUMIFS('Sales Log'!$D:$D,'Sales Log'!$A:$A,$A433,'Sales Log'!$C:$C,$B433)</f>
      </c>
      <c r="F433" s="8"/>
      <c r="G433" s="8"/>
      <c r="H433" s="11">
        <f>C433+D433-E433-F433</f>
      </c>
      <c r="I433" s="11">
        <f>H433-G433</f>
      </c>
    </row>
    <row r="434" ht="21" customHeight="1" spans="1:9" x14ac:dyDescent="0.25">
      <c r="A434" s="8"/>
      <c r="B434" s="8"/>
      <c r="C434" s="11">
        <f>IFERROR(LOOKUP(2,1/(($B$3:$B433=B434)*($A$3:$A433&lt;A434)),$G$3:$G433),IFERROR(VLOOKUP(B434,'Inventory Master'!$A$3:$L$300,6,FALSE),0))</f>
      </c>
      <c r="D434" s="11">
        <f>SUMIFS(Purchases!$D:$D,Purchases!$A:$A,$A434,Purchases!$C:$C,$B434)</f>
      </c>
      <c r="E434" s="11">
        <f>SUMIFS('Sales Log'!$D:$D,'Sales Log'!$A:$A,$A434,'Sales Log'!$C:$C,$B434)</f>
      </c>
      <c r="F434" s="8"/>
      <c r="G434" s="8"/>
      <c r="H434" s="11">
        <f>C434+D434-E434-F434</f>
      </c>
      <c r="I434" s="11">
        <f>H434-G434</f>
      </c>
    </row>
    <row r="435" ht="21" customHeight="1" spans="1:9" x14ac:dyDescent="0.25">
      <c r="A435" s="8"/>
      <c r="B435" s="8"/>
      <c r="C435" s="11">
        <f>IFERROR(LOOKUP(2,1/(($B$3:$B434=B435)*($A$3:$A434&lt;A435)),$G$3:$G434),IFERROR(VLOOKUP(B435,'Inventory Master'!$A$3:$L$300,6,FALSE),0))</f>
      </c>
      <c r="D435" s="11">
        <f>SUMIFS(Purchases!$D:$D,Purchases!$A:$A,$A435,Purchases!$C:$C,$B435)</f>
      </c>
      <c r="E435" s="11">
        <f>SUMIFS('Sales Log'!$D:$D,'Sales Log'!$A:$A,$A435,'Sales Log'!$C:$C,$B435)</f>
      </c>
      <c r="F435" s="8"/>
      <c r="G435" s="8"/>
      <c r="H435" s="11">
        <f>C435+D435-E435-F435</f>
      </c>
      <c r="I435" s="11">
        <f>H435-G435</f>
      </c>
    </row>
    <row r="436" ht="21" customHeight="1" spans="1:9" x14ac:dyDescent="0.25">
      <c r="A436" s="8"/>
      <c r="B436" s="8"/>
      <c r="C436" s="11">
        <f>IFERROR(LOOKUP(2,1/(($B$3:$B435=B436)*($A$3:$A435&lt;A436)),$G$3:$G435),IFERROR(VLOOKUP(B436,'Inventory Master'!$A$3:$L$300,6,FALSE),0))</f>
      </c>
      <c r="D436" s="11">
        <f>SUMIFS(Purchases!$D:$D,Purchases!$A:$A,$A436,Purchases!$C:$C,$B436)</f>
      </c>
      <c r="E436" s="11">
        <f>SUMIFS('Sales Log'!$D:$D,'Sales Log'!$A:$A,$A436,'Sales Log'!$C:$C,$B436)</f>
      </c>
      <c r="F436" s="8"/>
      <c r="G436" s="8"/>
      <c r="H436" s="11">
        <f>C436+D436-E436-F436</f>
      </c>
      <c r="I436" s="11">
        <f>H436-G436</f>
      </c>
    </row>
    <row r="437" ht="21" customHeight="1" spans="1:9" x14ac:dyDescent="0.25">
      <c r="A437" s="8"/>
      <c r="B437" s="8"/>
      <c r="C437" s="11">
        <f>IFERROR(LOOKUP(2,1/(($B$3:$B436=B437)*($A$3:$A436&lt;A437)),$G$3:$G436),IFERROR(VLOOKUP(B437,'Inventory Master'!$A$3:$L$300,6,FALSE),0))</f>
      </c>
      <c r="D437" s="11">
        <f>SUMIFS(Purchases!$D:$D,Purchases!$A:$A,$A437,Purchases!$C:$C,$B437)</f>
      </c>
      <c r="E437" s="11">
        <f>SUMIFS('Sales Log'!$D:$D,'Sales Log'!$A:$A,$A437,'Sales Log'!$C:$C,$B437)</f>
      </c>
      <c r="F437" s="8"/>
      <c r="G437" s="8"/>
      <c r="H437" s="11">
        <f>C437+D437-E437-F437</f>
      </c>
      <c r="I437" s="11">
        <f>H437-G437</f>
      </c>
    </row>
    <row r="438" ht="21" customHeight="1" spans="1:9" x14ac:dyDescent="0.25">
      <c r="A438" s="8"/>
      <c r="B438" s="8"/>
      <c r="C438" s="11">
        <f>IFERROR(LOOKUP(2,1/(($B$3:$B437=B438)*($A$3:$A437&lt;A438)),$G$3:$G437),IFERROR(VLOOKUP(B438,'Inventory Master'!$A$3:$L$300,6,FALSE),0))</f>
      </c>
      <c r="D438" s="11">
        <f>SUMIFS(Purchases!$D:$D,Purchases!$A:$A,$A438,Purchases!$C:$C,$B438)</f>
      </c>
      <c r="E438" s="11">
        <f>SUMIFS('Sales Log'!$D:$D,'Sales Log'!$A:$A,$A438,'Sales Log'!$C:$C,$B438)</f>
      </c>
      <c r="F438" s="8"/>
      <c r="G438" s="8"/>
      <c r="H438" s="11">
        <f>C438+D438-E438-F438</f>
      </c>
      <c r="I438" s="11">
        <f>H438-G438</f>
      </c>
    </row>
    <row r="439" ht="21" customHeight="1" spans="1:9" x14ac:dyDescent="0.25">
      <c r="A439" s="8"/>
      <c r="B439" s="8"/>
      <c r="C439" s="11">
        <f>IFERROR(LOOKUP(2,1/(($B$3:$B438=B439)*($A$3:$A438&lt;A439)),$G$3:$G438),IFERROR(VLOOKUP(B439,'Inventory Master'!$A$3:$L$300,6,FALSE),0))</f>
      </c>
      <c r="D439" s="11">
        <f>SUMIFS(Purchases!$D:$D,Purchases!$A:$A,$A439,Purchases!$C:$C,$B439)</f>
      </c>
      <c r="E439" s="11">
        <f>SUMIFS('Sales Log'!$D:$D,'Sales Log'!$A:$A,$A439,'Sales Log'!$C:$C,$B439)</f>
      </c>
      <c r="F439" s="8"/>
      <c r="G439" s="8"/>
      <c r="H439" s="11">
        <f>C439+D439-E439-F439</f>
      </c>
      <c r="I439" s="11">
        <f>H439-G439</f>
      </c>
    </row>
    <row r="440" ht="21" customHeight="1" spans="1:9" x14ac:dyDescent="0.25">
      <c r="A440" s="8"/>
      <c r="B440" s="8"/>
      <c r="C440" s="11">
        <f>IFERROR(LOOKUP(2,1/(($B$3:$B439=B440)*($A$3:$A439&lt;A440)),$G$3:$G439),IFERROR(VLOOKUP(B440,'Inventory Master'!$A$3:$L$300,6,FALSE),0))</f>
      </c>
      <c r="D440" s="11">
        <f>SUMIFS(Purchases!$D:$D,Purchases!$A:$A,$A440,Purchases!$C:$C,$B440)</f>
      </c>
      <c r="E440" s="11">
        <f>SUMIFS('Sales Log'!$D:$D,'Sales Log'!$A:$A,$A440,'Sales Log'!$C:$C,$B440)</f>
      </c>
      <c r="F440" s="8"/>
      <c r="G440" s="8"/>
      <c r="H440" s="11">
        <f>C440+D440-E440-F440</f>
      </c>
      <c r="I440" s="11">
        <f>H440-G440</f>
      </c>
    </row>
    <row r="441" ht="21" customHeight="1" spans="1:9" x14ac:dyDescent="0.25">
      <c r="A441" s="8"/>
      <c r="B441" s="8"/>
      <c r="C441" s="11">
        <f>IFERROR(LOOKUP(2,1/(($B$3:$B440=B441)*($A$3:$A440&lt;A441)),$G$3:$G440),IFERROR(VLOOKUP(B441,'Inventory Master'!$A$3:$L$300,6,FALSE),0))</f>
      </c>
      <c r="D441" s="11">
        <f>SUMIFS(Purchases!$D:$D,Purchases!$A:$A,$A441,Purchases!$C:$C,$B441)</f>
      </c>
      <c r="E441" s="11">
        <f>SUMIFS('Sales Log'!$D:$D,'Sales Log'!$A:$A,$A441,'Sales Log'!$C:$C,$B441)</f>
      </c>
      <c r="F441" s="8"/>
      <c r="G441" s="8"/>
      <c r="H441" s="11">
        <f>C441+D441-E441-F441</f>
      </c>
      <c r="I441" s="11">
        <f>H441-G441</f>
      </c>
    </row>
    <row r="442" ht="21" customHeight="1" spans="1:9" x14ac:dyDescent="0.25">
      <c r="A442" s="8"/>
      <c r="B442" s="8"/>
      <c r="C442" s="11">
        <f>IFERROR(LOOKUP(2,1/(($B$3:$B441=B442)*($A$3:$A441&lt;A442)),$G$3:$G441),IFERROR(VLOOKUP(B442,'Inventory Master'!$A$3:$L$300,6,FALSE),0))</f>
      </c>
      <c r="D442" s="11">
        <f>SUMIFS(Purchases!$D:$D,Purchases!$A:$A,$A442,Purchases!$C:$C,$B442)</f>
      </c>
      <c r="E442" s="11">
        <f>SUMIFS('Sales Log'!$D:$D,'Sales Log'!$A:$A,$A442,'Sales Log'!$C:$C,$B442)</f>
      </c>
      <c r="F442" s="8"/>
      <c r="G442" s="8"/>
      <c r="H442" s="11">
        <f>C442+D442-E442-F442</f>
      </c>
      <c r="I442" s="11">
        <f>H442-G442</f>
      </c>
    </row>
    <row r="443" ht="21" customHeight="1" spans="1:9" x14ac:dyDescent="0.25">
      <c r="A443" s="8"/>
      <c r="B443" s="8"/>
      <c r="C443" s="11">
        <f>IFERROR(LOOKUP(2,1/(($B$3:$B442=B443)*($A$3:$A442&lt;A443)),$G$3:$G442),IFERROR(VLOOKUP(B443,'Inventory Master'!$A$3:$L$300,6,FALSE),0))</f>
      </c>
      <c r="D443" s="11">
        <f>SUMIFS(Purchases!$D:$D,Purchases!$A:$A,$A443,Purchases!$C:$C,$B443)</f>
      </c>
      <c r="E443" s="11">
        <f>SUMIFS('Sales Log'!$D:$D,'Sales Log'!$A:$A,$A443,'Sales Log'!$C:$C,$B443)</f>
      </c>
      <c r="F443" s="8"/>
      <c r="G443" s="8"/>
      <c r="H443" s="11">
        <f>C443+D443-E443-F443</f>
      </c>
      <c r="I443" s="11">
        <f>H443-G443</f>
      </c>
    </row>
    <row r="444" ht="21" customHeight="1" spans="1:9" x14ac:dyDescent="0.25">
      <c r="A444" s="8"/>
      <c r="B444" s="8"/>
      <c r="C444" s="11">
        <f>IFERROR(LOOKUP(2,1/(($B$3:$B443=B444)*($A$3:$A443&lt;A444)),$G$3:$G443),IFERROR(VLOOKUP(B444,'Inventory Master'!$A$3:$L$300,6,FALSE),0))</f>
      </c>
      <c r="D444" s="11">
        <f>SUMIFS(Purchases!$D:$D,Purchases!$A:$A,$A444,Purchases!$C:$C,$B444)</f>
      </c>
      <c r="E444" s="11">
        <f>SUMIFS('Sales Log'!$D:$D,'Sales Log'!$A:$A,$A444,'Sales Log'!$C:$C,$B444)</f>
      </c>
      <c r="F444" s="8"/>
      <c r="G444" s="8"/>
      <c r="H444" s="11">
        <f>C444+D444-E444-F444</f>
      </c>
      <c r="I444" s="11">
        <f>H444-G444</f>
      </c>
    </row>
    <row r="445" ht="21" customHeight="1" spans="1:9" x14ac:dyDescent="0.25">
      <c r="A445" s="8"/>
      <c r="B445" s="8"/>
      <c r="C445" s="11">
        <f>IFERROR(LOOKUP(2,1/(($B$3:$B444=B445)*($A$3:$A444&lt;A445)),$G$3:$G444),IFERROR(VLOOKUP(B445,'Inventory Master'!$A$3:$L$300,6,FALSE),0))</f>
      </c>
      <c r="D445" s="11">
        <f>SUMIFS(Purchases!$D:$D,Purchases!$A:$A,$A445,Purchases!$C:$C,$B445)</f>
      </c>
      <c r="E445" s="11">
        <f>SUMIFS('Sales Log'!$D:$D,'Sales Log'!$A:$A,$A445,'Sales Log'!$C:$C,$B445)</f>
      </c>
      <c r="F445" s="8"/>
      <c r="G445" s="8"/>
      <c r="H445" s="11">
        <f>C445+D445-E445-F445</f>
      </c>
      <c r="I445" s="11">
        <f>H445-G445</f>
      </c>
    </row>
    <row r="446" ht="21" customHeight="1" spans="1:9" x14ac:dyDescent="0.25">
      <c r="A446" s="8"/>
      <c r="B446" s="8"/>
      <c r="C446" s="11">
        <f>IFERROR(LOOKUP(2,1/(($B$3:$B445=B446)*($A$3:$A445&lt;A446)),$G$3:$G445),IFERROR(VLOOKUP(B446,'Inventory Master'!$A$3:$L$300,6,FALSE),0))</f>
      </c>
      <c r="D446" s="11">
        <f>SUMIFS(Purchases!$D:$D,Purchases!$A:$A,$A446,Purchases!$C:$C,$B446)</f>
      </c>
      <c r="E446" s="11">
        <f>SUMIFS('Sales Log'!$D:$D,'Sales Log'!$A:$A,$A446,'Sales Log'!$C:$C,$B446)</f>
      </c>
      <c r="F446" s="8"/>
      <c r="G446" s="8"/>
      <c r="H446" s="11">
        <f>C446+D446-E446-F446</f>
      </c>
      <c r="I446" s="11">
        <f>H446-G446</f>
      </c>
    </row>
    <row r="447" ht="21" customHeight="1" spans="1:9" x14ac:dyDescent="0.25">
      <c r="A447" s="8"/>
      <c r="B447" s="8"/>
      <c r="C447" s="11">
        <f>IFERROR(LOOKUP(2,1/(($B$3:$B446=B447)*($A$3:$A446&lt;A447)),$G$3:$G446),IFERROR(VLOOKUP(B447,'Inventory Master'!$A$3:$L$300,6,FALSE),0))</f>
      </c>
      <c r="D447" s="11">
        <f>SUMIFS(Purchases!$D:$D,Purchases!$A:$A,$A447,Purchases!$C:$C,$B447)</f>
      </c>
      <c r="E447" s="11">
        <f>SUMIFS('Sales Log'!$D:$D,'Sales Log'!$A:$A,$A447,'Sales Log'!$C:$C,$B447)</f>
      </c>
      <c r="F447" s="8"/>
      <c r="G447" s="8"/>
      <c r="H447" s="11">
        <f>C447+D447-E447-F447</f>
      </c>
      <c r="I447" s="11">
        <f>H447-G447</f>
      </c>
    </row>
    <row r="448" ht="21" customHeight="1" spans="1:9" x14ac:dyDescent="0.25">
      <c r="A448" s="8"/>
      <c r="B448" s="8"/>
      <c r="C448" s="11">
        <f>IFERROR(LOOKUP(2,1/(($B$3:$B447=B448)*($A$3:$A447&lt;A448)),$G$3:$G447),IFERROR(VLOOKUP(B448,'Inventory Master'!$A$3:$L$300,6,FALSE),0))</f>
      </c>
      <c r="D448" s="11">
        <f>SUMIFS(Purchases!$D:$D,Purchases!$A:$A,$A448,Purchases!$C:$C,$B448)</f>
      </c>
      <c r="E448" s="11">
        <f>SUMIFS('Sales Log'!$D:$D,'Sales Log'!$A:$A,$A448,'Sales Log'!$C:$C,$B448)</f>
      </c>
      <c r="F448" s="8"/>
      <c r="G448" s="8"/>
      <c r="H448" s="11">
        <f>C448+D448-E448-F448</f>
      </c>
      <c r="I448" s="11">
        <f>H448-G448</f>
      </c>
    </row>
    <row r="449" ht="21" customHeight="1" spans="1:9" x14ac:dyDescent="0.25">
      <c r="A449" s="8"/>
      <c r="B449" s="8"/>
      <c r="C449" s="11">
        <f>IFERROR(LOOKUP(2,1/(($B$3:$B448=B449)*($A$3:$A448&lt;A449)),$G$3:$G448),IFERROR(VLOOKUP(B449,'Inventory Master'!$A$3:$L$300,6,FALSE),0))</f>
      </c>
      <c r="D449" s="11">
        <f>SUMIFS(Purchases!$D:$D,Purchases!$A:$A,$A449,Purchases!$C:$C,$B449)</f>
      </c>
      <c r="E449" s="11">
        <f>SUMIFS('Sales Log'!$D:$D,'Sales Log'!$A:$A,$A449,'Sales Log'!$C:$C,$B449)</f>
      </c>
      <c r="F449" s="8"/>
      <c r="G449" s="8"/>
      <c r="H449" s="11">
        <f>C449+D449-E449-F449</f>
      </c>
      <c r="I449" s="11">
        <f>H449-G449</f>
      </c>
    </row>
    <row r="450" ht="21" customHeight="1" spans="1:9" x14ac:dyDescent="0.25">
      <c r="A450" s="8"/>
      <c r="B450" s="8"/>
      <c r="C450" s="11">
        <f>IFERROR(LOOKUP(2,1/(($B$3:$B449=B450)*($A$3:$A449&lt;A450)),$G$3:$G449),IFERROR(VLOOKUP(B450,'Inventory Master'!$A$3:$L$300,6,FALSE),0))</f>
      </c>
      <c r="D450" s="11">
        <f>SUMIFS(Purchases!$D:$D,Purchases!$A:$A,$A450,Purchases!$C:$C,$B450)</f>
      </c>
      <c r="E450" s="11">
        <f>SUMIFS('Sales Log'!$D:$D,'Sales Log'!$A:$A,$A450,'Sales Log'!$C:$C,$B450)</f>
      </c>
      <c r="F450" s="8"/>
      <c r="G450" s="8"/>
      <c r="H450" s="11">
        <f>C450+D450-E450-F450</f>
      </c>
      <c r="I450" s="11">
        <f>H450-G450</f>
      </c>
    </row>
    <row r="451" ht="21" customHeight="1" spans="1:9" x14ac:dyDescent="0.25">
      <c r="A451" s="8"/>
      <c r="B451" s="8"/>
      <c r="C451" s="11">
        <f>IFERROR(LOOKUP(2,1/(($B$3:$B450=B451)*($A$3:$A450&lt;A451)),$G$3:$G450),IFERROR(VLOOKUP(B451,'Inventory Master'!$A$3:$L$300,6,FALSE),0))</f>
      </c>
      <c r="D451" s="11">
        <f>SUMIFS(Purchases!$D:$D,Purchases!$A:$A,$A451,Purchases!$C:$C,$B451)</f>
      </c>
      <c r="E451" s="11">
        <f>SUMIFS('Sales Log'!$D:$D,'Sales Log'!$A:$A,$A451,'Sales Log'!$C:$C,$B451)</f>
      </c>
      <c r="F451" s="8"/>
      <c r="G451" s="8"/>
      <c r="H451" s="11">
        <f>C451+D451-E451-F451</f>
      </c>
      <c r="I451" s="11">
        <f>H451-G451</f>
      </c>
    </row>
    <row r="452" ht="21" customHeight="1" spans="1:9" x14ac:dyDescent="0.25">
      <c r="A452" s="8"/>
      <c r="B452" s="8"/>
      <c r="C452" s="11">
        <f>IFERROR(LOOKUP(2,1/(($B$3:$B451=B452)*($A$3:$A451&lt;A452)),$G$3:$G451),IFERROR(VLOOKUP(B452,'Inventory Master'!$A$3:$L$300,6,FALSE),0))</f>
      </c>
      <c r="D452" s="11">
        <f>SUMIFS(Purchases!$D:$D,Purchases!$A:$A,$A452,Purchases!$C:$C,$B452)</f>
      </c>
      <c r="E452" s="11">
        <f>SUMIFS('Sales Log'!$D:$D,'Sales Log'!$A:$A,$A452,'Sales Log'!$C:$C,$B452)</f>
      </c>
      <c r="F452" s="8"/>
      <c r="G452" s="8"/>
      <c r="H452" s="11">
        <f>C452+D452-E452-F452</f>
      </c>
      <c r="I452" s="11">
        <f>H452-G452</f>
      </c>
    </row>
    <row r="453" ht="21" customHeight="1" spans="1:9" x14ac:dyDescent="0.25">
      <c r="A453" s="8"/>
      <c r="B453" s="8"/>
      <c r="C453" s="11">
        <f>IFERROR(LOOKUP(2,1/(($B$3:$B452=B453)*($A$3:$A452&lt;A453)),$G$3:$G452),IFERROR(VLOOKUP(B453,'Inventory Master'!$A$3:$L$300,6,FALSE),0))</f>
      </c>
      <c r="D453" s="11">
        <f>SUMIFS(Purchases!$D:$D,Purchases!$A:$A,$A453,Purchases!$C:$C,$B453)</f>
      </c>
      <c r="E453" s="11">
        <f>SUMIFS('Sales Log'!$D:$D,'Sales Log'!$A:$A,$A453,'Sales Log'!$C:$C,$B453)</f>
      </c>
      <c r="F453" s="8"/>
      <c r="G453" s="8"/>
      <c r="H453" s="11">
        <f>C453+D453-E453-F453</f>
      </c>
      <c r="I453" s="11">
        <f>H453-G453</f>
      </c>
    </row>
    <row r="454" ht="21" customHeight="1" spans="1:9" x14ac:dyDescent="0.25">
      <c r="A454" s="8"/>
      <c r="B454" s="8"/>
      <c r="C454" s="11">
        <f>IFERROR(LOOKUP(2,1/(($B$3:$B453=B454)*($A$3:$A453&lt;A454)),$G$3:$G453),IFERROR(VLOOKUP(B454,'Inventory Master'!$A$3:$L$300,6,FALSE),0))</f>
      </c>
      <c r="D454" s="11">
        <f>SUMIFS(Purchases!$D:$D,Purchases!$A:$A,$A454,Purchases!$C:$C,$B454)</f>
      </c>
      <c r="E454" s="11">
        <f>SUMIFS('Sales Log'!$D:$D,'Sales Log'!$A:$A,$A454,'Sales Log'!$C:$C,$B454)</f>
      </c>
      <c r="F454" s="8"/>
      <c r="G454" s="8"/>
      <c r="H454" s="11">
        <f>C454+D454-E454-F454</f>
      </c>
      <c r="I454" s="11">
        <f>H454-G454</f>
      </c>
    </row>
    <row r="455" ht="21" customHeight="1" spans="1:9" x14ac:dyDescent="0.25">
      <c r="A455" s="8"/>
      <c r="B455" s="8"/>
      <c r="C455" s="11">
        <f>IFERROR(LOOKUP(2,1/(($B$3:$B454=B455)*($A$3:$A454&lt;A455)),$G$3:$G454),IFERROR(VLOOKUP(B455,'Inventory Master'!$A$3:$L$300,6,FALSE),0))</f>
      </c>
      <c r="D455" s="11">
        <f>SUMIFS(Purchases!$D:$D,Purchases!$A:$A,$A455,Purchases!$C:$C,$B455)</f>
      </c>
      <c r="E455" s="11">
        <f>SUMIFS('Sales Log'!$D:$D,'Sales Log'!$A:$A,$A455,'Sales Log'!$C:$C,$B455)</f>
      </c>
      <c r="F455" s="8"/>
      <c r="G455" s="8"/>
      <c r="H455" s="11">
        <f>C455+D455-E455-F455</f>
      </c>
      <c r="I455" s="11">
        <f>H455-G455</f>
      </c>
    </row>
    <row r="456" ht="21" customHeight="1" spans="1:9" x14ac:dyDescent="0.25">
      <c r="A456" s="8"/>
      <c r="B456" s="8"/>
      <c r="C456" s="11">
        <f>IFERROR(LOOKUP(2,1/(($B$3:$B455=B456)*($A$3:$A455&lt;A456)),$G$3:$G455),IFERROR(VLOOKUP(B456,'Inventory Master'!$A$3:$L$300,6,FALSE),0))</f>
      </c>
      <c r="D456" s="11">
        <f>SUMIFS(Purchases!$D:$D,Purchases!$A:$A,$A456,Purchases!$C:$C,$B456)</f>
      </c>
      <c r="E456" s="11">
        <f>SUMIFS('Sales Log'!$D:$D,'Sales Log'!$A:$A,$A456,'Sales Log'!$C:$C,$B456)</f>
      </c>
      <c r="F456" s="8"/>
      <c r="G456" s="8"/>
      <c r="H456" s="11">
        <f>C456+D456-E456-F456</f>
      </c>
      <c r="I456" s="11">
        <f>H456-G456</f>
      </c>
    </row>
    <row r="457" ht="21" customHeight="1" spans="1:9" x14ac:dyDescent="0.25">
      <c r="A457" s="8"/>
      <c r="B457" s="8"/>
      <c r="C457" s="11">
        <f>IFERROR(LOOKUP(2,1/(($B$3:$B456=B457)*($A$3:$A456&lt;A457)),$G$3:$G456),IFERROR(VLOOKUP(B457,'Inventory Master'!$A$3:$L$300,6,FALSE),0))</f>
      </c>
      <c r="D457" s="11">
        <f>SUMIFS(Purchases!$D:$D,Purchases!$A:$A,$A457,Purchases!$C:$C,$B457)</f>
      </c>
      <c r="E457" s="11">
        <f>SUMIFS('Sales Log'!$D:$D,'Sales Log'!$A:$A,$A457,'Sales Log'!$C:$C,$B457)</f>
      </c>
      <c r="F457" s="8"/>
      <c r="G457" s="8"/>
      <c r="H457" s="11">
        <f>C457+D457-E457-F457</f>
      </c>
      <c r="I457" s="11">
        <f>H457-G457</f>
      </c>
    </row>
    <row r="458" ht="21" customHeight="1" spans="1:9" x14ac:dyDescent="0.25">
      <c r="A458" s="8"/>
      <c r="B458" s="8"/>
      <c r="C458" s="11">
        <f>IFERROR(LOOKUP(2,1/(($B$3:$B457=B458)*($A$3:$A457&lt;A458)),$G$3:$G457),IFERROR(VLOOKUP(B458,'Inventory Master'!$A$3:$L$300,6,FALSE),0))</f>
      </c>
      <c r="D458" s="11">
        <f>SUMIFS(Purchases!$D:$D,Purchases!$A:$A,$A458,Purchases!$C:$C,$B458)</f>
      </c>
      <c r="E458" s="11">
        <f>SUMIFS('Sales Log'!$D:$D,'Sales Log'!$A:$A,$A458,'Sales Log'!$C:$C,$B458)</f>
      </c>
      <c r="F458" s="8"/>
      <c r="G458" s="8"/>
      <c r="H458" s="11">
        <f>C458+D458-E458-F458</f>
      </c>
      <c r="I458" s="11">
        <f>H458-G458</f>
      </c>
    </row>
    <row r="459" ht="21" customHeight="1" spans="1:9" x14ac:dyDescent="0.25">
      <c r="A459" s="8"/>
      <c r="B459" s="8"/>
      <c r="C459" s="11">
        <f>IFERROR(LOOKUP(2,1/(($B$3:$B458=B459)*($A$3:$A458&lt;A459)),$G$3:$G458),IFERROR(VLOOKUP(B459,'Inventory Master'!$A$3:$L$300,6,FALSE),0))</f>
      </c>
      <c r="D459" s="11">
        <f>SUMIFS(Purchases!$D:$D,Purchases!$A:$A,$A459,Purchases!$C:$C,$B459)</f>
      </c>
      <c r="E459" s="11">
        <f>SUMIFS('Sales Log'!$D:$D,'Sales Log'!$A:$A,$A459,'Sales Log'!$C:$C,$B459)</f>
      </c>
      <c r="F459" s="8"/>
      <c r="G459" s="8"/>
      <c r="H459" s="11">
        <f>C459+D459-E459-F459</f>
      </c>
      <c r="I459" s="11">
        <f>H459-G459</f>
      </c>
    </row>
    <row r="460" ht="21" customHeight="1" spans="1:9" x14ac:dyDescent="0.25">
      <c r="A460" s="8"/>
      <c r="B460" s="8"/>
      <c r="C460" s="11">
        <f>IFERROR(LOOKUP(2,1/(($B$3:$B459=B460)*($A$3:$A459&lt;A460)),$G$3:$G459),IFERROR(VLOOKUP(B460,'Inventory Master'!$A$3:$L$300,6,FALSE),0))</f>
      </c>
      <c r="D460" s="11">
        <f>SUMIFS(Purchases!$D:$D,Purchases!$A:$A,$A460,Purchases!$C:$C,$B460)</f>
      </c>
      <c r="E460" s="11">
        <f>SUMIFS('Sales Log'!$D:$D,'Sales Log'!$A:$A,$A460,'Sales Log'!$C:$C,$B460)</f>
      </c>
      <c r="F460" s="8"/>
      <c r="G460" s="8"/>
      <c r="H460" s="11">
        <f>C460+D460-E460-F460</f>
      </c>
      <c r="I460" s="11">
        <f>H460-G460</f>
      </c>
    </row>
    <row r="461" ht="21" customHeight="1" spans="1:9" x14ac:dyDescent="0.25">
      <c r="A461" s="8"/>
      <c r="B461" s="8"/>
      <c r="C461" s="11">
        <f>IFERROR(LOOKUP(2,1/(($B$3:$B460=B461)*($A$3:$A460&lt;A461)),$G$3:$G460),IFERROR(VLOOKUP(B461,'Inventory Master'!$A$3:$L$300,6,FALSE),0))</f>
      </c>
      <c r="D461" s="11">
        <f>SUMIFS(Purchases!$D:$D,Purchases!$A:$A,$A461,Purchases!$C:$C,$B461)</f>
      </c>
      <c r="E461" s="11">
        <f>SUMIFS('Sales Log'!$D:$D,'Sales Log'!$A:$A,$A461,'Sales Log'!$C:$C,$B461)</f>
      </c>
      <c r="F461" s="8"/>
      <c r="G461" s="8"/>
      <c r="H461" s="11">
        <f>C461+D461-E461-F461</f>
      </c>
      <c r="I461" s="11">
        <f>H461-G461</f>
      </c>
    </row>
    <row r="462" ht="21" customHeight="1" spans="1:9" x14ac:dyDescent="0.25">
      <c r="A462" s="8"/>
      <c r="B462" s="8"/>
      <c r="C462" s="11">
        <f>IFERROR(LOOKUP(2,1/(($B$3:$B461=B462)*($A$3:$A461&lt;A462)),$G$3:$G461),IFERROR(VLOOKUP(B462,'Inventory Master'!$A$3:$L$300,6,FALSE),0))</f>
      </c>
      <c r="D462" s="11">
        <f>SUMIFS(Purchases!$D:$D,Purchases!$A:$A,$A462,Purchases!$C:$C,$B462)</f>
      </c>
      <c r="E462" s="11">
        <f>SUMIFS('Sales Log'!$D:$D,'Sales Log'!$A:$A,$A462,'Sales Log'!$C:$C,$B462)</f>
      </c>
      <c r="F462" s="8"/>
      <c r="G462" s="8"/>
      <c r="H462" s="11">
        <f>C462+D462-E462-F462</f>
      </c>
      <c r="I462" s="11">
        <f>H462-G462</f>
      </c>
    </row>
    <row r="463" ht="21" customHeight="1" spans="1:9" x14ac:dyDescent="0.25">
      <c r="A463" s="8"/>
      <c r="B463" s="8"/>
      <c r="C463" s="11">
        <f>IFERROR(LOOKUP(2,1/(($B$3:$B462=B463)*($A$3:$A462&lt;A463)),$G$3:$G462),IFERROR(VLOOKUP(B463,'Inventory Master'!$A$3:$L$300,6,FALSE),0))</f>
      </c>
      <c r="D463" s="11">
        <f>SUMIFS(Purchases!$D:$D,Purchases!$A:$A,$A463,Purchases!$C:$C,$B463)</f>
      </c>
      <c r="E463" s="11">
        <f>SUMIFS('Sales Log'!$D:$D,'Sales Log'!$A:$A,$A463,'Sales Log'!$C:$C,$B463)</f>
      </c>
      <c r="F463" s="8"/>
      <c r="G463" s="8"/>
      <c r="H463" s="11">
        <f>C463+D463-E463-F463</f>
      </c>
      <c r="I463" s="11">
        <f>H463-G463</f>
      </c>
    </row>
    <row r="464" ht="21" customHeight="1" spans="1:9" x14ac:dyDescent="0.25">
      <c r="A464" s="8"/>
      <c r="B464" s="8"/>
      <c r="C464" s="11">
        <f>IFERROR(LOOKUP(2,1/(($B$3:$B463=B464)*($A$3:$A463&lt;A464)),$G$3:$G463),IFERROR(VLOOKUP(B464,'Inventory Master'!$A$3:$L$300,6,FALSE),0))</f>
      </c>
      <c r="D464" s="11">
        <f>SUMIFS(Purchases!$D:$D,Purchases!$A:$A,$A464,Purchases!$C:$C,$B464)</f>
      </c>
      <c r="E464" s="11">
        <f>SUMIFS('Sales Log'!$D:$D,'Sales Log'!$A:$A,$A464,'Sales Log'!$C:$C,$B464)</f>
      </c>
      <c r="F464" s="8"/>
      <c r="G464" s="8"/>
      <c r="H464" s="11">
        <f>C464+D464-E464-F464</f>
      </c>
      <c r="I464" s="11">
        <f>H464-G464</f>
      </c>
    </row>
    <row r="465" ht="21" customHeight="1" spans="1:9" x14ac:dyDescent="0.25">
      <c r="A465" s="8"/>
      <c r="B465" s="8"/>
      <c r="C465" s="11">
        <f>IFERROR(LOOKUP(2,1/(($B$3:$B464=B465)*($A$3:$A464&lt;A465)),$G$3:$G464),IFERROR(VLOOKUP(B465,'Inventory Master'!$A$3:$L$300,6,FALSE),0))</f>
      </c>
      <c r="D465" s="11">
        <f>SUMIFS(Purchases!$D:$D,Purchases!$A:$A,$A465,Purchases!$C:$C,$B465)</f>
      </c>
      <c r="E465" s="11">
        <f>SUMIFS('Sales Log'!$D:$D,'Sales Log'!$A:$A,$A465,'Sales Log'!$C:$C,$B465)</f>
      </c>
      <c r="F465" s="8"/>
      <c r="G465" s="8"/>
      <c r="H465" s="11">
        <f>C465+D465-E465-F465</f>
      </c>
      <c r="I465" s="11">
        <f>H465-G465</f>
      </c>
    </row>
    <row r="466" ht="21" customHeight="1" spans="1:9" x14ac:dyDescent="0.25">
      <c r="A466" s="8"/>
      <c r="B466" s="8"/>
      <c r="C466" s="11">
        <f>IFERROR(LOOKUP(2,1/(($B$3:$B465=B466)*($A$3:$A465&lt;A466)),$G$3:$G465),IFERROR(VLOOKUP(B466,'Inventory Master'!$A$3:$L$300,6,FALSE),0))</f>
      </c>
      <c r="D466" s="11">
        <f>SUMIFS(Purchases!$D:$D,Purchases!$A:$A,$A466,Purchases!$C:$C,$B466)</f>
      </c>
      <c r="E466" s="11">
        <f>SUMIFS('Sales Log'!$D:$D,'Sales Log'!$A:$A,$A466,'Sales Log'!$C:$C,$B466)</f>
      </c>
      <c r="F466" s="8"/>
      <c r="G466" s="8"/>
      <c r="H466" s="11">
        <f>C466+D466-E466-F466</f>
      </c>
      <c r="I466" s="11">
        <f>H466-G466</f>
      </c>
    </row>
    <row r="467" ht="21" customHeight="1" spans="1:9" x14ac:dyDescent="0.25">
      <c r="A467" s="8"/>
      <c r="B467" s="8"/>
      <c r="C467" s="11">
        <f>IFERROR(LOOKUP(2,1/(($B$3:$B466=B467)*($A$3:$A466&lt;A467)),$G$3:$G466),IFERROR(VLOOKUP(B467,'Inventory Master'!$A$3:$L$300,6,FALSE),0))</f>
      </c>
      <c r="D467" s="11">
        <f>SUMIFS(Purchases!$D:$D,Purchases!$A:$A,$A467,Purchases!$C:$C,$B467)</f>
      </c>
      <c r="E467" s="11">
        <f>SUMIFS('Sales Log'!$D:$D,'Sales Log'!$A:$A,$A467,'Sales Log'!$C:$C,$B467)</f>
      </c>
      <c r="F467" s="8"/>
      <c r="G467" s="8"/>
      <c r="H467" s="11">
        <f>C467+D467-E467-F467</f>
      </c>
      <c r="I467" s="11">
        <f>H467-G467</f>
      </c>
    </row>
    <row r="468" ht="21" customHeight="1" spans="1:9" x14ac:dyDescent="0.25">
      <c r="A468" s="8"/>
      <c r="B468" s="8"/>
      <c r="C468" s="11">
        <f>IFERROR(LOOKUP(2,1/(($B$3:$B467=B468)*($A$3:$A467&lt;A468)),$G$3:$G467),IFERROR(VLOOKUP(B468,'Inventory Master'!$A$3:$L$300,6,FALSE),0))</f>
      </c>
      <c r="D468" s="11">
        <f>SUMIFS(Purchases!$D:$D,Purchases!$A:$A,$A468,Purchases!$C:$C,$B468)</f>
      </c>
      <c r="E468" s="11">
        <f>SUMIFS('Sales Log'!$D:$D,'Sales Log'!$A:$A,$A468,'Sales Log'!$C:$C,$B468)</f>
      </c>
      <c r="F468" s="8"/>
      <c r="G468" s="8"/>
      <c r="H468" s="11">
        <f>C468+D468-E468-F468</f>
      </c>
      <c r="I468" s="11">
        <f>H468-G468</f>
      </c>
    </row>
    <row r="469" ht="21" customHeight="1" spans="1:9" x14ac:dyDescent="0.25">
      <c r="A469" s="8"/>
      <c r="B469" s="8"/>
      <c r="C469" s="11">
        <f>IFERROR(LOOKUP(2,1/(($B$3:$B468=B469)*($A$3:$A468&lt;A469)),$G$3:$G468),IFERROR(VLOOKUP(B469,'Inventory Master'!$A$3:$L$300,6,FALSE),0))</f>
      </c>
      <c r="D469" s="11">
        <f>SUMIFS(Purchases!$D:$D,Purchases!$A:$A,$A469,Purchases!$C:$C,$B469)</f>
      </c>
      <c r="E469" s="11">
        <f>SUMIFS('Sales Log'!$D:$D,'Sales Log'!$A:$A,$A469,'Sales Log'!$C:$C,$B469)</f>
      </c>
      <c r="F469" s="8"/>
      <c r="G469" s="8"/>
      <c r="H469" s="11">
        <f>C469+D469-E469-F469</f>
      </c>
      <c r="I469" s="11">
        <f>H469-G469</f>
      </c>
    </row>
    <row r="470" ht="21" customHeight="1" spans="1:9" x14ac:dyDescent="0.25">
      <c r="A470" s="8"/>
      <c r="B470" s="8"/>
      <c r="C470" s="11">
        <f>IFERROR(LOOKUP(2,1/(($B$3:$B469=B470)*($A$3:$A469&lt;A470)),$G$3:$G469),IFERROR(VLOOKUP(B470,'Inventory Master'!$A$3:$L$300,6,FALSE),0))</f>
      </c>
      <c r="D470" s="11">
        <f>SUMIFS(Purchases!$D:$D,Purchases!$A:$A,$A470,Purchases!$C:$C,$B470)</f>
      </c>
      <c r="E470" s="11">
        <f>SUMIFS('Sales Log'!$D:$D,'Sales Log'!$A:$A,$A470,'Sales Log'!$C:$C,$B470)</f>
      </c>
      <c r="F470" s="8"/>
      <c r="G470" s="8"/>
      <c r="H470" s="11">
        <f>C470+D470-E470-F470</f>
      </c>
      <c r="I470" s="11">
        <f>H470-G470</f>
      </c>
    </row>
    <row r="471" ht="21" customHeight="1" spans="1:9" x14ac:dyDescent="0.25">
      <c r="A471" s="8"/>
      <c r="B471" s="8"/>
      <c r="C471" s="11">
        <f>IFERROR(LOOKUP(2,1/(($B$3:$B470=B471)*($A$3:$A470&lt;A471)),$G$3:$G470),IFERROR(VLOOKUP(B471,'Inventory Master'!$A$3:$L$300,6,FALSE),0))</f>
      </c>
      <c r="D471" s="11">
        <f>SUMIFS(Purchases!$D:$D,Purchases!$A:$A,$A471,Purchases!$C:$C,$B471)</f>
      </c>
      <c r="E471" s="11">
        <f>SUMIFS('Sales Log'!$D:$D,'Sales Log'!$A:$A,$A471,'Sales Log'!$C:$C,$B471)</f>
      </c>
      <c r="F471" s="8"/>
      <c r="G471" s="8"/>
      <c r="H471" s="11">
        <f>C471+D471-E471-F471</f>
      </c>
      <c r="I471" s="11">
        <f>H471-G471</f>
      </c>
    </row>
    <row r="472" ht="21" customHeight="1" spans="1:9" x14ac:dyDescent="0.25">
      <c r="A472" s="8"/>
      <c r="B472" s="8"/>
      <c r="C472" s="11">
        <f>IFERROR(LOOKUP(2,1/(($B$3:$B471=B472)*($A$3:$A471&lt;A472)),$G$3:$G471),IFERROR(VLOOKUP(B472,'Inventory Master'!$A$3:$L$300,6,FALSE),0))</f>
      </c>
      <c r="D472" s="11">
        <f>SUMIFS(Purchases!$D:$D,Purchases!$A:$A,$A472,Purchases!$C:$C,$B472)</f>
      </c>
      <c r="E472" s="11">
        <f>SUMIFS('Sales Log'!$D:$D,'Sales Log'!$A:$A,$A472,'Sales Log'!$C:$C,$B472)</f>
      </c>
      <c r="F472" s="8"/>
      <c r="G472" s="8"/>
      <c r="H472" s="11">
        <f>C472+D472-E472-F472</f>
      </c>
      <c r="I472" s="11">
        <f>H472-G472</f>
      </c>
    </row>
    <row r="473" ht="21" customHeight="1" spans="1:9" x14ac:dyDescent="0.25">
      <c r="A473" s="8"/>
      <c r="B473" s="8"/>
      <c r="C473" s="11">
        <f>IFERROR(LOOKUP(2,1/(($B$3:$B472=B473)*($A$3:$A472&lt;A473)),$G$3:$G472),IFERROR(VLOOKUP(B473,'Inventory Master'!$A$3:$L$300,6,FALSE),0))</f>
      </c>
      <c r="D473" s="11">
        <f>SUMIFS(Purchases!$D:$D,Purchases!$A:$A,$A473,Purchases!$C:$C,$B473)</f>
      </c>
      <c r="E473" s="11">
        <f>SUMIFS('Sales Log'!$D:$D,'Sales Log'!$A:$A,$A473,'Sales Log'!$C:$C,$B473)</f>
      </c>
      <c r="F473" s="8"/>
      <c r="G473" s="8"/>
      <c r="H473" s="11">
        <f>C473+D473-E473-F473</f>
      </c>
      <c r="I473" s="11">
        <f>H473-G473</f>
      </c>
    </row>
    <row r="474" ht="21" customHeight="1" spans="1:9" x14ac:dyDescent="0.25">
      <c r="A474" s="8"/>
      <c r="B474" s="8"/>
      <c r="C474" s="11">
        <f>IFERROR(LOOKUP(2,1/(($B$3:$B473=B474)*($A$3:$A473&lt;A474)),$G$3:$G473),IFERROR(VLOOKUP(B474,'Inventory Master'!$A$3:$L$300,6,FALSE),0))</f>
      </c>
      <c r="D474" s="11">
        <f>SUMIFS(Purchases!$D:$D,Purchases!$A:$A,$A474,Purchases!$C:$C,$B474)</f>
      </c>
      <c r="E474" s="11">
        <f>SUMIFS('Sales Log'!$D:$D,'Sales Log'!$A:$A,$A474,'Sales Log'!$C:$C,$B474)</f>
      </c>
      <c r="F474" s="8"/>
      <c r="G474" s="8"/>
      <c r="H474" s="11">
        <f>C474+D474-E474-F474</f>
      </c>
      <c r="I474" s="11">
        <f>H474-G474</f>
      </c>
    </row>
    <row r="475" ht="21" customHeight="1" spans="1:9" x14ac:dyDescent="0.25">
      <c r="A475" s="8"/>
      <c r="B475" s="8"/>
      <c r="C475" s="11">
        <f>IFERROR(LOOKUP(2,1/(($B$3:$B474=B475)*($A$3:$A474&lt;A475)),$G$3:$G474),IFERROR(VLOOKUP(B475,'Inventory Master'!$A$3:$L$300,6,FALSE),0))</f>
      </c>
      <c r="D475" s="11">
        <f>SUMIFS(Purchases!$D:$D,Purchases!$A:$A,$A475,Purchases!$C:$C,$B475)</f>
      </c>
      <c r="E475" s="11">
        <f>SUMIFS('Sales Log'!$D:$D,'Sales Log'!$A:$A,$A475,'Sales Log'!$C:$C,$B475)</f>
      </c>
      <c r="F475" s="8"/>
      <c r="G475" s="8"/>
      <c r="H475" s="11">
        <f>C475+D475-E475-F475</f>
      </c>
      <c r="I475" s="11">
        <f>H475-G475</f>
      </c>
    </row>
    <row r="476" ht="21" customHeight="1" spans="1:9" x14ac:dyDescent="0.25">
      <c r="A476" s="8"/>
      <c r="B476" s="8"/>
      <c r="C476" s="11">
        <f>IFERROR(LOOKUP(2,1/(($B$3:$B475=B476)*($A$3:$A475&lt;A476)),$G$3:$G475),IFERROR(VLOOKUP(B476,'Inventory Master'!$A$3:$L$300,6,FALSE),0))</f>
      </c>
      <c r="D476" s="11">
        <f>SUMIFS(Purchases!$D:$D,Purchases!$A:$A,$A476,Purchases!$C:$C,$B476)</f>
      </c>
      <c r="E476" s="11">
        <f>SUMIFS('Sales Log'!$D:$D,'Sales Log'!$A:$A,$A476,'Sales Log'!$C:$C,$B476)</f>
      </c>
      <c r="F476" s="8"/>
      <c r="G476" s="8"/>
      <c r="H476" s="11">
        <f>C476+D476-E476-F476</f>
      </c>
      <c r="I476" s="11">
        <f>H476-G476</f>
      </c>
    </row>
    <row r="477" ht="21" customHeight="1" spans="1:9" x14ac:dyDescent="0.25">
      <c r="A477" s="8"/>
      <c r="B477" s="8"/>
      <c r="C477" s="11">
        <f>IFERROR(LOOKUP(2,1/(($B$3:$B476=B477)*($A$3:$A476&lt;A477)),$G$3:$G476),IFERROR(VLOOKUP(B477,'Inventory Master'!$A$3:$L$300,6,FALSE),0))</f>
      </c>
      <c r="D477" s="11">
        <f>SUMIFS(Purchases!$D:$D,Purchases!$A:$A,$A477,Purchases!$C:$C,$B477)</f>
      </c>
      <c r="E477" s="11">
        <f>SUMIFS('Sales Log'!$D:$D,'Sales Log'!$A:$A,$A477,'Sales Log'!$C:$C,$B477)</f>
      </c>
      <c r="F477" s="8"/>
      <c r="G477" s="8"/>
      <c r="H477" s="11">
        <f>C477+D477-E477-F477</f>
      </c>
      <c r="I477" s="11">
        <f>H477-G477</f>
      </c>
    </row>
    <row r="478" ht="21" customHeight="1" spans="1:9" x14ac:dyDescent="0.25">
      <c r="A478" s="8"/>
      <c r="B478" s="8"/>
      <c r="C478" s="11">
        <f>IFERROR(LOOKUP(2,1/(($B$3:$B477=B478)*($A$3:$A477&lt;A478)),$G$3:$G477),IFERROR(VLOOKUP(B478,'Inventory Master'!$A$3:$L$300,6,FALSE),0))</f>
      </c>
      <c r="D478" s="11">
        <f>SUMIFS(Purchases!$D:$D,Purchases!$A:$A,$A478,Purchases!$C:$C,$B478)</f>
      </c>
      <c r="E478" s="11">
        <f>SUMIFS('Sales Log'!$D:$D,'Sales Log'!$A:$A,$A478,'Sales Log'!$C:$C,$B478)</f>
      </c>
      <c r="F478" s="8"/>
      <c r="G478" s="8"/>
      <c r="H478" s="11">
        <f>C478+D478-E478-F478</f>
      </c>
      <c r="I478" s="11">
        <f>H478-G478</f>
      </c>
    </row>
    <row r="479" ht="21" customHeight="1" spans="1:9" x14ac:dyDescent="0.25">
      <c r="A479" s="8"/>
      <c r="B479" s="8"/>
      <c r="C479" s="11">
        <f>IFERROR(LOOKUP(2,1/(($B$3:$B478=B479)*($A$3:$A478&lt;A479)),$G$3:$G478),IFERROR(VLOOKUP(B479,'Inventory Master'!$A$3:$L$300,6,FALSE),0))</f>
      </c>
      <c r="D479" s="11">
        <f>SUMIFS(Purchases!$D:$D,Purchases!$A:$A,$A479,Purchases!$C:$C,$B479)</f>
      </c>
      <c r="E479" s="11">
        <f>SUMIFS('Sales Log'!$D:$D,'Sales Log'!$A:$A,$A479,'Sales Log'!$C:$C,$B479)</f>
      </c>
      <c r="F479" s="8"/>
      <c r="G479" s="8"/>
      <c r="H479" s="11">
        <f>C479+D479-E479-F479</f>
      </c>
      <c r="I479" s="11">
        <f>H479-G479</f>
      </c>
    </row>
    <row r="480" ht="21" customHeight="1" spans="1:9" x14ac:dyDescent="0.25">
      <c r="A480" s="8"/>
      <c r="B480" s="8"/>
      <c r="C480" s="11">
        <f>IFERROR(LOOKUP(2,1/(($B$3:$B479=B480)*($A$3:$A479&lt;A480)),$G$3:$G479),IFERROR(VLOOKUP(B480,'Inventory Master'!$A$3:$L$300,6,FALSE),0))</f>
      </c>
      <c r="D480" s="11">
        <f>SUMIFS(Purchases!$D:$D,Purchases!$A:$A,$A480,Purchases!$C:$C,$B480)</f>
      </c>
      <c r="E480" s="11">
        <f>SUMIFS('Sales Log'!$D:$D,'Sales Log'!$A:$A,$A480,'Sales Log'!$C:$C,$B480)</f>
      </c>
      <c r="F480" s="8"/>
      <c r="G480" s="8"/>
      <c r="H480" s="11">
        <f>C480+D480-E480-F480</f>
      </c>
      <c r="I480" s="11">
        <f>H480-G480</f>
      </c>
    </row>
    <row r="481" ht="21" customHeight="1" spans="1:9" x14ac:dyDescent="0.25">
      <c r="A481" s="8"/>
      <c r="B481" s="8"/>
      <c r="C481" s="11">
        <f>IFERROR(LOOKUP(2,1/(($B$3:$B480=B481)*($A$3:$A480&lt;A481)),$G$3:$G480),IFERROR(VLOOKUP(B481,'Inventory Master'!$A$3:$L$300,6,FALSE),0))</f>
      </c>
      <c r="D481" s="11">
        <f>SUMIFS(Purchases!$D:$D,Purchases!$A:$A,$A481,Purchases!$C:$C,$B481)</f>
      </c>
      <c r="E481" s="11">
        <f>SUMIFS('Sales Log'!$D:$D,'Sales Log'!$A:$A,$A481,'Sales Log'!$C:$C,$B481)</f>
      </c>
      <c r="F481" s="8"/>
      <c r="G481" s="8"/>
      <c r="H481" s="11">
        <f>C481+D481-E481-F481</f>
      </c>
      <c r="I481" s="11">
        <f>H481-G481</f>
      </c>
    </row>
    <row r="482" ht="21" customHeight="1" spans="1:9" x14ac:dyDescent="0.25">
      <c r="A482" s="8"/>
      <c r="B482" s="8"/>
      <c r="C482" s="11">
        <f>IFERROR(LOOKUP(2,1/(($B$3:$B481=B482)*($A$3:$A481&lt;A482)),$G$3:$G481),IFERROR(VLOOKUP(B482,'Inventory Master'!$A$3:$L$300,6,FALSE),0))</f>
      </c>
      <c r="D482" s="11">
        <f>SUMIFS(Purchases!$D:$D,Purchases!$A:$A,$A482,Purchases!$C:$C,$B482)</f>
      </c>
      <c r="E482" s="11">
        <f>SUMIFS('Sales Log'!$D:$D,'Sales Log'!$A:$A,$A482,'Sales Log'!$C:$C,$B482)</f>
      </c>
      <c r="F482" s="8"/>
      <c r="G482" s="8"/>
      <c r="H482" s="11">
        <f>C482+D482-E482-F482</f>
      </c>
      <c r="I482" s="11">
        <f>H482-G482</f>
      </c>
    </row>
    <row r="483" ht="21" customHeight="1" spans="1:9" x14ac:dyDescent="0.25">
      <c r="A483" s="8"/>
      <c r="B483" s="8"/>
      <c r="C483" s="11">
        <f>IFERROR(LOOKUP(2,1/(($B$3:$B482=B483)*($A$3:$A482&lt;A483)),$G$3:$G482),IFERROR(VLOOKUP(B483,'Inventory Master'!$A$3:$L$300,6,FALSE),0))</f>
      </c>
      <c r="D483" s="11">
        <f>SUMIFS(Purchases!$D:$D,Purchases!$A:$A,$A483,Purchases!$C:$C,$B483)</f>
      </c>
      <c r="E483" s="11">
        <f>SUMIFS('Sales Log'!$D:$D,'Sales Log'!$A:$A,$A483,'Sales Log'!$C:$C,$B483)</f>
      </c>
      <c r="F483" s="8"/>
      <c r="G483" s="8"/>
      <c r="H483" s="11">
        <f>C483+D483-E483-F483</f>
      </c>
      <c r="I483" s="11">
        <f>H483-G483</f>
      </c>
    </row>
    <row r="484" ht="21" customHeight="1" spans="1:9" x14ac:dyDescent="0.25">
      <c r="A484" s="8"/>
      <c r="B484" s="8"/>
      <c r="C484" s="11">
        <f>IFERROR(LOOKUP(2,1/(($B$3:$B483=B484)*($A$3:$A483&lt;A484)),$G$3:$G483),IFERROR(VLOOKUP(B484,'Inventory Master'!$A$3:$L$300,6,FALSE),0))</f>
      </c>
      <c r="D484" s="11">
        <f>SUMIFS(Purchases!$D:$D,Purchases!$A:$A,$A484,Purchases!$C:$C,$B484)</f>
      </c>
      <c r="E484" s="11">
        <f>SUMIFS('Sales Log'!$D:$D,'Sales Log'!$A:$A,$A484,'Sales Log'!$C:$C,$B484)</f>
      </c>
      <c r="F484" s="8"/>
      <c r="G484" s="8"/>
      <c r="H484" s="11">
        <f>C484+D484-E484-F484</f>
      </c>
      <c r="I484" s="11">
        <f>H484-G484</f>
      </c>
    </row>
    <row r="485" ht="21" customHeight="1" spans="1:9" x14ac:dyDescent="0.25">
      <c r="A485" s="8"/>
      <c r="B485" s="8"/>
      <c r="C485" s="11">
        <f>IFERROR(LOOKUP(2,1/(($B$3:$B484=B485)*($A$3:$A484&lt;A485)),$G$3:$G484),IFERROR(VLOOKUP(B485,'Inventory Master'!$A$3:$L$300,6,FALSE),0))</f>
      </c>
      <c r="D485" s="11">
        <f>SUMIFS(Purchases!$D:$D,Purchases!$A:$A,$A485,Purchases!$C:$C,$B485)</f>
      </c>
      <c r="E485" s="11">
        <f>SUMIFS('Sales Log'!$D:$D,'Sales Log'!$A:$A,$A485,'Sales Log'!$C:$C,$B485)</f>
      </c>
      <c r="F485" s="8"/>
      <c r="G485" s="8"/>
      <c r="H485" s="11">
        <f>C485+D485-E485-F485</f>
      </c>
      <c r="I485" s="11">
        <f>H485-G485</f>
      </c>
    </row>
    <row r="486" ht="21" customHeight="1" spans="1:9" x14ac:dyDescent="0.25">
      <c r="A486" s="8"/>
      <c r="B486" s="8"/>
      <c r="C486" s="11">
        <f>IFERROR(LOOKUP(2,1/(($B$3:$B485=B486)*($A$3:$A485&lt;A486)),$G$3:$G485),IFERROR(VLOOKUP(B486,'Inventory Master'!$A$3:$L$300,6,FALSE),0))</f>
      </c>
      <c r="D486" s="11">
        <f>SUMIFS(Purchases!$D:$D,Purchases!$A:$A,$A486,Purchases!$C:$C,$B486)</f>
      </c>
      <c r="E486" s="11">
        <f>SUMIFS('Sales Log'!$D:$D,'Sales Log'!$A:$A,$A486,'Sales Log'!$C:$C,$B486)</f>
      </c>
      <c r="F486" s="8"/>
      <c r="G486" s="8"/>
      <c r="H486" s="11">
        <f>C486+D486-E486-F486</f>
      </c>
      <c r="I486" s="11">
        <f>H486-G486</f>
      </c>
    </row>
    <row r="487" ht="21" customHeight="1" spans="1:9" x14ac:dyDescent="0.25">
      <c r="A487" s="8"/>
      <c r="B487" s="8"/>
      <c r="C487" s="11">
        <f>IFERROR(LOOKUP(2,1/(($B$3:$B486=B487)*($A$3:$A486&lt;A487)),$G$3:$G486),IFERROR(VLOOKUP(B487,'Inventory Master'!$A$3:$L$300,6,FALSE),0))</f>
      </c>
      <c r="D487" s="11">
        <f>SUMIFS(Purchases!$D:$D,Purchases!$A:$A,$A487,Purchases!$C:$C,$B487)</f>
      </c>
      <c r="E487" s="11">
        <f>SUMIFS('Sales Log'!$D:$D,'Sales Log'!$A:$A,$A487,'Sales Log'!$C:$C,$B487)</f>
      </c>
      <c r="F487" s="8"/>
      <c r="G487" s="8"/>
      <c r="H487" s="11">
        <f>C487+D487-E487-F487</f>
      </c>
      <c r="I487" s="11">
        <f>H487-G487</f>
      </c>
    </row>
    <row r="488" ht="21" customHeight="1" spans="1:9" x14ac:dyDescent="0.25">
      <c r="A488" s="8"/>
      <c r="B488" s="8"/>
      <c r="C488" s="11">
        <f>IFERROR(LOOKUP(2,1/(($B$3:$B487=B488)*($A$3:$A487&lt;A488)),$G$3:$G487),IFERROR(VLOOKUP(B488,'Inventory Master'!$A$3:$L$300,6,FALSE),0))</f>
      </c>
      <c r="D488" s="11">
        <f>SUMIFS(Purchases!$D:$D,Purchases!$A:$A,$A488,Purchases!$C:$C,$B488)</f>
      </c>
      <c r="E488" s="11">
        <f>SUMIFS('Sales Log'!$D:$D,'Sales Log'!$A:$A,$A488,'Sales Log'!$C:$C,$B488)</f>
      </c>
      <c r="F488" s="8"/>
      <c r="G488" s="8"/>
      <c r="H488" s="11">
        <f>C488+D488-E488-F488</f>
      </c>
      <c r="I488" s="11">
        <f>H488-G488</f>
      </c>
    </row>
    <row r="489" ht="21" customHeight="1" spans="1:9" x14ac:dyDescent="0.25">
      <c r="A489" s="8"/>
      <c r="B489" s="8"/>
      <c r="C489" s="11">
        <f>IFERROR(LOOKUP(2,1/(($B$3:$B488=B489)*($A$3:$A488&lt;A489)),$G$3:$G488),IFERROR(VLOOKUP(B489,'Inventory Master'!$A$3:$L$300,6,FALSE),0))</f>
      </c>
      <c r="D489" s="11">
        <f>SUMIFS(Purchases!$D:$D,Purchases!$A:$A,$A489,Purchases!$C:$C,$B489)</f>
      </c>
      <c r="E489" s="11">
        <f>SUMIFS('Sales Log'!$D:$D,'Sales Log'!$A:$A,$A489,'Sales Log'!$C:$C,$B489)</f>
      </c>
      <c r="F489" s="8"/>
      <c r="G489" s="8"/>
      <c r="H489" s="11">
        <f>C489+D489-E489-F489</f>
      </c>
      <c r="I489" s="11">
        <f>H489-G489</f>
      </c>
    </row>
    <row r="490" ht="21" customHeight="1" spans="1:9" x14ac:dyDescent="0.25">
      <c r="A490" s="8"/>
      <c r="B490" s="8"/>
      <c r="C490" s="11">
        <f>IFERROR(LOOKUP(2,1/(($B$3:$B489=B490)*($A$3:$A489&lt;A490)),$G$3:$G489),IFERROR(VLOOKUP(B490,'Inventory Master'!$A$3:$L$300,6,FALSE),0))</f>
      </c>
      <c r="D490" s="11">
        <f>SUMIFS(Purchases!$D:$D,Purchases!$A:$A,$A490,Purchases!$C:$C,$B490)</f>
      </c>
      <c r="E490" s="11">
        <f>SUMIFS('Sales Log'!$D:$D,'Sales Log'!$A:$A,$A490,'Sales Log'!$C:$C,$B490)</f>
      </c>
      <c r="F490" s="8"/>
      <c r="G490" s="8"/>
      <c r="H490" s="11">
        <f>C490+D490-E490-F490</f>
      </c>
      <c r="I490" s="11">
        <f>H490-G490</f>
      </c>
    </row>
    <row r="491" ht="21" customHeight="1" spans="1:9" x14ac:dyDescent="0.25">
      <c r="A491" s="8"/>
      <c r="B491" s="8"/>
      <c r="C491" s="11">
        <f>IFERROR(LOOKUP(2,1/(($B$3:$B490=B491)*($A$3:$A490&lt;A491)),$G$3:$G490),IFERROR(VLOOKUP(B491,'Inventory Master'!$A$3:$L$300,6,FALSE),0))</f>
      </c>
      <c r="D491" s="11">
        <f>SUMIFS(Purchases!$D:$D,Purchases!$A:$A,$A491,Purchases!$C:$C,$B491)</f>
      </c>
      <c r="E491" s="11">
        <f>SUMIFS('Sales Log'!$D:$D,'Sales Log'!$A:$A,$A491,'Sales Log'!$C:$C,$B491)</f>
      </c>
      <c r="F491" s="8"/>
      <c r="G491" s="8"/>
      <c r="H491" s="11">
        <f>C491+D491-E491-F491</f>
      </c>
      <c r="I491" s="11">
        <f>H491-G491</f>
      </c>
    </row>
    <row r="492" ht="21" customHeight="1" spans="1:9" x14ac:dyDescent="0.25">
      <c r="A492" s="8"/>
      <c r="B492" s="8"/>
      <c r="C492" s="11">
        <f>IFERROR(LOOKUP(2,1/(($B$3:$B491=B492)*($A$3:$A491&lt;A492)),$G$3:$G491),IFERROR(VLOOKUP(B492,'Inventory Master'!$A$3:$L$300,6,FALSE),0))</f>
      </c>
      <c r="D492" s="11">
        <f>SUMIFS(Purchases!$D:$D,Purchases!$A:$A,$A492,Purchases!$C:$C,$B492)</f>
      </c>
      <c r="E492" s="11">
        <f>SUMIFS('Sales Log'!$D:$D,'Sales Log'!$A:$A,$A492,'Sales Log'!$C:$C,$B492)</f>
      </c>
      <c r="F492" s="8"/>
      <c r="G492" s="8"/>
      <c r="H492" s="11">
        <f>C492+D492-E492-F492</f>
      </c>
      <c r="I492" s="11">
        <f>H492-G492</f>
      </c>
    </row>
    <row r="493" ht="21" customHeight="1" spans="1:9" x14ac:dyDescent="0.25">
      <c r="A493" s="8"/>
      <c r="B493" s="8"/>
      <c r="C493" s="11">
        <f>IFERROR(LOOKUP(2,1/(($B$3:$B492=B493)*($A$3:$A492&lt;A493)),$G$3:$G492),IFERROR(VLOOKUP(B493,'Inventory Master'!$A$3:$L$300,6,FALSE),0))</f>
      </c>
      <c r="D493" s="11">
        <f>SUMIFS(Purchases!$D:$D,Purchases!$A:$A,$A493,Purchases!$C:$C,$B493)</f>
      </c>
      <c r="E493" s="11">
        <f>SUMIFS('Sales Log'!$D:$D,'Sales Log'!$A:$A,$A493,'Sales Log'!$C:$C,$B493)</f>
      </c>
      <c r="F493" s="8"/>
      <c r="G493" s="8"/>
      <c r="H493" s="11">
        <f>C493+D493-E493-F493</f>
      </c>
      <c r="I493" s="11">
        <f>H493-G493</f>
      </c>
    </row>
    <row r="494" ht="21" customHeight="1" spans="1:9" x14ac:dyDescent="0.25">
      <c r="A494" s="8"/>
      <c r="B494" s="8"/>
      <c r="C494" s="11">
        <f>IFERROR(LOOKUP(2,1/(($B$3:$B493=B494)*($A$3:$A493&lt;A494)),$G$3:$G493),IFERROR(VLOOKUP(B494,'Inventory Master'!$A$3:$L$300,6,FALSE),0))</f>
      </c>
      <c r="D494" s="11">
        <f>SUMIFS(Purchases!$D:$D,Purchases!$A:$A,$A494,Purchases!$C:$C,$B494)</f>
      </c>
      <c r="E494" s="11">
        <f>SUMIFS('Sales Log'!$D:$D,'Sales Log'!$A:$A,$A494,'Sales Log'!$C:$C,$B494)</f>
      </c>
      <c r="F494" s="8"/>
      <c r="G494" s="8"/>
      <c r="H494" s="11">
        <f>C494+D494-E494-F494</f>
      </c>
      <c r="I494" s="11">
        <f>H494-G494</f>
      </c>
    </row>
    <row r="495" ht="21" customHeight="1" spans="1:9" x14ac:dyDescent="0.25">
      <c r="A495" s="8"/>
      <c r="B495" s="8"/>
      <c r="C495" s="11">
        <f>IFERROR(LOOKUP(2,1/(($B$3:$B494=B495)*($A$3:$A494&lt;A495)),$G$3:$G494),IFERROR(VLOOKUP(B495,'Inventory Master'!$A$3:$L$300,6,FALSE),0))</f>
      </c>
      <c r="D495" s="11">
        <f>SUMIFS(Purchases!$D:$D,Purchases!$A:$A,$A495,Purchases!$C:$C,$B495)</f>
      </c>
      <c r="E495" s="11">
        <f>SUMIFS('Sales Log'!$D:$D,'Sales Log'!$A:$A,$A495,'Sales Log'!$C:$C,$B495)</f>
      </c>
      <c r="F495" s="8"/>
      <c r="G495" s="8"/>
      <c r="H495" s="11">
        <f>C495+D495-E495-F495</f>
      </c>
      <c r="I495" s="11">
        <f>H495-G495</f>
      </c>
    </row>
    <row r="496" ht="21" customHeight="1" spans="1:9" x14ac:dyDescent="0.25">
      <c r="A496" s="8"/>
      <c r="B496" s="8"/>
      <c r="C496" s="11">
        <f>IFERROR(LOOKUP(2,1/(($B$3:$B495=B496)*($A$3:$A495&lt;A496)),$G$3:$G495),IFERROR(VLOOKUP(B496,'Inventory Master'!$A$3:$L$300,6,FALSE),0))</f>
      </c>
      <c r="D496" s="11">
        <f>SUMIFS(Purchases!$D:$D,Purchases!$A:$A,$A496,Purchases!$C:$C,$B496)</f>
      </c>
      <c r="E496" s="11">
        <f>SUMIFS('Sales Log'!$D:$D,'Sales Log'!$A:$A,$A496,'Sales Log'!$C:$C,$B496)</f>
      </c>
      <c r="F496" s="8"/>
      <c r="G496" s="8"/>
      <c r="H496" s="11">
        <f>C496+D496-E496-F496</f>
      </c>
      <c r="I496" s="11">
        <f>H496-G496</f>
      </c>
    </row>
    <row r="497" ht="21" customHeight="1" spans="1:9" x14ac:dyDescent="0.25">
      <c r="A497" s="8"/>
      <c r="B497" s="8"/>
      <c r="C497" s="11">
        <f>IFERROR(LOOKUP(2,1/(($B$3:$B496=B497)*($A$3:$A496&lt;A497)),$G$3:$G496),IFERROR(VLOOKUP(B497,'Inventory Master'!$A$3:$L$300,6,FALSE),0))</f>
      </c>
      <c r="D497" s="11">
        <f>SUMIFS(Purchases!$D:$D,Purchases!$A:$A,$A497,Purchases!$C:$C,$B497)</f>
      </c>
      <c r="E497" s="11">
        <f>SUMIFS('Sales Log'!$D:$D,'Sales Log'!$A:$A,$A497,'Sales Log'!$C:$C,$B497)</f>
      </c>
      <c r="F497" s="8"/>
      <c r="G497" s="8"/>
      <c r="H497" s="11">
        <f>C497+D497-E497-F497</f>
      </c>
      <c r="I497" s="11">
        <f>H497-G497</f>
      </c>
    </row>
    <row r="498" ht="21" customHeight="1" spans="1:9" x14ac:dyDescent="0.25">
      <c r="A498" s="8"/>
      <c r="B498" s="8"/>
      <c r="C498" s="11">
        <f>IFERROR(LOOKUP(2,1/(($B$3:$B497=B498)*($A$3:$A497&lt;A498)),$G$3:$G497),IFERROR(VLOOKUP(B498,'Inventory Master'!$A$3:$L$300,6,FALSE),0))</f>
      </c>
      <c r="D498" s="11">
        <f>SUMIFS(Purchases!$D:$D,Purchases!$A:$A,$A498,Purchases!$C:$C,$B498)</f>
      </c>
      <c r="E498" s="11">
        <f>SUMIFS('Sales Log'!$D:$D,'Sales Log'!$A:$A,$A498,'Sales Log'!$C:$C,$B498)</f>
      </c>
      <c r="F498" s="8"/>
      <c r="G498" s="8"/>
      <c r="H498" s="11">
        <f>C498+D498-E498-F498</f>
      </c>
      <c r="I498" s="11">
        <f>H498-G498</f>
      </c>
    </row>
    <row r="499" ht="21" customHeight="1" spans="1:9" x14ac:dyDescent="0.25">
      <c r="A499" s="8"/>
      <c r="B499" s="8"/>
      <c r="C499" s="11">
        <f>IFERROR(LOOKUP(2,1/(($B$3:$B498=B499)*($A$3:$A498&lt;A499)),$G$3:$G498),IFERROR(VLOOKUP(B499,'Inventory Master'!$A$3:$L$300,6,FALSE),0))</f>
      </c>
      <c r="D499" s="11">
        <f>SUMIFS(Purchases!$D:$D,Purchases!$A:$A,$A499,Purchases!$C:$C,$B499)</f>
      </c>
      <c r="E499" s="11">
        <f>SUMIFS('Sales Log'!$D:$D,'Sales Log'!$A:$A,$A499,'Sales Log'!$C:$C,$B499)</f>
      </c>
      <c r="F499" s="8"/>
      <c r="G499" s="8"/>
      <c r="H499" s="11">
        <f>C499+D499-E499-F499</f>
      </c>
      <c r="I499" s="11">
        <f>H499-G499</f>
      </c>
    </row>
    <row r="500" ht="21" customHeight="1" spans="1:9" x14ac:dyDescent="0.25">
      <c r="A500" s="8"/>
      <c r="B500" s="8"/>
      <c r="C500" s="11">
        <f>IFERROR(LOOKUP(2,1/(($B$3:$B499=B500)*($A$3:$A499&lt;A500)),$G$3:$G499),IFERROR(VLOOKUP(B500,'Inventory Master'!$A$3:$L$300,6,FALSE),0))</f>
      </c>
      <c r="D500" s="11">
        <f>SUMIFS(Purchases!$D:$D,Purchases!$A:$A,$A500,Purchases!$C:$C,$B500)</f>
      </c>
      <c r="E500" s="11">
        <f>SUMIFS('Sales Log'!$D:$D,'Sales Log'!$A:$A,$A500,'Sales Log'!$C:$C,$B500)</f>
      </c>
      <c r="F500" s="8"/>
      <c r="G500" s="8"/>
      <c r="H500" s="11">
        <f>C500+D500-E500-F500</f>
      </c>
      <c r="I500" s="11">
        <f>H500-G500</f>
      </c>
    </row>
    <row r="501" ht="21" customHeight="1" spans="1:9" x14ac:dyDescent="0.25">
      <c r="A501" s="8"/>
      <c r="B501" s="8"/>
      <c r="C501" s="11">
        <f>IFERROR(LOOKUP(2,1/(($B$3:$B500=B501)*($A$3:$A500&lt;A501)),$G$3:$G500),IFERROR(VLOOKUP(B501,'Inventory Master'!$A$3:$L$300,6,FALSE),0))</f>
      </c>
      <c r="D501" s="11">
        <f>SUMIFS(Purchases!$D:$D,Purchases!$A:$A,$A501,Purchases!$C:$C,$B501)</f>
      </c>
      <c r="E501" s="11">
        <f>SUMIFS('Sales Log'!$D:$D,'Sales Log'!$A:$A,$A501,'Sales Log'!$C:$C,$B501)</f>
      </c>
      <c r="F501" s="8"/>
      <c r="G501" s="8"/>
      <c r="H501" s="11">
        <f>C501+D501-E501-F501</f>
      </c>
      <c r="I501" s="11">
        <f>H501-G501</f>
      </c>
    </row>
    <row r="502" ht="21" customHeight="1" spans="1:9" x14ac:dyDescent="0.25">
      <c r="A502" s="8"/>
      <c r="B502" s="8"/>
      <c r="C502" s="11">
        <f>IFERROR(LOOKUP(2,1/(($B$3:$B501=B502)*($A$3:$A501&lt;A502)),$G$3:$G501),IFERROR(VLOOKUP(B502,'Inventory Master'!$A$3:$L$300,6,FALSE),0))</f>
      </c>
      <c r="D502" s="11">
        <f>SUMIFS(Purchases!$D:$D,Purchases!$A:$A,$A502,Purchases!$C:$C,$B502)</f>
      </c>
      <c r="E502" s="11">
        <f>SUMIFS('Sales Log'!$D:$D,'Sales Log'!$A:$A,$A502,'Sales Log'!$C:$C,$B502)</f>
      </c>
      <c r="F502" s="8"/>
      <c r="G502" s="8"/>
      <c r="H502" s="11">
        <f>C502+D502-E502-F502</f>
      </c>
      <c r="I502" s="11">
        <f>H502-G502</f>
      </c>
    </row>
    <row r="503" ht="21" customHeight="1" spans="1:9" x14ac:dyDescent="0.25">
      <c r="A503" s="8"/>
      <c r="B503" s="8"/>
      <c r="C503" s="11">
        <f>IFERROR(LOOKUP(2,1/(($B$3:$B502=B503)*($A$3:$A502&lt;A503)),$G$3:$G502),IFERROR(VLOOKUP(B503,'Inventory Master'!$A$3:$L$300,6,FALSE),0))</f>
      </c>
      <c r="D503" s="11">
        <f>SUMIFS(Purchases!$D:$D,Purchases!$A:$A,$A503,Purchases!$C:$C,$B503)</f>
      </c>
      <c r="E503" s="11">
        <f>SUMIFS('Sales Log'!$D:$D,'Sales Log'!$A:$A,$A503,'Sales Log'!$C:$C,$B503)</f>
      </c>
      <c r="F503" s="8"/>
      <c r="G503" s="8"/>
      <c r="H503" s="11">
        <f>C503+D503-E503-F503</f>
      </c>
      <c r="I503" s="11">
        <f>H503-G503</f>
      </c>
    </row>
    <row r="504" ht="21" customHeight="1" spans="1:9" x14ac:dyDescent="0.25">
      <c r="A504" s="8"/>
      <c r="B504" s="8"/>
      <c r="C504" s="11">
        <f>IFERROR(LOOKUP(2,1/(($B$3:$B503=B504)*($A$3:$A503&lt;A504)),$G$3:$G503),IFERROR(VLOOKUP(B504,'Inventory Master'!$A$3:$L$300,6,FALSE),0))</f>
      </c>
      <c r="D504" s="11">
        <f>SUMIFS(Purchases!$D:$D,Purchases!$A:$A,$A504,Purchases!$C:$C,$B504)</f>
      </c>
      <c r="E504" s="11">
        <f>SUMIFS('Sales Log'!$D:$D,'Sales Log'!$A:$A,$A504,'Sales Log'!$C:$C,$B504)</f>
      </c>
      <c r="F504" s="8"/>
      <c r="G504" s="8"/>
      <c r="H504" s="11">
        <f>C504+D504-E504-F504</f>
      </c>
      <c r="I504" s="11">
        <f>H504-G504</f>
      </c>
    </row>
    <row r="505" ht="21" customHeight="1" spans="1:9" x14ac:dyDescent="0.25">
      <c r="A505" s="8"/>
      <c r="B505" s="8"/>
      <c r="C505" s="11">
        <f>IFERROR(LOOKUP(2,1/(($B$3:$B504=B505)*($A$3:$A504&lt;A505)),$G$3:$G504),IFERROR(VLOOKUP(B505,'Inventory Master'!$A$3:$L$300,6,FALSE),0))</f>
      </c>
      <c r="D505" s="11">
        <f>SUMIFS(Purchases!$D:$D,Purchases!$A:$A,$A505,Purchases!$C:$C,$B505)</f>
      </c>
      <c r="E505" s="11">
        <f>SUMIFS('Sales Log'!$D:$D,'Sales Log'!$A:$A,$A505,'Sales Log'!$C:$C,$B505)</f>
      </c>
      <c r="F505" s="8"/>
      <c r="G505" s="8"/>
      <c r="H505" s="11">
        <f>C505+D505-E505-F505</f>
      </c>
      <c r="I505" s="11">
        <f>H505-G505</f>
      </c>
    </row>
    <row r="506" ht="21" customHeight="1" spans="1:9" x14ac:dyDescent="0.25">
      <c r="A506" s="8"/>
      <c r="B506" s="8"/>
      <c r="C506" s="11">
        <f>IFERROR(LOOKUP(2,1/(($B$3:$B505=B506)*($A$3:$A505&lt;A506)),$G$3:$G505),IFERROR(VLOOKUP(B506,'Inventory Master'!$A$3:$L$300,6,FALSE),0))</f>
      </c>
      <c r="D506" s="11">
        <f>SUMIFS(Purchases!$D:$D,Purchases!$A:$A,$A506,Purchases!$C:$C,$B506)</f>
      </c>
      <c r="E506" s="11">
        <f>SUMIFS('Sales Log'!$D:$D,'Sales Log'!$A:$A,$A506,'Sales Log'!$C:$C,$B506)</f>
      </c>
      <c r="F506" s="8"/>
      <c r="G506" s="8"/>
      <c r="H506" s="11">
        <f>C506+D506-E506-F506</f>
      </c>
      <c r="I506" s="11">
        <f>H506-G506</f>
      </c>
    </row>
    <row r="507" ht="21" customHeight="1" spans="1:9" x14ac:dyDescent="0.25">
      <c r="A507" s="8"/>
      <c r="B507" s="8"/>
      <c r="C507" s="11">
        <f>IFERROR(LOOKUP(2,1/(($B$3:$B506=B507)*($A$3:$A506&lt;A507)),$G$3:$G506),IFERROR(VLOOKUP(B507,'Inventory Master'!$A$3:$L$300,6,FALSE),0))</f>
      </c>
      <c r="D507" s="11">
        <f>SUMIFS(Purchases!$D:$D,Purchases!$A:$A,$A507,Purchases!$C:$C,$B507)</f>
      </c>
      <c r="E507" s="11">
        <f>SUMIFS('Sales Log'!$D:$D,'Sales Log'!$A:$A,$A507,'Sales Log'!$C:$C,$B507)</f>
      </c>
      <c r="F507" s="8"/>
      <c r="G507" s="8"/>
      <c r="H507" s="11">
        <f>C507+D507-E507-F507</f>
      </c>
      <c r="I507" s="11">
        <f>H507-G507</f>
      </c>
    </row>
    <row r="508" ht="21" customHeight="1" spans="1:9" x14ac:dyDescent="0.25">
      <c r="A508" s="8"/>
      <c r="B508" s="8"/>
      <c r="C508" s="11">
        <f>IFERROR(LOOKUP(2,1/(($B$3:$B507=B508)*($A$3:$A507&lt;A508)),$G$3:$G507),IFERROR(VLOOKUP(B508,'Inventory Master'!$A$3:$L$300,6,FALSE),0))</f>
      </c>
      <c r="D508" s="11">
        <f>SUMIFS(Purchases!$D:$D,Purchases!$A:$A,$A508,Purchases!$C:$C,$B508)</f>
      </c>
      <c r="E508" s="11">
        <f>SUMIFS('Sales Log'!$D:$D,'Sales Log'!$A:$A,$A508,'Sales Log'!$C:$C,$B508)</f>
      </c>
      <c r="F508" s="8"/>
      <c r="G508" s="8"/>
      <c r="H508" s="11">
        <f>C508+D508-E508-F508</f>
      </c>
      <c r="I508" s="11">
        <f>H508-G508</f>
      </c>
    </row>
    <row r="509" ht="21" customHeight="1" spans="1:9" x14ac:dyDescent="0.25">
      <c r="A509" s="8"/>
      <c r="B509" s="8"/>
      <c r="C509" s="11">
        <f>IFERROR(LOOKUP(2,1/(($B$3:$B508=B509)*($A$3:$A508&lt;A509)),$G$3:$G508),IFERROR(VLOOKUP(B509,'Inventory Master'!$A$3:$L$300,6,FALSE),0))</f>
      </c>
      <c r="D509" s="11">
        <f>SUMIFS(Purchases!$D:$D,Purchases!$A:$A,$A509,Purchases!$C:$C,$B509)</f>
      </c>
      <c r="E509" s="11">
        <f>SUMIFS('Sales Log'!$D:$D,'Sales Log'!$A:$A,$A509,'Sales Log'!$C:$C,$B509)</f>
      </c>
      <c r="F509" s="8"/>
      <c r="G509" s="8"/>
      <c r="H509" s="11">
        <f>C509+D509-E509-F509</f>
      </c>
      <c r="I509" s="11">
        <f>H509-G509</f>
      </c>
    </row>
    <row r="510" ht="21" customHeight="1" spans="1:9" x14ac:dyDescent="0.25">
      <c r="A510" s="8"/>
      <c r="B510" s="8"/>
      <c r="C510" s="11">
        <f>IFERROR(LOOKUP(2,1/(($B$3:$B509=B510)*($A$3:$A509&lt;A510)),$G$3:$G509),IFERROR(VLOOKUP(B510,'Inventory Master'!$A$3:$L$300,6,FALSE),0))</f>
      </c>
      <c r="D510" s="11">
        <f>SUMIFS(Purchases!$D:$D,Purchases!$A:$A,$A510,Purchases!$C:$C,$B510)</f>
      </c>
      <c r="E510" s="11">
        <f>SUMIFS('Sales Log'!$D:$D,'Sales Log'!$A:$A,$A510,'Sales Log'!$C:$C,$B510)</f>
      </c>
      <c r="F510" s="8"/>
      <c r="G510" s="8"/>
      <c r="H510" s="11">
        <f>C510+D510-E510-F510</f>
      </c>
      <c r="I510" s="11">
        <f>H510-G510</f>
      </c>
    </row>
    <row r="511" ht="21" customHeight="1" spans="1:9" x14ac:dyDescent="0.25">
      <c r="A511" s="8"/>
      <c r="B511" s="8"/>
      <c r="C511" s="11">
        <f>IFERROR(LOOKUP(2,1/(($B$3:$B510=B511)*($A$3:$A510&lt;A511)),$G$3:$G510),IFERROR(VLOOKUP(B511,'Inventory Master'!$A$3:$L$300,6,FALSE),0))</f>
      </c>
      <c r="D511" s="11">
        <f>SUMIFS(Purchases!$D:$D,Purchases!$A:$A,$A511,Purchases!$C:$C,$B511)</f>
      </c>
      <c r="E511" s="11">
        <f>SUMIFS('Sales Log'!$D:$D,'Sales Log'!$A:$A,$A511,'Sales Log'!$C:$C,$B511)</f>
      </c>
      <c r="F511" s="8"/>
      <c r="G511" s="8"/>
      <c r="H511" s="11">
        <f>C511+D511-E511-F511</f>
      </c>
      <c r="I511" s="11">
        <f>H511-G511</f>
      </c>
    </row>
    <row r="512" ht="21" customHeight="1" spans="1:9" x14ac:dyDescent="0.25">
      <c r="A512" s="8"/>
      <c r="B512" s="8"/>
      <c r="C512" s="11">
        <f>IFERROR(LOOKUP(2,1/(($B$3:$B511=B512)*($A$3:$A511&lt;A512)),$G$3:$G511),IFERROR(VLOOKUP(B512,'Inventory Master'!$A$3:$L$300,6,FALSE),0))</f>
      </c>
      <c r="D512" s="11">
        <f>SUMIFS(Purchases!$D:$D,Purchases!$A:$A,$A512,Purchases!$C:$C,$B512)</f>
      </c>
      <c r="E512" s="11">
        <f>SUMIFS('Sales Log'!$D:$D,'Sales Log'!$A:$A,$A512,'Sales Log'!$C:$C,$B512)</f>
      </c>
      <c r="F512" s="8"/>
      <c r="G512" s="8"/>
      <c r="H512" s="11">
        <f>C512+D512-E512-F512</f>
      </c>
      <c r="I512" s="11">
        <f>H512-G512</f>
      </c>
    </row>
    <row r="513" ht="21" customHeight="1" spans="1:9" x14ac:dyDescent="0.25">
      <c r="A513" s="8"/>
      <c r="B513" s="8"/>
      <c r="C513" s="11">
        <f>IFERROR(LOOKUP(2,1/(($B$3:$B512=B513)*($A$3:$A512&lt;A513)),$G$3:$G512),IFERROR(VLOOKUP(B513,'Inventory Master'!$A$3:$L$300,6,FALSE),0))</f>
      </c>
      <c r="D513" s="11">
        <f>SUMIFS(Purchases!$D:$D,Purchases!$A:$A,$A513,Purchases!$C:$C,$B513)</f>
      </c>
      <c r="E513" s="11">
        <f>SUMIFS('Sales Log'!$D:$D,'Sales Log'!$A:$A,$A513,'Sales Log'!$C:$C,$B513)</f>
      </c>
      <c r="F513" s="8"/>
      <c r="G513" s="8"/>
      <c r="H513" s="11">
        <f>C513+D513-E513-F513</f>
      </c>
      <c r="I513" s="11">
        <f>H513-G513</f>
      </c>
    </row>
    <row r="514" ht="21" customHeight="1" spans="1:9" x14ac:dyDescent="0.25">
      <c r="A514" s="8"/>
      <c r="B514" s="8"/>
      <c r="C514" s="11">
        <f>IFERROR(LOOKUP(2,1/(($B$3:$B513=B514)*($A$3:$A513&lt;A514)),$G$3:$G513),IFERROR(VLOOKUP(B514,'Inventory Master'!$A$3:$L$300,6,FALSE),0))</f>
      </c>
      <c r="D514" s="11">
        <f>SUMIFS(Purchases!$D:$D,Purchases!$A:$A,$A514,Purchases!$C:$C,$B514)</f>
      </c>
      <c r="E514" s="11">
        <f>SUMIFS('Sales Log'!$D:$D,'Sales Log'!$A:$A,$A514,'Sales Log'!$C:$C,$B514)</f>
      </c>
      <c r="F514" s="8"/>
      <c r="G514" s="8"/>
      <c r="H514" s="11">
        <f>C514+D514-E514-F514</f>
      </c>
      <c r="I514" s="11">
        <f>H514-G514</f>
      </c>
    </row>
    <row r="515" ht="21" customHeight="1" spans="1:9" x14ac:dyDescent="0.25">
      <c r="A515" s="8"/>
      <c r="B515" s="8"/>
      <c r="C515" s="11">
        <f>IFERROR(LOOKUP(2,1/(($B$3:$B514=B515)*($A$3:$A514&lt;A515)),$G$3:$G514),IFERROR(VLOOKUP(B515,'Inventory Master'!$A$3:$L$300,6,FALSE),0))</f>
      </c>
      <c r="D515" s="11">
        <f>SUMIFS(Purchases!$D:$D,Purchases!$A:$A,$A515,Purchases!$C:$C,$B515)</f>
      </c>
      <c r="E515" s="11">
        <f>SUMIFS('Sales Log'!$D:$D,'Sales Log'!$A:$A,$A515,'Sales Log'!$C:$C,$B515)</f>
      </c>
      <c r="F515" s="8"/>
      <c r="G515" s="8"/>
      <c r="H515" s="11">
        <f>C515+D515-E515-F515</f>
      </c>
      <c r="I515" s="11">
        <f>H515-G515</f>
      </c>
    </row>
    <row r="516" ht="21" customHeight="1" spans="1:9" x14ac:dyDescent="0.25">
      <c r="A516" s="8"/>
      <c r="B516" s="8"/>
      <c r="C516" s="11">
        <f>IFERROR(LOOKUP(2,1/(($B$3:$B515=B516)*($A$3:$A515&lt;A516)),$G$3:$G515),IFERROR(VLOOKUP(B516,'Inventory Master'!$A$3:$L$300,6,FALSE),0))</f>
      </c>
      <c r="D516" s="11">
        <f>SUMIFS(Purchases!$D:$D,Purchases!$A:$A,$A516,Purchases!$C:$C,$B516)</f>
      </c>
      <c r="E516" s="11">
        <f>SUMIFS('Sales Log'!$D:$D,'Sales Log'!$A:$A,$A516,'Sales Log'!$C:$C,$B516)</f>
      </c>
      <c r="F516" s="8"/>
      <c r="G516" s="8"/>
      <c r="H516" s="11">
        <f>C516+D516-E516-F516</f>
      </c>
      <c r="I516" s="11">
        <f>H516-G516</f>
      </c>
    </row>
    <row r="517" ht="21" customHeight="1" spans="1:9" x14ac:dyDescent="0.25">
      <c r="A517" s="8"/>
      <c r="B517" s="8"/>
      <c r="C517" s="11">
        <f>IFERROR(LOOKUP(2,1/(($B$3:$B516=B517)*($A$3:$A516&lt;A517)),$G$3:$G516),IFERROR(VLOOKUP(B517,'Inventory Master'!$A$3:$L$300,6,FALSE),0))</f>
      </c>
      <c r="D517" s="11">
        <f>SUMIFS(Purchases!$D:$D,Purchases!$A:$A,$A517,Purchases!$C:$C,$B517)</f>
      </c>
      <c r="E517" s="11">
        <f>SUMIFS('Sales Log'!$D:$D,'Sales Log'!$A:$A,$A517,'Sales Log'!$C:$C,$B517)</f>
      </c>
      <c r="F517" s="8"/>
      <c r="G517" s="8"/>
      <c r="H517" s="11">
        <f>C517+D517-E517-F517</f>
      </c>
      <c r="I517" s="11">
        <f>H517-G517</f>
      </c>
    </row>
    <row r="518" ht="21" customHeight="1" spans="1:9" x14ac:dyDescent="0.25">
      <c r="A518" s="8"/>
      <c r="B518" s="8"/>
      <c r="C518" s="11">
        <f>IFERROR(LOOKUP(2,1/(($B$3:$B517=B518)*($A$3:$A517&lt;A518)),$G$3:$G517),IFERROR(VLOOKUP(B518,'Inventory Master'!$A$3:$L$300,6,FALSE),0))</f>
      </c>
      <c r="D518" s="11">
        <f>SUMIFS(Purchases!$D:$D,Purchases!$A:$A,$A518,Purchases!$C:$C,$B518)</f>
      </c>
      <c r="E518" s="11">
        <f>SUMIFS('Sales Log'!$D:$D,'Sales Log'!$A:$A,$A518,'Sales Log'!$C:$C,$B518)</f>
      </c>
      <c r="F518" s="8"/>
      <c r="G518" s="8"/>
      <c r="H518" s="11">
        <f>C518+D518-E518-F518</f>
      </c>
      <c r="I518" s="11">
        <f>H518-G518</f>
      </c>
    </row>
    <row r="519" ht="21" customHeight="1" spans="1:9" x14ac:dyDescent="0.25">
      <c r="A519" s="8"/>
      <c r="B519" s="8"/>
      <c r="C519" s="11">
        <f>IFERROR(LOOKUP(2,1/(($B$3:$B518=B519)*($A$3:$A518&lt;A519)),$G$3:$G518),IFERROR(VLOOKUP(B519,'Inventory Master'!$A$3:$L$300,6,FALSE),0))</f>
      </c>
      <c r="D519" s="11">
        <f>SUMIFS(Purchases!$D:$D,Purchases!$A:$A,$A519,Purchases!$C:$C,$B519)</f>
      </c>
      <c r="E519" s="11">
        <f>SUMIFS('Sales Log'!$D:$D,'Sales Log'!$A:$A,$A519,'Sales Log'!$C:$C,$B519)</f>
      </c>
      <c r="F519" s="8"/>
      <c r="G519" s="8"/>
      <c r="H519" s="11">
        <f>C519+D519-E519-F519</f>
      </c>
      <c r="I519" s="11">
        <f>H519-G519</f>
      </c>
    </row>
    <row r="520" ht="21" customHeight="1" spans="1:9" x14ac:dyDescent="0.25">
      <c r="A520" s="8"/>
      <c r="B520" s="8"/>
      <c r="C520" s="11">
        <f>IFERROR(LOOKUP(2,1/(($B$3:$B519=B520)*($A$3:$A519&lt;A520)),$G$3:$G519),IFERROR(VLOOKUP(B520,'Inventory Master'!$A$3:$L$300,6,FALSE),0))</f>
      </c>
      <c r="D520" s="11">
        <f>SUMIFS(Purchases!$D:$D,Purchases!$A:$A,$A520,Purchases!$C:$C,$B520)</f>
      </c>
      <c r="E520" s="11">
        <f>SUMIFS('Sales Log'!$D:$D,'Sales Log'!$A:$A,$A520,'Sales Log'!$C:$C,$B520)</f>
      </c>
      <c r="F520" s="8"/>
      <c r="G520" s="8"/>
      <c r="H520" s="11">
        <f>C520+D520-E520-F520</f>
      </c>
      <c r="I520" s="11">
        <f>H520-G520</f>
      </c>
    </row>
    <row r="521" ht="21" customHeight="1" spans="1:9" x14ac:dyDescent="0.25">
      <c r="A521" s="8"/>
      <c r="B521" s="8"/>
      <c r="C521" s="11">
        <f>IFERROR(LOOKUP(2,1/(($B$3:$B520=B521)*($A$3:$A520&lt;A521)),$G$3:$G520),IFERROR(VLOOKUP(B521,'Inventory Master'!$A$3:$L$300,6,FALSE),0))</f>
      </c>
      <c r="D521" s="11">
        <f>SUMIFS(Purchases!$D:$D,Purchases!$A:$A,$A521,Purchases!$C:$C,$B521)</f>
      </c>
      <c r="E521" s="11">
        <f>SUMIFS('Sales Log'!$D:$D,'Sales Log'!$A:$A,$A521,'Sales Log'!$C:$C,$B521)</f>
      </c>
      <c r="F521" s="8"/>
      <c r="G521" s="8"/>
      <c r="H521" s="11">
        <f>C521+D521-E521-F521</f>
      </c>
      <c r="I521" s="11">
        <f>H521-G521</f>
      </c>
    </row>
    <row r="522" ht="21" customHeight="1" spans="1:9" x14ac:dyDescent="0.25">
      <c r="A522" s="8"/>
      <c r="B522" s="8"/>
      <c r="C522" s="11">
        <f>IFERROR(LOOKUP(2,1/(($B$3:$B521=B522)*($A$3:$A521&lt;A522)),$G$3:$G521),IFERROR(VLOOKUP(B522,'Inventory Master'!$A$3:$L$300,6,FALSE),0))</f>
      </c>
      <c r="D522" s="11">
        <f>SUMIFS(Purchases!$D:$D,Purchases!$A:$A,$A522,Purchases!$C:$C,$B522)</f>
      </c>
      <c r="E522" s="11">
        <f>SUMIFS('Sales Log'!$D:$D,'Sales Log'!$A:$A,$A522,'Sales Log'!$C:$C,$B522)</f>
      </c>
      <c r="F522" s="8"/>
      <c r="G522" s="8"/>
      <c r="H522" s="11">
        <f>C522+D522-E522-F522</f>
      </c>
      <c r="I522" s="11">
        <f>H522-G522</f>
      </c>
    </row>
    <row r="523" ht="21" customHeight="1" spans="1:9" x14ac:dyDescent="0.25">
      <c r="A523" s="8"/>
      <c r="B523" s="8"/>
      <c r="C523" s="11">
        <f>IFERROR(LOOKUP(2,1/(($B$3:$B522=B523)*($A$3:$A522&lt;A523)),$G$3:$G522),IFERROR(VLOOKUP(B523,'Inventory Master'!$A$3:$L$300,6,FALSE),0))</f>
      </c>
      <c r="D523" s="11">
        <f>SUMIFS(Purchases!$D:$D,Purchases!$A:$A,$A523,Purchases!$C:$C,$B523)</f>
      </c>
      <c r="E523" s="11">
        <f>SUMIFS('Sales Log'!$D:$D,'Sales Log'!$A:$A,$A523,'Sales Log'!$C:$C,$B523)</f>
      </c>
      <c r="F523" s="8"/>
      <c r="G523" s="8"/>
      <c r="H523" s="11">
        <f>C523+D523-E523-F523</f>
      </c>
      <c r="I523" s="11">
        <f>H523-G523</f>
      </c>
    </row>
    <row r="524" ht="21" customHeight="1" spans="1:9" x14ac:dyDescent="0.25">
      <c r="A524" s="8"/>
      <c r="B524" s="8"/>
      <c r="C524" s="11">
        <f>IFERROR(LOOKUP(2,1/(($B$3:$B523=B524)*($A$3:$A523&lt;A524)),$G$3:$G523),IFERROR(VLOOKUP(B524,'Inventory Master'!$A$3:$L$300,6,FALSE),0))</f>
      </c>
      <c r="D524" s="11">
        <f>SUMIFS(Purchases!$D:$D,Purchases!$A:$A,$A524,Purchases!$C:$C,$B524)</f>
      </c>
      <c r="E524" s="11">
        <f>SUMIFS('Sales Log'!$D:$D,'Sales Log'!$A:$A,$A524,'Sales Log'!$C:$C,$B524)</f>
      </c>
      <c r="F524" s="8"/>
      <c r="G524" s="8"/>
      <c r="H524" s="11">
        <f>C524+D524-E524-F524</f>
      </c>
      <c r="I524" s="11">
        <f>H524-G524</f>
      </c>
    </row>
    <row r="525" ht="21" customHeight="1" spans="1:9" x14ac:dyDescent="0.25">
      <c r="A525" s="8"/>
      <c r="B525" s="8"/>
      <c r="C525" s="11">
        <f>IFERROR(LOOKUP(2,1/(($B$3:$B524=B525)*($A$3:$A524&lt;A525)),$G$3:$G524),IFERROR(VLOOKUP(B525,'Inventory Master'!$A$3:$L$300,6,FALSE),0))</f>
      </c>
      <c r="D525" s="11">
        <f>SUMIFS(Purchases!$D:$D,Purchases!$A:$A,$A525,Purchases!$C:$C,$B525)</f>
      </c>
      <c r="E525" s="11">
        <f>SUMIFS('Sales Log'!$D:$D,'Sales Log'!$A:$A,$A525,'Sales Log'!$C:$C,$B525)</f>
      </c>
      <c r="F525" s="8"/>
      <c r="G525" s="8"/>
      <c r="H525" s="11">
        <f>C525+D525-E525-F525</f>
      </c>
      <c r="I525" s="11">
        <f>H525-G525</f>
      </c>
    </row>
    <row r="526" ht="21" customHeight="1" spans="1:9" x14ac:dyDescent="0.25">
      <c r="A526" s="8"/>
      <c r="B526" s="8"/>
      <c r="C526" s="11">
        <f>IFERROR(LOOKUP(2,1/(($B$3:$B525=B526)*($A$3:$A525&lt;A526)),$G$3:$G525),IFERROR(VLOOKUP(B526,'Inventory Master'!$A$3:$L$300,6,FALSE),0))</f>
      </c>
      <c r="D526" s="11">
        <f>SUMIFS(Purchases!$D:$D,Purchases!$A:$A,$A526,Purchases!$C:$C,$B526)</f>
      </c>
      <c r="E526" s="11">
        <f>SUMIFS('Sales Log'!$D:$D,'Sales Log'!$A:$A,$A526,'Sales Log'!$C:$C,$B526)</f>
      </c>
      <c r="F526" s="8"/>
      <c r="G526" s="8"/>
      <c r="H526" s="11">
        <f>C526+D526-E526-F526</f>
      </c>
      <c r="I526" s="11">
        <f>H526-G526</f>
      </c>
    </row>
    <row r="527" ht="21" customHeight="1" spans="1:9" x14ac:dyDescent="0.25">
      <c r="A527" s="8"/>
      <c r="B527" s="8"/>
      <c r="C527" s="11">
        <f>IFERROR(LOOKUP(2,1/(($B$3:$B526=B527)*($A$3:$A526&lt;A527)),$G$3:$G526),IFERROR(VLOOKUP(B527,'Inventory Master'!$A$3:$L$300,6,FALSE),0))</f>
      </c>
      <c r="D527" s="11">
        <f>SUMIFS(Purchases!$D:$D,Purchases!$A:$A,$A527,Purchases!$C:$C,$B527)</f>
      </c>
      <c r="E527" s="11">
        <f>SUMIFS('Sales Log'!$D:$D,'Sales Log'!$A:$A,$A527,'Sales Log'!$C:$C,$B527)</f>
      </c>
      <c r="F527" s="8"/>
      <c r="G527" s="8"/>
      <c r="H527" s="11">
        <f>C527+D527-E527-F527</f>
      </c>
      <c r="I527" s="11">
        <f>H527-G527</f>
      </c>
    </row>
    <row r="528" ht="21" customHeight="1" spans="1:9" x14ac:dyDescent="0.25">
      <c r="A528" s="8"/>
      <c r="B528" s="8"/>
      <c r="C528" s="11">
        <f>IFERROR(LOOKUP(2,1/(($B$3:$B527=B528)*($A$3:$A527&lt;A528)),$G$3:$G527),IFERROR(VLOOKUP(B528,'Inventory Master'!$A$3:$L$300,6,FALSE),0))</f>
      </c>
      <c r="D528" s="11">
        <f>SUMIFS(Purchases!$D:$D,Purchases!$A:$A,$A528,Purchases!$C:$C,$B528)</f>
      </c>
      <c r="E528" s="11">
        <f>SUMIFS('Sales Log'!$D:$D,'Sales Log'!$A:$A,$A528,'Sales Log'!$C:$C,$B528)</f>
      </c>
      <c r="F528" s="8"/>
      <c r="G528" s="8"/>
      <c r="H528" s="11">
        <f>C528+D528-E528-F528</f>
      </c>
      <c r="I528" s="11">
        <f>H528-G528</f>
      </c>
    </row>
    <row r="529" ht="21" customHeight="1" spans="1:9" x14ac:dyDescent="0.25">
      <c r="A529" s="8"/>
      <c r="B529" s="8"/>
      <c r="C529" s="11">
        <f>IFERROR(LOOKUP(2,1/(($B$3:$B528=B529)*($A$3:$A528&lt;A529)),$G$3:$G528),IFERROR(VLOOKUP(B529,'Inventory Master'!$A$3:$L$300,6,FALSE),0))</f>
      </c>
      <c r="D529" s="11">
        <f>SUMIFS(Purchases!$D:$D,Purchases!$A:$A,$A529,Purchases!$C:$C,$B529)</f>
      </c>
      <c r="E529" s="11">
        <f>SUMIFS('Sales Log'!$D:$D,'Sales Log'!$A:$A,$A529,'Sales Log'!$C:$C,$B529)</f>
      </c>
      <c r="F529" s="8"/>
      <c r="G529" s="8"/>
      <c r="H529" s="11">
        <f>C529+D529-E529-F529</f>
      </c>
      <c r="I529" s="11">
        <f>H529-G529</f>
      </c>
    </row>
    <row r="530" ht="21" customHeight="1" spans="1:9" x14ac:dyDescent="0.25">
      <c r="A530" s="8"/>
      <c r="B530" s="8"/>
      <c r="C530" s="11">
        <f>IFERROR(LOOKUP(2,1/(($B$3:$B529=B530)*($A$3:$A529&lt;A530)),$G$3:$G529),IFERROR(VLOOKUP(B530,'Inventory Master'!$A$3:$L$300,6,FALSE),0))</f>
      </c>
      <c r="D530" s="11">
        <f>SUMIFS(Purchases!$D:$D,Purchases!$A:$A,$A530,Purchases!$C:$C,$B530)</f>
      </c>
      <c r="E530" s="11">
        <f>SUMIFS('Sales Log'!$D:$D,'Sales Log'!$A:$A,$A530,'Sales Log'!$C:$C,$B530)</f>
      </c>
      <c r="F530" s="8"/>
      <c r="G530" s="8"/>
      <c r="H530" s="11">
        <f>C530+D530-E530-F530</f>
      </c>
      <c r="I530" s="11">
        <f>H530-G530</f>
      </c>
    </row>
    <row r="531" ht="21" customHeight="1" spans="1:9" x14ac:dyDescent="0.25">
      <c r="A531" s="8"/>
      <c r="B531" s="8"/>
      <c r="C531" s="11">
        <f>IFERROR(LOOKUP(2,1/(($B$3:$B530=B531)*($A$3:$A530&lt;A531)),$G$3:$G530),IFERROR(VLOOKUP(B531,'Inventory Master'!$A$3:$L$300,6,FALSE),0))</f>
      </c>
      <c r="D531" s="11">
        <f>SUMIFS(Purchases!$D:$D,Purchases!$A:$A,$A531,Purchases!$C:$C,$B531)</f>
      </c>
      <c r="E531" s="11">
        <f>SUMIFS('Sales Log'!$D:$D,'Sales Log'!$A:$A,$A531,'Sales Log'!$C:$C,$B531)</f>
      </c>
      <c r="F531" s="8"/>
      <c r="G531" s="8"/>
      <c r="H531" s="11">
        <f>C531+D531-E531-F531</f>
      </c>
      <c r="I531" s="11">
        <f>H531-G531</f>
      </c>
    </row>
    <row r="532" ht="21" customHeight="1" spans="1:9" x14ac:dyDescent="0.25">
      <c r="A532" s="8"/>
      <c r="B532" s="8"/>
      <c r="C532" s="11">
        <f>IFERROR(LOOKUP(2,1/(($B$3:$B531=B532)*($A$3:$A531&lt;A532)),$G$3:$G531),IFERROR(VLOOKUP(B532,'Inventory Master'!$A$3:$L$300,6,FALSE),0))</f>
      </c>
      <c r="D532" s="11">
        <f>SUMIFS(Purchases!$D:$D,Purchases!$A:$A,$A532,Purchases!$C:$C,$B532)</f>
      </c>
      <c r="E532" s="11">
        <f>SUMIFS('Sales Log'!$D:$D,'Sales Log'!$A:$A,$A532,'Sales Log'!$C:$C,$B532)</f>
      </c>
      <c r="F532" s="8"/>
      <c r="G532" s="8"/>
      <c r="H532" s="11">
        <f>C532+D532-E532-F532</f>
      </c>
      <c r="I532" s="11">
        <f>H532-G532</f>
      </c>
    </row>
    <row r="533" ht="21" customHeight="1" spans="1:9" x14ac:dyDescent="0.25">
      <c r="A533" s="8"/>
      <c r="B533" s="8"/>
      <c r="C533" s="11">
        <f>IFERROR(LOOKUP(2,1/(($B$3:$B532=B533)*($A$3:$A532&lt;A533)),$G$3:$G532),IFERROR(VLOOKUP(B533,'Inventory Master'!$A$3:$L$300,6,FALSE),0))</f>
      </c>
      <c r="D533" s="11">
        <f>SUMIFS(Purchases!$D:$D,Purchases!$A:$A,$A533,Purchases!$C:$C,$B533)</f>
      </c>
      <c r="E533" s="11">
        <f>SUMIFS('Sales Log'!$D:$D,'Sales Log'!$A:$A,$A533,'Sales Log'!$C:$C,$B533)</f>
      </c>
      <c r="F533" s="8"/>
      <c r="G533" s="8"/>
      <c r="H533" s="11">
        <f>C533+D533-E533-F533</f>
      </c>
      <c r="I533" s="11">
        <f>H533-G533</f>
      </c>
    </row>
    <row r="534" ht="21" customHeight="1" spans="1:9" x14ac:dyDescent="0.25">
      <c r="A534" s="8"/>
      <c r="B534" s="8"/>
      <c r="C534" s="11">
        <f>IFERROR(LOOKUP(2,1/(($B$3:$B533=B534)*($A$3:$A533&lt;A534)),$G$3:$G533),IFERROR(VLOOKUP(B534,'Inventory Master'!$A$3:$L$300,6,FALSE),0))</f>
      </c>
      <c r="D534" s="11">
        <f>SUMIFS(Purchases!$D:$D,Purchases!$A:$A,$A534,Purchases!$C:$C,$B534)</f>
      </c>
      <c r="E534" s="11">
        <f>SUMIFS('Sales Log'!$D:$D,'Sales Log'!$A:$A,$A534,'Sales Log'!$C:$C,$B534)</f>
      </c>
      <c r="F534" s="8"/>
      <c r="G534" s="8"/>
      <c r="H534" s="11">
        <f>C534+D534-E534-F534</f>
      </c>
      <c r="I534" s="11">
        <f>H534-G534</f>
      </c>
    </row>
    <row r="535" ht="21" customHeight="1" spans="1:9" x14ac:dyDescent="0.25">
      <c r="A535" s="8"/>
      <c r="B535" s="8"/>
      <c r="C535" s="11">
        <f>IFERROR(LOOKUP(2,1/(($B$3:$B534=B535)*($A$3:$A534&lt;A535)),$G$3:$G534),IFERROR(VLOOKUP(B535,'Inventory Master'!$A$3:$L$300,6,FALSE),0))</f>
      </c>
      <c r="D535" s="11">
        <f>SUMIFS(Purchases!$D:$D,Purchases!$A:$A,$A535,Purchases!$C:$C,$B535)</f>
      </c>
      <c r="E535" s="11">
        <f>SUMIFS('Sales Log'!$D:$D,'Sales Log'!$A:$A,$A535,'Sales Log'!$C:$C,$B535)</f>
      </c>
      <c r="F535" s="8"/>
      <c r="G535" s="8"/>
      <c r="H535" s="11">
        <f>C535+D535-E535-F535</f>
      </c>
      <c r="I535" s="11">
        <f>H535-G535</f>
      </c>
    </row>
    <row r="536" ht="21" customHeight="1" spans="1:9" x14ac:dyDescent="0.25">
      <c r="A536" s="8"/>
      <c r="B536" s="8"/>
      <c r="C536" s="11">
        <f>IFERROR(LOOKUP(2,1/(($B$3:$B535=B536)*($A$3:$A535&lt;A536)),$G$3:$G535),IFERROR(VLOOKUP(B536,'Inventory Master'!$A$3:$L$300,6,FALSE),0))</f>
      </c>
      <c r="D536" s="11">
        <f>SUMIFS(Purchases!$D:$D,Purchases!$A:$A,$A536,Purchases!$C:$C,$B536)</f>
      </c>
      <c r="E536" s="11">
        <f>SUMIFS('Sales Log'!$D:$D,'Sales Log'!$A:$A,$A536,'Sales Log'!$C:$C,$B536)</f>
      </c>
      <c r="F536" s="8"/>
      <c r="G536" s="8"/>
      <c r="H536" s="11">
        <f>C536+D536-E536-F536</f>
      </c>
      <c r="I536" s="11">
        <f>H536-G536</f>
      </c>
    </row>
    <row r="537" ht="21" customHeight="1" spans="1:9" x14ac:dyDescent="0.25">
      <c r="A537" s="8"/>
      <c r="B537" s="8"/>
      <c r="C537" s="11">
        <f>IFERROR(LOOKUP(2,1/(($B$3:$B536=B537)*($A$3:$A536&lt;A537)),$G$3:$G536),IFERROR(VLOOKUP(B537,'Inventory Master'!$A$3:$L$300,6,FALSE),0))</f>
      </c>
      <c r="D537" s="11">
        <f>SUMIFS(Purchases!$D:$D,Purchases!$A:$A,$A537,Purchases!$C:$C,$B537)</f>
      </c>
      <c r="E537" s="11">
        <f>SUMIFS('Sales Log'!$D:$D,'Sales Log'!$A:$A,$A537,'Sales Log'!$C:$C,$B537)</f>
      </c>
      <c r="F537" s="8"/>
      <c r="G537" s="8"/>
      <c r="H537" s="11">
        <f>C537+D537-E537-F537</f>
      </c>
      <c r="I537" s="11">
        <f>H537-G537</f>
      </c>
    </row>
    <row r="538" ht="21" customHeight="1" spans="1:9" x14ac:dyDescent="0.25">
      <c r="A538" s="8"/>
      <c r="B538" s="8"/>
      <c r="C538" s="11">
        <f>IFERROR(LOOKUP(2,1/(($B$3:$B537=B538)*($A$3:$A537&lt;A538)),$G$3:$G537),IFERROR(VLOOKUP(B538,'Inventory Master'!$A$3:$L$300,6,FALSE),0))</f>
      </c>
      <c r="D538" s="11">
        <f>SUMIFS(Purchases!$D:$D,Purchases!$A:$A,$A538,Purchases!$C:$C,$B538)</f>
      </c>
      <c r="E538" s="11">
        <f>SUMIFS('Sales Log'!$D:$D,'Sales Log'!$A:$A,$A538,'Sales Log'!$C:$C,$B538)</f>
      </c>
      <c r="F538" s="8"/>
      <c r="G538" s="8"/>
      <c r="H538" s="11">
        <f>C538+D538-E538-F538</f>
      </c>
      <c r="I538" s="11">
        <f>H538-G538</f>
      </c>
    </row>
    <row r="539" ht="21" customHeight="1" spans="1:9" x14ac:dyDescent="0.25">
      <c r="A539" s="8"/>
      <c r="B539" s="8"/>
      <c r="C539" s="11">
        <f>IFERROR(LOOKUP(2,1/(($B$3:$B538=B539)*($A$3:$A538&lt;A539)),$G$3:$G538),IFERROR(VLOOKUP(B539,'Inventory Master'!$A$3:$L$300,6,FALSE),0))</f>
      </c>
      <c r="D539" s="11">
        <f>SUMIFS(Purchases!$D:$D,Purchases!$A:$A,$A539,Purchases!$C:$C,$B539)</f>
      </c>
      <c r="E539" s="11">
        <f>SUMIFS('Sales Log'!$D:$D,'Sales Log'!$A:$A,$A539,'Sales Log'!$C:$C,$B539)</f>
      </c>
      <c r="F539" s="8"/>
      <c r="G539" s="8"/>
      <c r="H539" s="11">
        <f>C539+D539-E539-F539</f>
      </c>
      <c r="I539" s="11">
        <f>H539-G539</f>
      </c>
    </row>
    <row r="540" ht="21" customHeight="1" spans="1:9" x14ac:dyDescent="0.25">
      <c r="A540" s="8"/>
      <c r="B540" s="8"/>
      <c r="C540" s="11">
        <f>IFERROR(LOOKUP(2,1/(($B$3:$B539=B540)*($A$3:$A539&lt;A540)),$G$3:$G539),IFERROR(VLOOKUP(B540,'Inventory Master'!$A$3:$L$300,6,FALSE),0))</f>
      </c>
      <c r="D540" s="11">
        <f>SUMIFS(Purchases!$D:$D,Purchases!$A:$A,$A540,Purchases!$C:$C,$B540)</f>
      </c>
      <c r="E540" s="11">
        <f>SUMIFS('Sales Log'!$D:$D,'Sales Log'!$A:$A,$A540,'Sales Log'!$C:$C,$B540)</f>
      </c>
      <c r="F540" s="8"/>
      <c r="G540" s="8"/>
      <c r="H540" s="11">
        <f>C540+D540-E540-F540</f>
      </c>
      <c r="I540" s="11">
        <f>H540-G540</f>
      </c>
    </row>
    <row r="541" ht="21" customHeight="1" spans="1:9" x14ac:dyDescent="0.25">
      <c r="A541" s="8"/>
      <c r="B541" s="8"/>
      <c r="C541" s="11">
        <f>IFERROR(LOOKUP(2,1/(($B$3:$B540=B541)*($A$3:$A540&lt;A541)),$G$3:$G540),IFERROR(VLOOKUP(B541,'Inventory Master'!$A$3:$L$300,6,FALSE),0))</f>
      </c>
      <c r="D541" s="11">
        <f>SUMIFS(Purchases!$D:$D,Purchases!$A:$A,$A541,Purchases!$C:$C,$B541)</f>
      </c>
      <c r="E541" s="11">
        <f>SUMIFS('Sales Log'!$D:$D,'Sales Log'!$A:$A,$A541,'Sales Log'!$C:$C,$B541)</f>
      </c>
      <c r="F541" s="8"/>
      <c r="G541" s="8"/>
      <c r="H541" s="11">
        <f>C541+D541-E541-F541</f>
      </c>
      <c r="I541" s="11">
        <f>H541-G541</f>
      </c>
    </row>
    <row r="542" ht="21" customHeight="1" spans="1:9" x14ac:dyDescent="0.25">
      <c r="A542" s="8"/>
      <c r="B542" s="8"/>
      <c r="C542" s="11">
        <f>IFERROR(LOOKUP(2,1/(($B$3:$B541=B542)*($A$3:$A541&lt;A542)),$G$3:$G541),IFERROR(VLOOKUP(B542,'Inventory Master'!$A$3:$L$300,6,FALSE),0))</f>
      </c>
      <c r="D542" s="11">
        <f>SUMIFS(Purchases!$D:$D,Purchases!$A:$A,$A542,Purchases!$C:$C,$B542)</f>
      </c>
      <c r="E542" s="11">
        <f>SUMIFS('Sales Log'!$D:$D,'Sales Log'!$A:$A,$A542,'Sales Log'!$C:$C,$B542)</f>
      </c>
      <c r="F542" s="8"/>
      <c r="G542" s="8"/>
      <c r="H542" s="11">
        <f>C542+D542-E542-F542</f>
      </c>
      <c r="I542" s="11">
        <f>H542-G542</f>
      </c>
    </row>
    <row r="543" ht="21" customHeight="1" spans="1:9" x14ac:dyDescent="0.25">
      <c r="A543" s="8"/>
      <c r="B543" s="8"/>
      <c r="C543" s="11">
        <f>IFERROR(LOOKUP(2,1/(($B$3:$B542=B543)*($A$3:$A542&lt;A543)),$G$3:$G542),IFERROR(VLOOKUP(B543,'Inventory Master'!$A$3:$L$300,6,FALSE),0))</f>
      </c>
      <c r="D543" s="11">
        <f>SUMIFS(Purchases!$D:$D,Purchases!$A:$A,$A543,Purchases!$C:$C,$B543)</f>
      </c>
      <c r="E543" s="11">
        <f>SUMIFS('Sales Log'!$D:$D,'Sales Log'!$A:$A,$A543,'Sales Log'!$C:$C,$B543)</f>
      </c>
      <c r="F543" s="8"/>
      <c r="G543" s="8"/>
      <c r="H543" s="11">
        <f>C543+D543-E543-F543</f>
      </c>
      <c r="I543" s="11">
        <f>H543-G543</f>
      </c>
    </row>
    <row r="544" ht="21" customHeight="1" spans="1:9" x14ac:dyDescent="0.25">
      <c r="A544" s="8"/>
      <c r="B544" s="8"/>
      <c r="C544" s="11">
        <f>IFERROR(LOOKUP(2,1/(($B$3:$B543=B544)*($A$3:$A543&lt;A544)),$G$3:$G543),IFERROR(VLOOKUP(B544,'Inventory Master'!$A$3:$L$300,6,FALSE),0))</f>
      </c>
      <c r="D544" s="11">
        <f>SUMIFS(Purchases!$D:$D,Purchases!$A:$A,$A544,Purchases!$C:$C,$B544)</f>
      </c>
      <c r="E544" s="11">
        <f>SUMIFS('Sales Log'!$D:$D,'Sales Log'!$A:$A,$A544,'Sales Log'!$C:$C,$B544)</f>
      </c>
      <c r="F544" s="8"/>
      <c r="G544" s="8"/>
      <c r="H544" s="11">
        <f>C544+D544-E544-F544</f>
      </c>
      <c r="I544" s="11">
        <f>H544-G544</f>
      </c>
    </row>
    <row r="545" ht="21" customHeight="1" spans="1:9" x14ac:dyDescent="0.25">
      <c r="A545" s="8"/>
      <c r="B545" s="8"/>
      <c r="C545" s="11">
        <f>IFERROR(LOOKUP(2,1/(($B$3:$B544=B545)*($A$3:$A544&lt;A545)),$G$3:$G544),IFERROR(VLOOKUP(B545,'Inventory Master'!$A$3:$L$300,6,FALSE),0))</f>
      </c>
      <c r="D545" s="11">
        <f>SUMIFS(Purchases!$D:$D,Purchases!$A:$A,$A545,Purchases!$C:$C,$B545)</f>
      </c>
      <c r="E545" s="11">
        <f>SUMIFS('Sales Log'!$D:$D,'Sales Log'!$A:$A,$A545,'Sales Log'!$C:$C,$B545)</f>
      </c>
      <c r="F545" s="8"/>
      <c r="G545" s="8"/>
      <c r="H545" s="11">
        <f>C545+D545-E545-F545</f>
      </c>
      <c r="I545" s="11">
        <f>H545-G545</f>
      </c>
    </row>
    <row r="546" ht="21" customHeight="1" spans="1:9" x14ac:dyDescent="0.25">
      <c r="A546" s="8"/>
      <c r="B546" s="8"/>
      <c r="C546" s="11">
        <f>IFERROR(LOOKUP(2,1/(($B$3:$B545=B546)*($A$3:$A545&lt;A546)),$G$3:$G545),IFERROR(VLOOKUP(B546,'Inventory Master'!$A$3:$L$300,6,FALSE),0))</f>
      </c>
      <c r="D546" s="11">
        <f>SUMIFS(Purchases!$D:$D,Purchases!$A:$A,$A546,Purchases!$C:$C,$B546)</f>
      </c>
      <c r="E546" s="11">
        <f>SUMIFS('Sales Log'!$D:$D,'Sales Log'!$A:$A,$A546,'Sales Log'!$C:$C,$B546)</f>
      </c>
      <c r="F546" s="8"/>
      <c r="G546" s="8"/>
      <c r="H546" s="11">
        <f>C546+D546-E546-F546</f>
      </c>
      <c r="I546" s="11">
        <f>H546-G546</f>
      </c>
    </row>
    <row r="547" ht="21" customHeight="1" spans="1:9" x14ac:dyDescent="0.25">
      <c r="A547" s="8"/>
      <c r="B547" s="8"/>
      <c r="C547" s="11">
        <f>IFERROR(LOOKUP(2,1/(($B$3:$B546=B547)*($A$3:$A546&lt;A547)),$G$3:$G546),IFERROR(VLOOKUP(B547,'Inventory Master'!$A$3:$L$300,6,FALSE),0))</f>
      </c>
      <c r="D547" s="11">
        <f>SUMIFS(Purchases!$D:$D,Purchases!$A:$A,$A547,Purchases!$C:$C,$B547)</f>
      </c>
      <c r="E547" s="11">
        <f>SUMIFS('Sales Log'!$D:$D,'Sales Log'!$A:$A,$A547,'Sales Log'!$C:$C,$B547)</f>
      </c>
      <c r="F547" s="8"/>
      <c r="G547" s="8"/>
      <c r="H547" s="11">
        <f>C547+D547-E547-F547</f>
      </c>
      <c r="I547" s="11">
        <f>H547-G547</f>
      </c>
    </row>
    <row r="548" ht="21" customHeight="1" spans="1:9" x14ac:dyDescent="0.25">
      <c r="A548" s="8"/>
      <c r="B548" s="8"/>
      <c r="C548" s="11">
        <f>IFERROR(LOOKUP(2,1/(($B$3:$B547=B548)*($A$3:$A547&lt;A548)),$G$3:$G547),IFERROR(VLOOKUP(B548,'Inventory Master'!$A$3:$L$300,6,FALSE),0))</f>
      </c>
      <c r="D548" s="11">
        <f>SUMIFS(Purchases!$D:$D,Purchases!$A:$A,$A548,Purchases!$C:$C,$B548)</f>
      </c>
      <c r="E548" s="11">
        <f>SUMIFS('Sales Log'!$D:$D,'Sales Log'!$A:$A,$A548,'Sales Log'!$C:$C,$B548)</f>
      </c>
      <c r="F548" s="8"/>
      <c r="G548" s="8"/>
      <c r="H548" s="11">
        <f>C548+D548-E548-F548</f>
      </c>
      <c r="I548" s="11">
        <f>H548-G548</f>
      </c>
    </row>
    <row r="549" ht="21" customHeight="1" spans="1:9" x14ac:dyDescent="0.25">
      <c r="A549" s="8"/>
      <c r="B549" s="8"/>
      <c r="C549" s="11">
        <f>IFERROR(LOOKUP(2,1/(($B$3:$B548=B549)*($A$3:$A548&lt;A549)),$G$3:$G548),IFERROR(VLOOKUP(B549,'Inventory Master'!$A$3:$L$300,6,FALSE),0))</f>
      </c>
      <c r="D549" s="11">
        <f>SUMIFS(Purchases!$D:$D,Purchases!$A:$A,$A549,Purchases!$C:$C,$B549)</f>
      </c>
      <c r="E549" s="11">
        <f>SUMIFS('Sales Log'!$D:$D,'Sales Log'!$A:$A,$A549,'Sales Log'!$C:$C,$B549)</f>
      </c>
      <c r="F549" s="8"/>
      <c r="G549" s="8"/>
      <c r="H549" s="11">
        <f>C549+D549-E549-F549</f>
      </c>
      <c r="I549" s="11">
        <f>H549-G549</f>
      </c>
    </row>
    <row r="550" ht="21" customHeight="1" spans="1:9" x14ac:dyDescent="0.25">
      <c r="A550" s="8"/>
      <c r="B550" s="8"/>
      <c r="C550" s="11">
        <f>IFERROR(LOOKUP(2,1/(($B$3:$B549=B550)*($A$3:$A549&lt;A550)),$G$3:$G549),IFERROR(VLOOKUP(B550,'Inventory Master'!$A$3:$L$300,6,FALSE),0))</f>
      </c>
      <c r="D550" s="11">
        <f>SUMIFS(Purchases!$D:$D,Purchases!$A:$A,$A550,Purchases!$C:$C,$B550)</f>
      </c>
      <c r="E550" s="11">
        <f>SUMIFS('Sales Log'!$D:$D,'Sales Log'!$A:$A,$A550,'Sales Log'!$C:$C,$B550)</f>
      </c>
      <c r="F550" s="8"/>
      <c r="G550" s="8"/>
      <c r="H550" s="11">
        <f>C550+D550-E550-F550</f>
      </c>
      <c r="I550" s="11">
        <f>H550-G550</f>
      </c>
    </row>
    <row r="551" ht="21" customHeight="1" spans="1:9" x14ac:dyDescent="0.25">
      <c r="A551" s="8"/>
      <c r="B551" s="8"/>
      <c r="C551" s="11">
        <f>IFERROR(LOOKUP(2,1/(($B$3:$B550=B551)*($A$3:$A550&lt;A551)),$G$3:$G550),IFERROR(VLOOKUP(B551,'Inventory Master'!$A$3:$L$300,6,FALSE),0))</f>
      </c>
      <c r="D551" s="11">
        <f>SUMIFS(Purchases!$D:$D,Purchases!$A:$A,$A551,Purchases!$C:$C,$B551)</f>
      </c>
      <c r="E551" s="11">
        <f>SUMIFS('Sales Log'!$D:$D,'Sales Log'!$A:$A,$A551,'Sales Log'!$C:$C,$B551)</f>
      </c>
      <c r="F551" s="8"/>
      <c r="G551" s="8"/>
      <c r="H551" s="11">
        <f>C551+D551-E551-F551</f>
      </c>
      <c r="I551" s="11">
        <f>H551-G551</f>
      </c>
    </row>
    <row r="552" ht="21" customHeight="1" spans="1:9" x14ac:dyDescent="0.25">
      <c r="A552" s="8"/>
      <c r="B552" s="8"/>
      <c r="C552" s="11">
        <f>IFERROR(LOOKUP(2,1/(($B$3:$B551=B552)*($A$3:$A551&lt;A552)),$G$3:$G551),IFERROR(VLOOKUP(B552,'Inventory Master'!$A$3:$L$300,6,FALSE),0))</f>
      </c>
      <c r="D552" s="11">
        <f>SUMIFS(Purchases!$D:$D,Purchases!$A:$A,$A552,Purchases!$C:$C,$B552)</f>
      </c>
      <c r="E552" s="11">
        <f>SUMIFS('Sales Log'!$D:$D,'Sales Log'!$A:$A,$A552,'Sales Log'!$C:$C,$B552)</f>
      </c>
      <c r="F552" s="8"/>
      <c r="G552" s="8"/>
      <c r="H552" s="11">
        <f>C552+D552-E552-F552</f>
      </c>
      <c r="I552" s="11">
        <f>H552-G552</f>
      </c>
    </row>
    <row r="553" ht="21" customHeight="1" spans="1:9" x14ac:dyDescent="0.25">
      <c r="A553" s="8"/>
      <c r="B553" s="8"/>
      <c r="C553" s="11">
        <f>IFERROR(LOOKUP(2,1/(($B$3:$B552=B553)*($A$3:$A552&lt;A553)),$G$3:$G552),IFERROR(VLOOKUP(B553,'Inventory Master'!$A$3:$L$300,6,FALSE),0))</f>
      </c>
      <c r="D553" s="11">
        <f>SUMIFS(Purchases!$D:$D,Purchases!$A:$A,$A553,Purchases!$C:$C,$B553)</f>
      </c>
      <c r="E553" s="11">
        <f>SUMIFS('Sales Log'!$D:$D,'Sales Log'!$A:$A,$A553,'Sales Log'!$C:$C,$B553)</f>
      </c>
      <c r="F553" s="8"/>
      <c r="G553" s="8"/>
      <c r="H553" s="11">
        <f>C553+D553-E553-F553</f>
      </c>
      <c r="I553" s="11">
        <f>H553-G553</f>
      </c>
    </row>
    <row r="554" ht="21" customHeight="1" spans="1:9" x14ac:dyDescent="0.25">
      <c r="A554" s="8"/>
      <c r="B554" s="8"/>
      <c r="C554" s="11">
        <f>IFERROR(LOOKUP(2,1/(($B$3:$B553=B554)*($A$3:$A553&lt;A554)),$G$3:$G553),IFERROR(VLOOKUP(B554,'Inventory Master'!$A$3:$L$300,6,FALSE),0))</f>
      </c>
      <c r="D554" s="11">
        <f>SUMIFS(Purchases!$D:$D,Purchases!$A:$A,$A554,Purchases!$C:$C,$B554)</f>
      </c>
      <c r="E554" s="11">
        <f>SUMIFS('Sales Log'!$D:$D,'Sales Log'!$A:$A,$A554,'Sales Log'!$C:$C,$B554)</f>
      </c>
      <c r="F554" s="8"/>
      <c r="G554" s="8"/>
      <c r="H554" s="11">
        <f>C554+D554-E554-F554</f>
      </c>
      <c r="I554" s="11">
        <f>H554-G554</f>
      </c>
    </row>
    <row r="555" ht="21" customHeight="1" spans="1:9" x14ac:dyDescent="0.25">
      <c r="A555" s="8"/>
      <c r="B555" s="8"/>
      <c r="C555" s="11">
        <f>IFERROR(LOOKUP(2,1/(($B$3:$B554=B555)*($A$3:$A554&lt;A555)),$G$3:$G554),IFERROR(VLOOKUP(B555,'Inventory Master'!$A$3:$L$300,6,FALSE),0))</f>
      </c>
      <c r="D555" s="11">
        <f>SUMIFS(Purchases!$D:$D,Purchases!$A:$A,$A555,Purchases!$C:$C,$B555)</f>
      </c>
      <c r="E555" s="11">
        <f>SUMIFS('Sales Log'!$D:$D,'Sales Log'!$A:$A,$A555,'Sales Log'!$C:$C,$B555)</f>
      </c>
      <c r="F555" s="8"/>
      <c r="G555" s="8"/>
      <c r="H555" s="11">
        <f>C555+D555-E555-F555</f>
      </c>
      <c r="I555" s="11">
        <f>H555-G555</f>
      </c>
    </row>
    <row r="556" ht="21" customHeight="1" spans="1:9" x14ac:dyDescent="0.25">
      <c r="A556" s="8"/>
      <c r="B556" s="8"/>
      <c r="C556" s="11">
        <f>IFERROR(LOOKUP(2,1/(($B$3:$B555=B556)*($A$3:$A555&lt;A556)),$G$3:$G555),IFERROR(VLOOKUP(B556,'Inventory Master'!$A$3:$L$300,6,FALSE),0))</f>
      </c>
      <c r="D556" s="11">
        <f>SUMIFS(Purchases!$D:$D,Purchases!$A:$A,$A556,Purchases!$C:$C,$B556)</f>
      </c>
      <c r="E556" s="11">
        <f>SUMIFS('Sales Log'!$D:$D,'Sales Log'!$A:$A,$A556,'Sales Log'!$C:$C,$B556)</f>
      </c>
      <c r="F556" s="8"/>
      <c r="G556" s="8"/>
      <c r="H556" s="11">
        <f>C556+D556-E556-F556</f>
      </c>
      <c r="I556" s="11">
        <f>H556-G556</f>
      </c>
    </row>
    <row r="557" ht="21" customHeight="1" spans="1:9" x14ac:dyDescent="0.25">
      <c r="A557" s="8"/>
      <c r="B557" s="8"/>
      <c r="C557" s="11">
        <f>IFERROR(LOOKUP(2,1/(($B$3:$B556=B557)*($A$3:$A556&lt;A557)),$G$3:$G556),IFERROR(VLOOKUP(B557,'Inventory Master'!$A$3:$L$300,6,FALSE),0))</f>
      </c>
      <c r="D557" s="11">
        <f>SUMIFS(Purchases!$D:$D,Purchases!$A:$A,$A557,Purchases!$C:$C,$B557)</f>
      </c>
      <c r="E557" s="11">
        <f>SUMIFS('Sales Log'!$D:$D,'Sales Log'!$A:$A,$A557,'Sales Log'!$C:$C,$B557)</f>
      </c>
      <c r="F557" s="8"/>
      <c r="G557" s="8"/>
      <c r="H557" s="11">
        <f>C557+D557-E557-F557</f>
      </c>
      <c r="I557" s="11">
        <f>H557-G557</f>
      </c>
    </row>
    <row r="558" ht="21" customHeight="1" spans="1:9" x14ac:dyDescent="0.25">
      <c r="A558" s="8"/>
      <c r="B558" s="8"/>
      <c r="C558" s="11">
        <f>IFERROR(LOOKUP(2,1/(($B$3:$B557=B558)*($A$3:$A557&lt;A558)),$G$3:$G557),IFERROR(VLOOKUP(B558,'Inventory Master'!$A$3:$L$300,6,FALSE),0))</f>
      </c>
      <c r="D558" s="11">
        <f>SUMIFS(Purchases!$D:$D,Purchases!$A:$A,$A558,Purchases!$C:$C,$B558)</f>
      </c>
      <c r="E558" s="11">
        <f>SUMIFS('Sales Log'!$D:$D,'Sales Log'!$A:$A,$A558,'Sales Log'!$C:$C,$B558)</f>
      </c>
      <c r="F558" s="8"/>
      <c r="G558" s="8"/>
      <c r="H558" s="11">
        <f>C558+D558-E558-F558</f>
      </c>
      <c r="I558" s="11">
        <f>H558-G558</f>
      </c>
    </row>
    <row r="559" ht="21" customHeight="1" spans="1:9" x14ac:dyDescent="0.25">
      <c r="A559" s="8"/>
      <c r="B559" s="8"/>
      <c r="C559" s="11">
        <f>IFERROR(LOOKUP(2,1/(($B$3:$B558=B559)*($A$3:$A558&lt;A559)),$G$3:$G558),IFERROR(VLOOKUP(B559,'Inventory Master'!$A$3:$L$300,6,FALSE),0))</f>
      </c>
      <c r="D559" s="11">
        <f>SUMIFS(Purchases!$D:$D,Purchases!$A:$A,$A559,Purchases!$C:$C,$B559)</f>
      </c>
      <c r="E559" s="11">
        <f>SUMIFS('Sales Log'!$D:$D,'Sales Log'!$A:$A,$A559,'Sales Log'!$C:$C,$B559)</f>
      </c>
      <c r="F559" s="8"/>
      <c r="G559" s="8"/>
      <c r="H559" s="11">
        <f>C559+D559-E559-F559</f>
      </c>
      <c r="I559" s="11">
        <f>H559-G559</f>
      </c>
    </row>
    <row r="560" ht="21" customHeight="1" spans="1:9" x14ac:dyDescent="0.25">
      <c r="A560" s="8"/>
      <c r="B560" s="8"/>
      <c r="C560" s="11">
        <f>IFERROR(LOOKUP(2,1/(($B$3:$B559=B560)*($A$3:$A559&lt;A560)),$G$3:$G559),IFERROR(VLOOKUP(B560,'Inventory Master'!$A$3:$L$300,6,FALSE),0))</f>
      </c>
      <c r="D560" s="11">
        <f>SUMIFS(Purchases!$D:$D,Purchases!$A:$A,$A560,Purchases!$C:$C,$B560)</f>
      </c>
      <c r="E560" s="11">
        <f>SUMIFS('Sales Log'!$D:$D,'Sales Log'!$A:$A,$A560,'Sales Log'!$C:$C,$B560)</f>
      </c>
      <c r="F560" s="8"/>
      <c r="G560" s="8"/>
      <c r="H560" s="11">
        <f>C560+D560-E560-F560</f>
      </c>
      <c r="I560" s="11">
        <f>H560-G560</f>
      </c>
    </row>
    <row r="561" ht="21" customHeight="1" spans="1:9" x14ac:dyDescent="0.25">
      <c r="A561" s="8"/>
      <c r="B561" s="8"/>
      <c r="C561" s="11">
        <f>IFERROR(LOOKUP(2,1/(($B$3:$B560=B561)*($A$3:$A560&lt;A561)),$G$3:$G560),IFERROR(VLOOKUP(B561,'Inventory Master'!$A$3:$L$300,6,FALSE),0))</f>
      </c>
      <c r="D561" s="11">
        <f>SUMIFS(Purchases!$D:$D,Purchases!$A:$A,$A561,Purchases!$C:$C,$B561)</f>
      </c>
      <c r="E561" s="11">
        <f>SUMIFS('Sales Log'!$D:$D,'Sales Log'!$A:$A,$A561,'Sales Log'!$C:$C,$B561)</f>
      </c>
      <c r="F561" s="8"/>
      <c r="G561" s="8"/>
      <c r="H561" s="11">
        <f>C561+D561-E561-F561</f>
      </c>
      <c r="I561" s="11">
        <f>H561-G561</f>
      </c>
    </row>
    <row r="562" ht="21" customHeight="1" spans="1:9" x14ac:dyDescent="0.25">
      <c r="A562" s="8"/>
      <c r="B562" s="8"/>
      <c r="C562" s="11">
        <f>IFERROR(LOOKUP(2,1/(($B$3:$B561=B562)*($A$3:$A561&lt;A562)),$G$3:$G561),IFERROR(VLOOKUP(B562,'Inventory Master'!$A$3:$L$300,6,FALSE),0))</f>
      </c>
      <c r="D562" s="11">
        <f>SUMIFS(Purchases!$D:$D,Purchases!$A:$A,$A562,Purchases!$C:$C,$B562)</f>
      </c>
      <c r="E562" s="11">
        <f>SUMIFS('Sales Log'!$D:$D,'Sales Log'!$A:$A,$A562,'Sales Log'!$C:$C,$B562)</f>
      </c>
      <c r="F562" s="8"/>
      <c r="G562" s="8"/>
      <c r="H562" s="11">
        <f>C562+D562-E562-F562</f>
      </c>
      <c r="I562" s="11">
        <f>H562-G562</f>
      </c>
    </row>
    <row r="563" ht="21" customHeight="1" spans="1:9" x14ac:dyDescent="0.25">
      <c r="A563" s="8"/>
      <c r="B563" s="8"/>
      <c r="C563" s="11">
        <f>IFERROR(LOOKUP(2,1/(($B$3:$B562=B563)*($A$3:$A562&lt;A563)),$G$3:$G562),IFERROR(VLOOKUP(B563,'Inventory Master'!$A$3:$L$300,6,FALSE),0))</f>
      </c>
      <c r="D563" s="11">
        <f>SUMIFS(Purchases!$D:$D,Purchases!$A:$A,$A563,Purchases!$C:$C,$B563)</f>
      </c>
      <c r="E563" s="11">
        <f>SUMIFS('Sales Log'!$D:$D,'Sales Log'!$A:$A,$A563,'Sales Log'!$C:$C,$B563)</f>
      </c>
      <c r="F563" s="8"/>
      <c r="G563" s="8"/>
      <c r="H563" s="11">
        <f>C563+D563-E563-F563</f>
      </c>
      <c r="I563" s="11">
        <f>H563-G563</f>
      </c>
    </row>
    <row r="564" ht="21" customHeight="1" spans="1:9" x14ac:dyDescent="0.25">
      <c r="A564" s="8"/>
      <c r="B564" s="8"/>
      <c r="C564" s="11">
        <f>IFERROR(LOOKUP(2,1/(($B$3:$B563=B564)*($A$3:$A563&lt;A564)),$G$3:$G563),IFERROR(VLOOKUP(B564,'Inventory Master'!$A$3:$L$300,6,FALSE),0))</f>
      </c>
      <c r="D564" s="11">
        <f>SUMIFS(Purchases!$D:$D,Purchases!$A:$A,$A564,Purchases!$C:$C,$B564)</f>
      </c>
      <c r="E564" s="11">
        <f>SUMIFS('Sales Log'!$D:$D,'Sales Log'!$A:$A,$A564,'Sales Log'!$C:$C,$B564)</f>
      </c>
      <c r="F564" s="8"/>
      <c r="G564" s="8"/>
      <c r="H564" s="11">
        <f>C564+D564-E564-F564</f>
      </c>
      <c r="I564" s="11">
        <f>H564-G564</f>
      </c>
    </row>
    <row r="565" ht="21" customHeight="1" spans="1:9" x14ac:dyDescent="0.25">
      <c r="A565" s="8"/>
      <c r="B565" s="8"/>
      <c r="C565" s="11">
        <f>IFERROR(LOOKUP(2,1/(($B$3:$B564=B565)*($A$3:$A564&lt;A565)),$G$3:$G564),IFERROR(VLOOKUP(B565,'Inventory Master'!$A$3:$L$300,6,FALSE),0))</f>
      </c>
      <c r="D565" s="11">
        <f>SUMIFS(Purchases!$D:$D,Purchases!$A:$A,$A565,Purchases!$C:$C,$B565)</f>
      </c>
      <c r="E565" s="11">
        <f>SUMIFS('Sales Log'!$D:$D,'Sales Log'!$A:$A,$A565,'Sales Log'!$C:$C,$B565)</f>
      </c>
      <c r="F565" s="8"/>
      <c r="G565" s="8"/>
      <c r="H565" s="11">
        <f>C565+D565-E565-F565</f>
      </c>
      <c r="I565" s="11">
        <f>H565-G565</f>
      </c>
    </row>
    <row r="566" ht="21" customHeight="1" spans="1:9" x14ac:dyDescent="0.25">
      <c r="A566" s="8"/>
      <c r="B566" s="8"/>
      <c r="C566" s="11">
        <f>IFERROR(LOOKUP(2,1/(($B$3:$B565=B566)*($A$3:$A565&lt;A566)),$G$3:$G565),IFERROR(VLOOKUP(B566,'Inventory Master'!$A$3:$L$300,6,FALSE),0))</f>
      </c>
      <c r="D566" s="11">
        <f>SUMIFS(Purchases!$D:$D,Purchases!$A:$A,$A566,Purchases!$C:$C,$B566)</f>
      </c>
      <c r="E566" s="11">
        <f>SUMIFS('Sales Log'!$D:$D,'Sales Log'!$A:$A,$A566,'Sales Log'!$C:$C,$B566)</f>
      </c>
      <c r="F566" s="8"/>
      <c r="G566" s="8"/>
      <c r="H566" s="11">
        <f>C566+D566-E566-F566</f>
      </c>
      <c r="I566" s="11">
        <f>H566-G566</f>
      </c>
    </row>
    <row r="567" ht="21" customHeight="1" spans="1:9" x14ac:dyDescent="0.25">
      <c r="A567" s="8"/>
      <c r="B567" s="8"/>
      <c r="C567" s="11">
        <f>IFERROR(LOOKUP(2,1/(($B$3:$B566=B567)*($A$3:$A566&lt;A567)),$G$3:$G566),IFERROR(VLOOKUP(B567,'Inventory Master'!$A$3:$L$300,6,FALSE),0))</f>
      </c>
      <c r="D567" s="11">
        <f>SUMIFS(Purchases!$D:$D,Purchases!$A:$A,$A567,Purchases!$C:$C,$B567)</f>
      </c>
      <c r="E567" s="11">
        <f>SUMIFS('Sales Log'!$D:$D,'Sales Log'!$A:$A,$A567,'Sales Log'!$C:$C,$B567)</f>
      </c>
      <c r="F567" s="8"/>
      <c r="G567" s="8"/>
      <c r="H567" s="11">
        <f>C567+D567-E567-F567</f>
      </c>
      <c r="I567" s="11">
        <f>H567-G567</f>
      </c>
    </row>
    <row r="568" ht="21" customHeight="1" spans="1:9" x14ac:dyDescent="0.25">
      <c r="A568" s="8"/>
      <c r="B568" s="8"/>
      <c r="C568" s="11">
        <f>IFERROR(LOOKUP(2,1/(($B$3:$B567=B568)*($A$3:$A567&lt;A568)),$G$3:$G567),IFERROR(VLOOKUP(B568,'Inventory Master'!$A$3:$L$300,6,FALSE),0))</f>
      </c>
      <c r="D568" s="11">
        <f>SUMIFS(Purchases!$D:$D,Purchases!$A:$A,$A568,Purchases!$C:$C,$B568)</f>
      </c>
      <c r="E568" s="11">
        <f>SUMIFS('Sales Log'!$D:$D,'Sales Log'!$A:$A,$A568,'Sales Log'!$C:$C,$B568)</f>
      </c>
      <c r="F568" s="8"/>
      <c r="G568" s="8"/>
      <c r="H568" s="11">
        <f>C568+D568-E568-F568</f>
      </c>
      <c r="I568" s="11">
        <f>H568-G568</f>
      </c>
    </row>
    <row r="569" ht="21" customHeight="1" spans="1:9" x14ac:dyDescent="0.25">
      <c r="A569" s="8"/>
      <c r="B569" s="8"/>
      <c r="C569" s="11">
        <f>IFERROR(LOOKUP(2,1/(($B$3:$B568=B569)*($A$3:$A568&lt;A569)),$G$3:$G568),IFERROR(VLOOKUP(B569,'Inventory Master'!$A$3:$L$300,6,FALSE),0))</f>
      </c>
      <c r="D569" s="11">
        <f>SUMIFS(Purchases!$D:$D,Purchases!$A:$A,$A569,Purchases!$C:$C,$B569)</f>
      </c>
      <c r="E569" s="11">
        <f>SUMIFS('Sales Log'!$D:$D,'Sales Log'!$A:$A,$A569,'Sales Log'!$C:$C,$B569)</f>
      </c>
      <c r="F569" s="8"/>
      <c r="G569" s="8"/>
      <c r="H569" s="11">
        <f>C569+D569-E569-F569</f>
      </c>
      <c r="I569" s="11">
        <f>H569-G569</f>
      </c>
    </row>
    <row r="570" ht="21" customHeight="1" spans="1:9" x14ac:dyDescent="0.25">
      <c r="A570" s="8"/>
      <c r="B570" s="8"/>
      <c r="C570" s="11">
        <f>IFERROR(LOOKUP(2,1/(($B$3:$B569=B570)*($A$3:$A569&lt;A570)),$G$3:$G569),IFERROR(VLOOKUP(B570,'Inventory Master'!$A$3:$L$300,6,FALSE),0))</f>
      </c>
      <c r="D570" s="11">
        <f>SUMIFS(Purchases!$D:$D,Purchases!$A:$A,$A570,Purchases!$C:$C,$B570)</f>
      </c>
      <c r="E570" s="11">
        <f>SUMIFS('Sales Log'!$D:$D,'Sales Log'!$A:$A,$A570,'Sales Log'!$C:$C,$B570)</f>
      </c>
      <c r="F570" s="8"/>
      <c r="G570" s="8"/>
      <c r="H570" s="11">
        <f>C570+D570-E570-F570</f>
      </c>
      <c r="I570" s="11">
        <f>H570-G570</f>
      </c>
    </row>
    <row r="571" ht="21" customHeight="1" spans="1:9" x14ac:dyDescent="0.25">
      <c r="A571" s="8"/>
      <c r="B571" s="8"/>
      <c r="C571" s="11">
        <f>IFERROR(LOOKUP(2,1/(($B$3:$B570=B571)*($A$3:$A570&lt;A571)),$G$3:$G570),IFERROR(VLOOKUP(B571,'Inventory Master'!$A$3:$L$300,6,FALSE),0))</f>
      </c>
      <c r="D571" s="11">
        <f>SUMIFS(Purchases!$D:$D,Purchases!$A:$A,$A571,Purchases!$C:$C,$B571)</f>
      </c>
      <c r="E571" s="11">
        <f>SUMIFS('Sales Log'!$D:$D,'Sales Log'!$A:$A,$A571,'Sales Log'!$C:$C,$B571)</f>
      </c>
      <c r="F571" s="8"/>
      <c r="G571" s="8"/>
      <c r="H571" s="11">
        <f>C571+D571-E571-F571</f>
      </c>
      <c r="I571" s="11">
        <f>H571-G571</f>
      </c>
    </row>
    <row r="572" ht="21" customHeight="1" spans="1:9" x14ac:dyDescent="0.25">
      <c r="A572" s="8"/>
      <c r="B572" s="8"/>
      <c r="C572" s="11">
        <f>IFERROR(LOOKUP(2,1/(($B$3:$B571=B572)*($A$3:$A571&lt;A572)),$G$3:$G571),IFERROR(VLOOKUP(B572,'Inventory Master'!$A$3:$L$300,6,FALSE),0))</f>
      </c>
      <c r="D572" s="11">
        <f>SUMIFS(Purchases!$D:$D,Purchases!$A:$A,$A572,Purchases!$C:$C,$B572)</f>
      </c>
      <c r="E572" s="11">
        <f>SUMIFS('Sales Log'!$D:$D,'Sales Log'!$A:$A,$A572,'Sales Log'!$C:$C,$B572)</f>
      </c>
      <c r="F572" s="8"/>
      <c r="G572" s="8"/>
      <c r="H572" s="11">
        <f>C572+D572-E572-F572</f>
      </c>
      <c r="I572" s="11">
        <f>H572-G572</f>
      </c>
    </row>
    <row r="573" ht="21" customHeight="1" spans="1:9" x14ac:dyDescent="0.25">
      <c r="A573" s="8"/>
      <c r="B573" s="8"/>
      <c r="C573" s="11">
        <f>IFERROR(LOOKUP(2,1/(($B$3:$B572=B573)*($A$3:$A572&lt;A573)),$G$3:$G572),IFERROR(VLOOKUP(B573,'Inventory Master'!$A$3:$L$300,6,FALSE),0))</f>
      </c>
      <c r="D573" s="11">
        <f>SUMIFS(Purchases!$D:$D,Purchases!$A:$A,$A573,Purchases!$C:$C,$B573)</f>
      </c>
      <c r="E573" s="11">
        <f>SUMIFS('Sales Log'!$D:$D,'Sales Log'!$A:$A,$A573,'Sales Log'!$C:$C,$B573)</f>
      </c>
      <c r="F573" s="8"/>
      <c r="G573" s="8"/>
      <c r="H573" s="11">
        <f>C573+D573-E573-F573</f>
      </c>
      <c r="I573" s="11">
        <f>H573-G573</f>
      </c>
    </row>
    <row r="574" ht="21" customHeight="1" spans="1:9" x14ac:dyDescent="0.25">
      <c r="A574" s="8"/>
      <c r="B574" s="8"/>
      <c r="C574" s="11">
        <f>IFERROR(LOOKUP(2,1/(($B$3:$B573=B574)*($A$3:$A573&lt;A574)),$G$3:$G573),IFERROR(VLOOKUP(B574,'Inventory Master'!$A$3:$L$300,6,FALSE),0))</f>
      </c>
      <c r="D574" s="11">
        <f>SUMIFS(Purchases!$D:$D,Purchases!$A:$A,$A574,Purchases!$C:$C,$B574)</f>
      </c>
      <c r="E574" s="11">
        <f>SUMIFS('Sales Log'!$D:$D,'Sales Log'!$A:$A,$A574,'Sales Log'!$C:$C,$B574)</f>
      </c>
      <c r="F574" s="8"/>
      <c r="G574" s="8"/>
      <c r="H574" s="11">
        <f>C574+D574-E574-F574</f>
      </c>
      <c r="I574" s="11">
        <f>H574-G574</f>
      </c>
    </row>
    <row r="575" ht="21" customHeight="1" spans="1:9" x14ac:dyDescent="0.25">
      <c r="A575" s="8"/>
      <c r="B575" s="8"/>
      <c r="C575" s="11">
        <f>IFERROR(LOOKUP(2,1/(($B$3:$B574=B575)*($A$3:$A574&lt;A575)),$G$3:$G574),IFERROR(VLOOKUP(B575,'Inventory Master'!$A$3:$L$300,6,FALSE),0))</f>
      </c>
      <c r="D575" s="11">
        <f>SUMIFS(Purchases!$D:$D,Purchases!$A:$A,$A575,Purchases!$C:$C,$B575)</f>
      </c>
      <c r="E575" s="11">
        <f>SUMIFS('Sales Log'!$D:$D,'Sales Log'!$A:$A,$A575,'Sales Log'!$C:$C,$B575)</f>
      </c>
      <c r="F575" s="8"/>
      <c r="G575" s="8"/>
      <c r="H575" s="11">
        <f>C575+D575-E575-F575</f>
      </c>
      <c r="I575" s="11">
        <f>H575-G575</f>
      </c>
    </row>
    <row r="576" ht="21" customHeight="1" spans="1:9" x14ac:dyDescent="0.25">
      <c r="A576" s="8"/>
      <c r="B576" s="8"/>
      <c r="C576" s="11">
        <f>IFERROR(LOOKUP(2,1/(($B$3:$B575=B576)*($A$3:$A575&lt;A576)),$G$3:$G575),IFERROR(VLOOKUP(B576,'Inventory Master'!$A$3:$L$300,6,FALSE),0))</f>
      </c>
      <c r="D576" s="11">
        <f>SUMIFS(Purchases!$D:$D,Purchases!$A:$A,$A576,Purchases!$C:$C,$B576)</f>
      </c>
      <c r="E576" s="11">
        <f>SUMIFS('Sales Log'!$D:$D,'Sales Log'!$A:$A,$A576,'Sales Log'!$C:$C,$B576)</f>
      </c>
      <c r="F576" s="8"/>
      <c r="G576" s="8"/>
      <c r="H576" s="11">
        <f>C576+D576-E576-F576</f>
      </c>
      <c r="I576" s="11">
        <f>H576-G576</f>
      </c>
    </row>
    <row r="577" ht="21" customHeight="1" spans="1:9" x14ac:dyDescent="0.25">
      <c r="A577" s="8"/>
      <c r="B577" s="8"/>
      <c r="C577" s="11">
        <f>IFERROR(LOOKUP(2,1/(($B$3:$B576=B577)*($A$3:$A576&lt;A577)),$G$3:$G576),IFERROR(VLOOKUP(B577,'Inventory Master'!$A$3:$L$300,6,FALSE),0))</f>
      </c>
      <c r="D577" s="11">
        <f>SUMIFS(Purchases!$D:$D,Purchases!$A:$A,$A577,Purchases!$C:$C,$B577)</f>
      </c>
      <c r="E577" s="11">
        <f>SUMIFS('Sales Log'!$D:$D,'Sales Log'!$A:$A,$A577,'Sales Log'!$C:$C,$B577)</f>
      </c>
      <c r="F577" s="8"/>
      <c r="G577" s="8"/>
      <c r="H577" s="11">
        <f>C577+D577-E577-F577</f>
      </c>
      <c r="I577" s="11">
        <f>H577-G577</f>
      </c>
    </row>
    <row r="578" ht="21" customHeight="1" spans="1:9" x14ac:dyDescent="0.25">
      <c r="A578" s="8"/>
      <c r="B578" s="8"/>
      <c r="C578" s="11">
        <f>IFERROR(LOOKUP(2,1/(($B$3:$B577=B578)*($A$3:$A577&lt;A578)),$G$3:$G577),IFERROR(VLOOKUP(B578,'Inventory Master'!$A$3:$L$300,6,FALSE),0))</f>
      </c>
      <c r="D578" s="11">
        <f>SUMIFS(Purchases!$D:$D,Purchases!$A:$A,$A578,Purchases!$C:$C,$B578)</f>
      </c>
      <c r="E578" s="11">
        <f>SUMIFS('Sales Log'!$D:$D,'Sales Log'!$A:$A,$A578,'Sales Log'!$C:$C,$B578)</f>
      </c>
      <c r="F578" s="8"/>
      <c r="G578" s="8"/>
      <c r="H578" s="11">
        <f>C578+D578-E578-F578</f>
      </c>
      <c r="I578" s="11">
        <f>H578-G578</f>
      </c>
    </row>
    <row r="579" ht="21" customHeight="1" spans="1:9" x14ac:dyDescent="0.25">
      <c r="A579" s="8"/>
      <c r="B579" s="8"/>
      <c r="C579" s="11">
        <f>IFERROR(LOOKUP(2,1/(($B$3:$B578=B579)*($A$3:$A578&lt;A579)),$G$3:$G578),IFERROR(VLOOKUP(B579,'Inventory Master'!$A$3:$L$300,6,FALSE),0))</f>
      </c>
      <c r="D579" s="11">
        <f>SUMIFS(Purchases!$D:$D,Purchases!$A:$A,$A579,Purchases!$C:$C,$B579)</f>
      </c>
      <c r="E579" s="11">
        <f>SUMIFS('Sales Log'!$D:$D,'Sales Log'!$A:$A,$A579,'Sales Log'!$C:$C,$B579)</f>
      </c>
      <c r="F579" s="8"/>
      <c r="G579" s="8"/>
      <c r="H579" s="11">
        <f>C579+D579-E579-F579</f>
      </c>
      <c r="I579" s="11">
        <f>H579-G579</f>
      </c>
    </row>
    <row r="580" ht="21" customHeight="1" spans="1:9" x14ac:dyDescent="0.25">
      <c r="A580" s="8"/>
      <c r="B580" s="8"/>
      <c r="C580" s="11">
        <f>IFERROR(LOOKUP(2,1/(($B$3:$B579=B580)*($A$3:$A579&lt;A580)),$G$3:$G579),IFERROR(VLOOKUP(B580,'Inventory Master'!$A$3:$L$300,6,FALSE),0))</f>
      </c>
      <c r="D580" s="11">
        <f>SUMIFS(Purchases!$D:$D,Purchases!$A:$A,$A580,Purchases!$C:$C,$B580)</f>
      </c>
      <c r="E580" s="11">
        <f>SUMIFS('Sales Log'!$D:$D,'Sales Log'!$A:$A,$A580,'Sales Log'!$C:$C,$B580)</f>
      </c>
      <c r="F580" s="8"/>
      <c r="G580" s="8"/>
      <c r="H580" s="11">
        <f>C580+D580-E580-F580</f>
      </c>
      <c r="I580" s="11">
        <f>H580-G580</f>
      </c>
    </row>
    <row r="581" ht="21" customHeight="1" spans="1:9" x14ac:dyDescent="0.25">
      <c r="A581" s="8"/>
      <c r="B581" s="8"/>
      <c r="C581" s="11">
        <f>IFERROR(LOOKUP(2,1/(($B$3:$B580=B581)*($A$3:$A580&lt;A581)),$G$3:$G580),IFERROR(VLOOKUP(B581,'Inventory Master'!$A$3:$L$300,6,FALSE),0))</f>
      </c>
      <c r="D581" s="11">
        <f>SUMIFS(Purchases!$D:$D,Purchases!$A:$A,$A581,Purchases!$C:$C,$B581)</f>
      </c>
      <c r="E581" s="11">
        <f>SUMIFS('Sales Log'!$D:$D,'Sales Log'!$A:$A,$A581,'Sales Log'!$C:$C,$B581)</f>
      </c>
      <c r="F581" s="8"/>
      <c r="G581" s="8"/>
      <c r="H581" s="11">
        <f>C581+D581-E581-F581</f>
      </c>
      <c r="I581" s="11">
        <f>H581-G581</f>
      </c>
    </row>
    <row r="582" ht="21" customHeight="1" spans="1:9" x14ac:dyDescent="0.25">
      <c r="A582" s="8"/>
      <c r="B582" s="8"/>
      <c r="C582" s="11">
        <f>IFERROR(LOOKUP(2,1/(($B$3:$B581=B582)*($A$3:$A581&lt;A582)),$G$3:$G581),IFERROR(VLOOKUP(B582,'Inventory Master'!$A$3:$L$300,6,FALSE),0))</f>
      </c>
      <c r="D582" s="11">
        <f>SUMIFS(Purchases!$D:$D,Purchases!$A:$A,$A582,Purchases!$C:$C,$B582)</f>
      </c>
      <c r="E582" s="11">
        <f>SUMIFS('Sales Log'!$D:$D,'Sales Log'!$A:$A,$A582,'Sales Log'!$C:$C,$B582)</f>
      </c>
      <c r="F582" s="8"/>
      <c r="G582" s="8"/>
      <c r="H582" s="11">
        <f>C582+D582-E582-F582</f>
      </c>
      <c r="I582" s="11">
        <f>H582-G582</f>
      </c>
    </row>
    <row r="583" ht="21" customHeight="1" spans="1:9" x14ac:dyDescent="0.25">
      <c r="A583" s="8"/>
      <c r="B583" s="8"/>
      <c r="C583" s="11">
        <f>IFERROR(LOOKUP(2,1/(($B$3:$B582=B583)*($A$3:$A582&lt;A583)),$G$3:$G582),IFERROR(VLOOKUP(B583,'Inventory Master'!$A$3:$L$300,6,FALSE),0))</f>
      </c>
      <c r="D583" s="11">
        <f>SUMIFS(Purchases!$D:$D,Purchases!$A:$A,$A583,Purchases!$C:$C,$B583)</f>
      </c>
      <c r="E583" s="11">
        <f>SUMIFS('Sales Log'!$D:$D,'Sales Log'!$A:$A,$A583,'Sales Log'!$C:$C,$B583)</f>
      </c>
      <c r="F583" s="8"/>
      <c r="G583" s="8"/>
      <c r="H583" s="11">
        <f>C583+D583-E583-F583</f>
      </c>
      <c r="I583" s="11">
        <f>H583-G583</f>
      </c>
    </row>
    <row r="584" ht="21" customHeight="1" spans="1:9" x14ac:dyDescent="0.25">
      <c r="A584" s="8"/>
      <c r="B584" s="8"/>
      <c r="C584" s="11">
        <f>IFERROR(LOOKUP(2,1/(($B$3:$B583=B584)*($A$3:$A583&lt;A584)),$G$3:$G583),IFERROR(VLOOKUP(B584,'Inventory Master'!$A$3:$L$300,6,FALSE),0))</f>
      </c>
      <c r="D584" s="11">
        <f>SUMIFS(Purchases!$D:$D,Purchases!$A:$A,$A584,Purchases!$C:$C,$B584)</f>
      </c>
      <c r="E584" s="11">
        <f>SUMIFS('Sales Log'!$D:$D,'Sales Log'!$A:$A,$A584,'Sales Log'!$C:$C,$B584)</f>
      </c>
      <c r="F584" s="8"/>
      <c r="G584" s="8"/>
      <c r="H584" s="11">
        <f>C584+D584-E584-F584</f>
      </c>
      <c r="I584" s="11">
        <f>H584-G584</f>
      </c>
    </row>
    <row r="585" ht="21" customHeight="1" spans="1:9" x14ac:dyDescent="0.25">
      <c r="A585" s="8"/>
      <c r="B585" s="8"/>
      <c r="C585" s="11">
        <f>IFERROR(LOOKUP(2,1/(($B$3:$B584=B585)*($A$3:$A584&lt;A585)),$G$3:$G584),IFERROR(VLOOKUP(B585,'Inventory Master'!$A$3:$L$300,6,FALSE),0))</f>
      </c>
      <c r="D585" s="11">
        <f>SUMIFS(Purchases!$D:$D,Purchases!$A:$A,$A585,Purchases!$C:$C,$B585)</f>
      </c>
      <c r="E585" s="11">
        <f>SUMIFS('Sales Log'!$D:$D,'Sales Log'!$A:$A,$A585,'Sales Log'!$C:$C,$B585)</f>
      </c>
      <c r="F585" s="8"/>
      <c r="G585" s="8"/>
      <c r="H585" s="11">
        <f>C585+D585-E585-F585</f>
      </c>
      <c r="I585" s="11">
        <f>H585-G585</f>
      </c>
    </row>
    <row r="586" ht="21" customHeight="1" spans="1:9" x14ac:dyDescent="0.25">
      <c r="A586" s="8"/>
      <c r="B586" s="8"/>
      <c r="C586" s="11">
        <f>IFERROR(LOOKUP(2,1/(($B$3:$B585=B586)*($A$3:$A585&lt;A586)),$G$3:$G585),IFERROR(VLOOKUP(B586,'Inventory Master'!$A$3:$L$300,6,FALSE),0))</f>
      </c>
      <c r="D586" s="11">
        <f>SUMIFS(Purchases!$D:$D,Purchases!$A:$A,$A586,Purchases!$C:$C,$B586)</f>
      </c>
      <c r="E586" s="11">
        <f>SUMIFS('Sales Log'!$D:$D,'Sales Log'!$A:$A,$A586,'Sales Log'!$C:$C,$B586)</f>
      </c>
      <c r="F586" s="8"/>
      <c r="G586" s="8"/>
      <c r="H586" s="11">
        <f>C586+D586-E586-F586</f>
      </c>
      <c r="I586" s="11">
        <f>H586-G586</f>
      </c>
    </row>
    <row r="587" ht="21" customHeight="1" spans="1:9" x14ac:dyDescent="0.25">
      <c r="A587" s="8"/>
      <c r="B587" s="8"/>
      <c r="C587" s="11">
        <f>IFERROR(LOOKUP(2,1/(($B$3:$B586=B587)*($A$3:$A586&lt;A587)),$G$3:$G586),IFERROR(VLOOKUP(B587,'Inventory Master'!$A$3:$L$300,6,FALSE),0))</f>
      </c>
      <c r="D587" s="11">
        <f>SUMIFS(Purchases!$D:$D,Purchases!$A:$A,$A587,Purchases!$C:$C,$B587)</f>
      </c>
      <c r="E587" s="11">
        <f>SUMIFS('Sales Log'!$D:$D,'Sales Log'!$A:$A,$A587,'Sales Log'!$C:$C,$B587)</f>
      </c>
      <c r="F587" s="8"/>
      <c r="G587" s="8"/>
      <c r="H587" s="11">
        <f>C587+D587-E587-F587</f>
      </c>
      <c r="I587" s="11">
        <f>H587-G587</f>
      </c>
    </row>
    <row r="588" ht="21" customHeight="1" spans="1:9" x14ac:dyDescent="0.25">
      <c r="A588" s="8"/>
      <c r="B588" s="8"/>
      <c r="C588" s="11">
        <f>IFERROR(LOOKUP(2,1/(($B$3:$B587=B588)*($A$3:$A587&lt;A588)),$G$3:$G587),IFERROR(VLOOKUP(B588,'Inventory Master'!$A$3:$L$300,6,FALSE),0))</f>
      </c>
      <c r="D588" s="11">
        <f>SUMIFS(Purchases!$D:$D,Purchases!$A:$A,$A588,Purchases!$C:$C,$B588)</f>
      </c>
      <c r="E588" s="11">
        <f>SUMIFS('Sales Log'!$D:$D,'Sales Log'!$A:$A,$A588,'Sales Log'!$C:$C,$B588)</f>
      </c>
      <c r="F588" s="8"/>
      <c r="G588" s="8"/>
      <c r="H588" s="11">
        <f>C588+D588-E588-F588</f>
      </c>
      <c r="I588" s="11">
        <f>H588-G588</f>
      </c>
    </row>
    <row r="589" ht="21" customHeight="1" spans="1:9" x14ac:dyDescent="0.25">
      <c r="A589" s="8"/>
      <c r="B589" s="8"/>
      <c r="C589" s="11">
        <f>IFERROR(LOOKUP(2,1/(($B$3:$B588=B589)*($A$3:$A588&lt;A589)),$G$3:$G588),IFERROR(VLOOKUP(B589,'Inventory Master'!$A$3:$L$300,6,FALSE),0))</f>
      </c>
      <c r="D589" s="11">
        <f>SUMIFS(Purchases!$D:$D,Purchases!$A:$A,$A589,Purchases!$C:$C,$B589)</f>
      </c>
      <c r="E589" s="11">
        <f>SUMIFS('Sales Log'!$D:$D,'Sales Log'!$A:$A,$A589,'Sales Log'!$C:$C,$B589)</f>
      </c>
      <c r="F589" s="8"/>
      <c r="G589" s="8"/>
      <c r="H589" s="11">
        <f>C589+D589-E589-F589</f>
      </c>
      <c r="I589" s="11">
        <f>H589-G589</f>
      </c>
    </row>
    <row r="590" ht="21" customHeight="1" spans="1:9" x14ac:dyDescent="0.25">
      <c r="A590" s="8"/>
      <c r="B590" s="8"/>
      <c r="C590" s="11">
        <f>IFERROR(LOOKUP(2,1/(($B$3:$B589=B590)*($A$3:$A589&lt;A590)),$G$3:$G589),IFERROR(VLOOKUP(B590,'Inventory Master'!$A$3:$L$300,6,FALSE),0))</f>
      </c>
      <c r="D590" s="11">
        <f>SUMIFS(Purchases!$D:$D,Purchases!$A:$A,$A590,Purchases!$C:$C,$B590)</f>
      </c>
      <c r="E590" s="11">
        <f>SUMIFS('Sales Log'!$D:$D,'Sales Log'!$A:$A,$A590,'Sales Log'!$C:$C,$B590)</f>
      </c>
      <c r="F590" s="8"/>
      <c r="G590" s="8"/>
      <c r="H590" s="11">
        <f>C590+D590-E590-F590</f>
      </c>
      <c r="I590" s="11">
        <f>H590-G590</f>
      </c>
    </row>
    <row r="591" ht="21" customHeight="1" spans="1:9" x14ac:dyDescent="0.25">
      <c r="A591" s="8"/>
      <c r="B591" s="8"/>
      <c r="C591" s="11">
        <f>IFERROR(LOOKUP(2,1/(($B$3:$B590=B591)*($A$3:$A590&lt;A591)),$G$3:$G590),IFERROR(VLOOKUP(B591,'Inventory Master'!$A$3:$L$300,6,FALSE),0))</f>
      </c>
      <c r="D591" s="11">
        <f>SUMIFS(Purchases!$D:$D,Purchases!$A:$A,$A591,Purchases!$C:$C,$B591)</f>
      </c>
      <c r="E591" s="11">
        <f>SUMIFS('Sales Log'!$D:$D,'Sales Log'!$A:$A,$A591,'Sales Log'!$C:$C,$B591)</f>
      </c>
      <c r="F591" s="8"/>
      <c r="G591" s="8"/>
      <c r="H591" s="11">
        <f>C591+D591-E591-F591</f>
      </c>
      <c r="I591" s="11">
        <f>H591-G591</f>
      </c>
    </row>
    <row r="592" ht="21" customHeight="1" spans="1:9" x14ac:dyDescent="0.25">
      <c r="A592" s="8"/>
      <c r="B592" s="8"/>
      <c r="C592" s="11">
        <f>IFERROR(LOOKUP(2,1/(($B$3:$B591=B592)*($A$3:$A591&lt;A592)),$G$3:$G591),IFERROR(VLOOKUP(B592,'Inventory Master'!$A$3:$L$300,6,FALSE),0))</f>
      </c>
      <c r="D592" s="11">
        <f>SUMIFS(Purchases!$D:$D,Purchases!$A:$A,$A592,Purchases!$C:$C,$B592)</f>
      </c>
      <c r="E592" s="11">
        <f>SUMIFS('Sales Log'!$D:$D,'Sales Log'!$A:$A,$A592,'Sales Log'!$C:$C,$B592)</f>
      </c>
      <c r="F592" s="8"/>
      <c r="G592" s="8"/>
      <c r="H592" s="11">
        <f>C592+D592-E592-F592</f>
      </c>
      <c r="I592" s="11">
        <f>H592-G592</f>
      </c>
    </row>
    <row r="593" ht="21" customHeight="1" spans="1:9" x14ac:dyDescent="0.25">
      <c r="A593" s="8"/>
      <c r="B593" s="8"/>
      <c r="C593" s="11">
        <f>IFERROR(LOOKUP(2,1/(($B$3:$B592=B593)*($A$3:$A592&lt;A593)),$G$3:$G592),IFERROR(VLOOKUP(B593,'Inventory Master'!$A$3:$L$300,6,FALSE),0))</f>
      </c>
      <c r="D593" s="11">
        <f>SUMIFS(Purchases!$D:$D,Purchases!$A:$A,$A593,Purchases!$C:$C,$B593)</f>
      </c>
      <c r="E593" s="11">
        <f>SUMIFS('Sales Log'!$D:$D,'Sales Log'!$A:$A,$A593,'Sales Log'!$C:$C,$B593)</f>
      </c>
      <c r="F593" s="8"/>
      <c r="G593" s="8"/>
      <c r="H593" s="11">
        <f>C593+D593-E593-F593</f>
      </c>
      <c r="I593" s="11">
        <f>H593-G593</f>
      </c>
    </row>
    <row r="594" ht="21" customHeight="1" spans="1:9" x14ac:dyDescent="0.25">
      <c r="A594" s="8"/>
      <c r="B594" s="8"/>
      <c r="C594" s="11">
        <f>IFERROR(LOOKUP(2,1/(($B$3:$B593=B594)*($A$3:$A593&lt;A594)),$G$3:$G593),IFERROR(VLOOKUP(B594,'Inventory Master'!$A$3:$L$300,6,FALSE),0))</f>
      </c>
      <c r="D594" s="11">
        <f>SUMIFS(Purchases!$D:$D,Purchases!$A:$A,$A594,Purchases!$C:$C,$B594)</f>
      </c>
      <c r="E594" s="11">
        <f>SUMIFS('Sales Log'!$D:$D,'Sales Log'!$A:$A,$A594,'Sales Log'!$C:$C,$B594)</f>
      </c>
      <c r="F594" s="8"/>
      <c r="G594" s="8"/>
      <c r="H594" s="11">
        <f>C594+D594-E594-F594</f>
      </c>
      <c r="I594" s="11">
        <f>H594-G594</f>
      </c>
    </row>
    <row r="595" ht="21" customHeight="1" spans="1:9" x14ac:dyDescent="0.25">
      <c r="A595" s="8"/>
      <c r="B595" s="8"/>
      <c r="C595" s="11">
        <f>IFERROR(LOOKUP(2,1/(($B$3:$B594=B595)*($A$3:$A594&lt;A595)),$G$3:$G594),IFERROR(VLOOKUP(B595,'Inventory Master'!$A$3:$L$300,6,FALSE),0))</f>
      </c>
      <c r="D595" s="11">
        <f>SUMIFS(Purchases!$D:$D,Purchases!$A:$A,$A595,Purchases!$C:$C,$B595)</f>
      </c>
      <c r="E595" s="11">
        <f>SUMIFS('Sales Log'!$D:$D,'Sales Log'!$A:$A,$A595,'Sales Log'!$C:$C,$B595)</f>
      </c>
      <c r="F595" s="8"/>
      <c r="G595" s="8"/>
      <c r="H595" s="11">
        <f>C595+D595-E595-F595</f>
      </c>
      <c r="I595" s="11">
        <f>H595-G595</f>
      </c>
    </row>
    <row r="596" ht="21" customHeight="1" spans="1:9" x14ac:dyDescent="0.25">
      <c r="A596" s="8"/>
      <c r="B596" s="8"/>
      <c r="C596" s="11">
        <f>IFERROR(LOOKUP(2,1/(($B$3:$B595=B596)*($A$3:$A595&lt;A596)),$G$3:$G595),IFERROR(VLOOKUP(B596,'Inventory Master'!$A$3:$L$300,6,FALSE),0))</f>
      </c>
      <c r="D596" s="11">
        <f>SUMIFS(Purchases!$D:$D,Purchases!$A:$A,$A596,Purchases!$C:$C,$B596)</f>
      </c>
      <c r="E596" s="11">
        <f>SUMIFS('Sales Log'!$D:$D,'Sales Log'!$A:$A,$A596,'Sales Log'!$C:$C,$B596)</f>
      </c>
      <c r="F596" s="8"/>
      <c r="G596" s="8"/>
      <c r="H596" s="11">
        <f>C596+D596-E596-F596</f>
      </c>
      <c r="I596" s="11">
        <f>H596-G596</f>
      </c>
    </row>
    <row r="597" ht="21" customHeight="1" spans="1:9" x14ac:dyDescent="0.25">
      <c r="A597" s="8"/>
      <c r="B597" s="8"/>
      <c r="C597" s="11">
        <f>IFERROR(LOOKUP(2,1/(($B$3:$B596=B597)*($A$3:$A596&lt;A597)),$G$3:$G596),IFERROR(VLOOKUP(B597,'Inventory Master'!$A$3:$L$300,6,FALSE),0))</f>
      </c>
      <c r="D597" s="11">
        <f>SUMIFS(Purchases!$D:$D,Purchases!$A:$A,$A597,Purchases!$C:$C,$B597)</f>
      </c>
      <c r="E597" s="11">
        <f>SUMIFS('Sales Log'!$D:$D,'Sales Log'!$A:$A,$A597,'Sales Log'!$C:$C,$B597)</f>
      </c>
      <c r="F597" s="8"/>
      <c r="G597" s="8"/>
      <c r="H597" s="11">
        <f>C597+D597-E597-F597</f>
      </c>
      <c r="I597" s="11">
        <f>H597-G597</f>
      </c>
    </row>
    <row r="598" ht="21" customHeight="1" spans="1:9" x14ac:dyDescent="0.25">
      <c r="A598" s="8"/>
      <c r="B598" s="8"/>
      <c r="C598" s="11">
        <f>IFERROR(LOOKUP(2,1/(($B$3:$B597=B598)*($A$3:$A597&lt;A598)),$G$3:$G597),IFERROR(VLOOKUP(B598,'Inventory Master'!$A$3:$L$300,6,FALSE),0))</f>
      </c>
      <c r="D598" s="11">
        <f>SUMIFS(Purchases!$D:$D,Purchases!$A:$A,$A598,Purchases!$C:$C,$B598)</f>
      </c>
      <c r="E598" s="11">
        <f>SUMIFS('Sales Log'!$D:$D,'Sales Log'!$A:$A,$A598,'Sales Log'!$C:$C,$B598)</f>
      </c>
      <c r="F598" s="8"/>
      <c r="G598" s="8"/>
      <c r="H598" s="11">
        <f>C598+D598-E598-F598</f>
      </c>
      <c r="I598" s="11">
        <f>H598-G598</f>
      </c>
    </row>
    <row r="599" ht="21" customHeight="1" spans="1:9" x14ac:dyDescent="0.25">
      <c r="A599" s="8"/>
      <c r="B599" s="8"/>
      <c r="C599" s="11">
        <f>IFERROR(LOOKUP(2,1/(($B$3:$B598=B599)*($A$3:$A598&lt;A599)),$G$3:$G598),IFERROR(VLOOKUP(B599,'Inventory Master'!$A$3:$L$300,6,FALSE),0))</f>
      </c>
      <c r="D599" s="11">
        <f>SUMIFS(Purchases!$D:$D,Purchases!$A:$A,$A599,Purchases!$C:$C,$B599)</f>
      </c>
      <c r="E599" s="11">
        <f>SUMIFS('Sales Log'!$D:$D,'Sales Log'!$A:$A,$A599,'Sales Log'!$C:$C,$B599)</f>
      </c>
      <c r="F599" s="8"/>
      <c r="G599" s="8"/>
      <c r="H599" s="11">
        <f>C599+D599-E599-F599</f>
      </c>
      <c r="I599" s="11">
        <f>H599-G599</f>
      </c>
    </row>
    <row r="600" ht="21" customHeight="1" spans="1:9" x14ac:dyDescent="0.25">
      <c r="A600" s="8"/>
      <c r="B600" s="8"/>
      <c r="C600" s="11">
        <f>IFERROR(LOOKUP(2,1/(($B$3:$B599=B600)*($A$3:$A599&lt;A600)),$G$3:$G599),IFERROR(VLOOKUP(B600,'Inventory Master'!$A$3:$L$300,6,FALSE),0))</f>
      </c>
      <c r="D600" s="11">
        <f>SUMIFS(Purchases!$D:$D,Purchases!$A:$A,$A600,Purchases!$C:$C,$B600)</f>
      </c>
      <c r="E600" s="11">
        <f>SUMIFS('Sales Log'!$D:$D,'Sales Log'!$A:$A,$A600,'Sales Log'!$C:$C,$B600)</f>
      </c>
      <c r="F600" s="8"/>
      <c r="G600" s="8"/>
      <c r="H600" s="11">
        <f>C600+D600-E600-F600</f>
      </c>
      <c r="I600" s="11">
        <f>H600-G600</f>
      </c>
    </row>
    <row r="601" ht="21" customHeight="1" spans="1:9" x14ac:dyDescent="0.25">
      <c r="A601" s="8"/>
      <c r="B601" s="8"/>
      <c r="C601" s="11">
        <f>IFERROR(LOOKUP(2,1/(($B$3:$B600=B601)*($A$3:$A600&lt;A601)),$G$3:$G600),IFERROR(VLOOKUP(B601,'Inventory Master'!$A$3:$L$300,6,FALSE),0))</f>
      </c>
      <c r="D601" s="11">
        <f>SUMIFS(Purchases!$D:$D,Purchases!$A:$A,$A601,Purchases!$C:$C,$B601)</f>
      </c>
      <c r="E601" s="11">
        <f>SUMIFS('Sales Log'!$D:$D,'Sales Log'!$A:$A,$A601,'Sales Log'!$C:$C,$B601)</f>
      </c>
      <c r="F601" s="8"/>
      <c r="G601" s="8"/>
      <c r="H601" s="11">
        <f>C601+D601-E601-F601</f>
      </c>
      <c r="I601" s="11">
        <f>H601-G601</f>
      </c>
    </row>
    <row r="602" ht="21" customHeight="1" spans="1:9" x14ac:dyDescent="0.25">
      <c r="A602" s="8"/>
      <c r="B602" s="8"/>
      <c r="C602" s="11">
        <f>IFERROR(LOOKUP(2,1/(($B$3:$B601=B602)*($A$3:$A601&lt;A602)),$G$3:$G601),IFERROR(VLOOKUP(B602,'Inventory Master'!$A$3:$L$300,6,FALSE),0))</f>
      </c>
      <c r="D602" s="11">
        <f>SUMIFS(Purchases!$D:$D,Purchases!$A:$A,$A602,Purchases!$C:$C,$B602)</f>
      </c>
      <c r="E602" s="11">
        <f>SUMIFS('Sales Log'!$D:$D,'Sales Log'!$A:$A,$A602,'Sales Log'!$C:$C,$B602)</f>
      </c>
      <c r="F602" s="8"/>
      <c r="G602" s="8"/>
      <c r="H602" s="11">
        <f>C602+D602-E602-F602</f>
      </c>
      <c r="I602" s="11">
        <f>H602-G602</f>
      </c>
    </row>
    <row r="603" ht="21" customHeight="1" spans="1:9" x14ac:dyDescent="0.25">
      <c r="A603" s="8"/>
      <c r="B603" s="8"/>
      <c r="C603" s="11">
        <f>IFERROR(LOOKUP(2,1/(($B$3:$B602=B603)*($A$3:$A602&lt;A603)),$G$3:$G602),IFERROR(VLOOKUP(B603,'Inventory Master'!$A$3:$L$300,6,FALSE),0))</f>
      </c>
      <c r="D603" s="11">
        <f>SUMIFS(Purchases!$D:$D,Purchases!$A:$A,$A603,Purchases!$C:$C,$B603)</f>
      </c>
      <c r="E603" s="11">
        <f>SUMIFS('Sales Log'!$D:$D,'Sales Log'!$A:$A,$A603,'Sales Log'!$C:$C,$B603)</f>
      </c>
      <c r="F603" s="8"/>
      <c r="G603" s="8"/>
      <c r="H603" s="11">
        <f>C603+D603-E603-F603</f>
      </c>
      <c r="I603" s="11">
        <f>H603-G603</f>
      </c>
    </row>
    <row r="604" ht="21" customHeight="1" spans="1:9" x14ac:dyDescent="0.25">
      <c r="A604" s="8"/>
      <c r="B604" s="8"/>
      <c r="C604" s="11">
        <f>IFERROR(LOOKUP(2,1/(($B$3:$B603=B604)*($A$3:$A603&lt;A604)),$G$3:$G603),IFERROR(VLOOKUP(B604,'Inventory Master'!$A$3:$L$300,6,FALSE),0))</f>
      </c>
      <c r="D604" s="11">
        <f>SUMIFS(Purchases!$D:$D,Purchases!$A:$A,$A604,Purchases!$C:$C,$B604)</f>
      </c>
      <c r="E604" s="11">
        <f>SUMIFS('Sales Log'!$D:$D,'Sales Log'!$A:$A,$A604,'Sales Log'!$C:$C,$B604)</f>
      </c>
      <c r="F604" s="8"/>
      <c r="G604" s="8"/>
      <c r="H604" s="11">
        <f>C604+D604-E604-F604</f>
      </c>
      <c r="I604" s="11">
        <f>H604-G604</f>
      </c>
    </row>
    <row r="605" ht="21" customHeight="1" spans="1:9" x14ac:dyDescent="0.25">
      <c r="A605" s="8"/>
      <c r="B605" s="8"/>
      <c r="C605" s="11">
        <f>IFERROR(LOOKUP(2,1/(($B$3:$B604=B605)*($A$3:$A604&lt;A605)),$G$3:$G604),IFERROR(VLOOKUP(B605,'Inventory Master'!$A$3:$L$300,6,FALSE),0))</f>
      </c>
      <c r="D605" s="11">
        <f>SUMIFS(Purchases!$D:$D,Purchases!$A:$A,$A605,Purchases!$C:$C,$B605)</f>
      </c>
      <c r="E605" s="11">
        <f>SUMIFS('Sales Log'!$D:$D,'Sales Log'!$A:$A,$A605,'Sales Log'!$C:$C,$B605)</f>
      </c>
      <c r="F605" s="8"/>
      <c r="G605" s="8"/>
      <c r="H605" s="11">
        <f>C605+D605-E605-F605</f>
      </c>
      <c r="I605" s="11">
        <f>H605-G605</f>
      </c>
    </row>
    <row r="606" ht="21" customHeight="1" spans="1:9" x14ac:dyDescent="0.25">
      <c r="A606" s="8"/>
      <c r="B606" s="8"/>
      <c r="C606" s="11">
        <f>IFERROR(LOOKUP(2,1/(($B$3:$B605=B606)*($A$3:$A605&lt;A606)),$G$3:$G605),IFERROR(VLOOKUP(B606,'Inventory Master'!$A$3:$L$300,6,FALSE),0))</f>
      </c>
      <c r="D606" s="11">
        <f>SUMIFS(Purchases!$D:$D,Purchases!$A:$A,$A606,Purchases!$C:$C,$B606)</f>
      </c>
      <c r="E606" s="11">
        <f>SUMIFS('Sales Log'!$D:$D,'Sales Log'!$A:$A,$A606,'Sales Log'!$C:$C,$B606)</f>
      </c>
      <c r="F606" s="8"/>
      <c r="G606" s="8"/>
      <c r="H606" s="11">
        <f>C606+D606-E606-F606</f>
      </c>
      <c r="I606" s="11">
        <f>H606-G606</f>
      </c>
    </row>
    <row r="607" ht="21" customHeight="1" spans="1:9" x14ac:dyDescent="0.25">
      <c r="A607" s="8"/>
      <c r="B607" s="8"/>
      <c r="C607" s="11">
        <f>IFERROR(LOOKUP(2,1/(($B$3:$B606=B607)*($A$3:$A606&lt;A607)),$G$3:$G606),IFERROR(VLOOKUP(B607,'Inventory Master'!$A$3:$L$300,6,FALSE),0))</f>
      </c>
      <c r="D607" s="11">
        <f>SUMIFS(Purchases!$D:$D,Purchases!$A:$A,$A607,Purchases!$C:$C,$B607)</f>
      </c>
      <c r="E607" s="11">
        <f>SUMIFS('Sales Log'!$D:$D,'Sales Log'!$A:$A,$A607,'Sales Log'!$C:$C,$B607)</f>
      </c>
      <c r="F607" s="8"/>
      <c r="G607" s="8"/>
      <c r="H607" s="11">
        <f>C607+D607-E607-F607</f>
      </c>
      <c r="I607" s="11">
        <f>H607-G607</f>
      </c>
    </row>
    <row r="608" ht="21" customHeight="1" spans="1:9" x14ac:dyDescent="0.25">
      <c r="A608" s="8"/>
      <c r="B608" s="8"/>
      <c r="C608" s="11">
        <f>IFERROR(LOOKUP(2,1/(($B$3:$B607=B608)*($A$3:$A607&lt;A608)),$G$3:$G607),IFERROR(VLOOKUP(B608,'Inventory Master'!$A$3:$L$300,6,FALSE),0))</f>
      </c>
      <c r="D608" s="11">
        <f>SUMIFS(Purchases!$D:$D,Purchases!$A:$A,$A608,Purchases!$C:$C,$B608)</f>
      </c>
      <c r="E608" s="11">
        <f>SUMIFS('Sales Log'!$D:$D,'Sales Log'!$A:$A,$A608,'Sales Log'!$C:$C,$B608)</f>
      </c>
      <c r="F608" s="8"/>
      <c r="G608" s="8"/>
      <c r="H608" s="11">
        <f>C608+D608-E608-F608</f>
      </c>
      <c r="I608" s="11">
        <f>H608-G608</f>
      </c>
    </row>
    <row r="609" ht="21" customHeight="1" spans="1:9" x14ac:dyDescent="0.25">
      <c r="A609" s="8"/>
      <c r="B609" s="8"/>
      <c r="C609" s="11">
        <f>IFERROR(LOOKUP(2,1/(($B$3:$B608=B609)*($A$3:$A608&lt;A609)),$G$3:$G608),IFERROR(VLOOKUP(B609,'Inventory Master'!$A$3:$L$300,6,FALSE),0))</f>
      </c>
      <c r="D609" s="11">
        <f>SUMIFS(Purchases!$D:$D,Purchases!$A:$A,$A609,Purchases!$C:$C,$B609)</f>
      </c>
      <c r="E609" s="11">
        <f>SUMIFS('Sales Log'!$D:$D,'Sales Log'!$A:$A,$A609,'Sales Log'!$C:$C,$B609)</f>
      </c>
      <c r="F609" s="8"/>
      <c r="G609" s="8"/>
      <c r="H609" s="11">
        <f>C609+D609-E609-F609</f>
      </c>
      <c r="I609" s="11">
        <f>H609-G609</f>
      </c>
    </row>
    <row r="610" ht="21" customHeight="1" spans="1:9" x14ac:dyDescent="0.25">
      <c r="A610" s="8"/>
      <c r="B610" s="8"/>
      <c r="C610" s="11">
        <f>IFERROR(LOOKUP(2,1/(($B$3:$B609=B610)*($A$3:$A609&lt;A610)),$G$3:$G609),IFERROR(VLOOKUP(B610,'Inventory Master'!$A$3:$L$300,6,FALSE),0))</f>
      </c>
      <c r="D610" s="11">
        <f>SUMIFS(Purchases!$D:$D,Purchases!$A:$A,$A610,Purchases!$C:$C,$B610)</f>
      </c>
      <c r="E610" s="11">
        <f>SUMIFS('Sales Log'!$D:$D,'Sales Log'!$A:$A,$A610,'Sales Log'!$C:$C,$B610)</f>
      </c>
      <c r="F610" s="8"/>
      <c r="G610" s="8"/>
      <c r="H610" s="11">
        <f>C610+D610-E610-F610</f>
      </c>
      <c r="I610" s="11">
        <f>H610-G610</f>
      </c>
    </row>
    <row r="611" ht="21" customHeight="1" spans="1:9" x14ac:dyDescent="0.25">
      <c r="A611" s="8"/>
      <c r="B611" s="8"/>
      <c r="C611" s="11">
        <f>IFERROR(LOOKUP(2,1/(($B$3:$B610=B611)*($A$3:$A610&lt;A611)),$G$3:$G610),IFERROR(VLOOKUP(B611,'Inventory Master'!$A$3:$L$300,6,FALSE),0))</f>
      </c>
      <c r="D611" s="11">
        <f>SUMIFS(Purchases!$D:$D,Purchases!$A:$A,$A611,Purchases!$C:$C,$B611)</f>
      </c>
      <c r="E611" s="11">
        <f>SUMIFS('Sales Log'!$D:$D,'Sales Log'!$A:$A,$A611,'Sales Log'!$C:$C,$B611)</f>
      </c>
      <c r="F611" s="8"/>
      <c r="G611" s="8"/>
      <c r="H611" s="11">
        <f>C611+D611-E611-F611</f>
      </c>
      <c r="I611" s="11">
        <f>H611-G611</f>
      </c>
    </row>
    <row r="612" ht="21" customHeight="1" spans="1:9" x14ac:dyDescent="0.25">
      <c r="A612" s="8"/>
      <c r="B612" s="8"/>
      <c r="C612" s="11">
        <f>IFERROR(LOOKUP(2,1/(($B$3:$B611=B612)*($A$3:$A611&lt;A612)),$G$3:$G611),IFERROR(VLOOKUP(B612,'Inventory Master'!$A$3:$L$300,6,FALSE),0))</f>
      </c>
      <c r="D612" s="11">
        <f>SUMIFS(Purchases!$D:$D,Purchases!$A:$A,$A612,Purchases!$C:$C,$B612)</f>
      </c>
      <c r="E612" s="11">
        <f>SUMIFS('Sales Log'!$D:$D,'Sales Log'!$A:$A,$A612,'Sales Log'!$C:$C,$B612)</f>
      </c>
      <c r="F612" s="8"/>
      <c r="G612" s="8"/>
      <c r="H612" s="11">
        <f>C612+D612-E612-F612</f>
      </c>
      <c r="I612" s="11">
        <f>H612-G612</f>
      </c>
    </row>
    <row r="613" ht="21" customHeight="1" spans="1:9" x14ac:dyDescent="0.25">
      <c r="A613" s="8"/>
      <c r="B613" s="8"/>
      <c r="C613" s="11">
        <f>IFERROR(LOOKUP(2,1/(($B$3:$B612=B613)*($A$3:$A612&lt;A613)),$G$3:$G612),IFERROR(VLOOKUP(B613,'Inventory Master'!$A$3:$L$300,6,FALSE),0))</f>
      </c>
      <c r="D613" s="11">
        <f>SUMIFS(Purchases!$D:$D,Purchases!$A:$A,$A613,Purchases!$C:$C,$B613)</f>
      </c>
      <c r="E613" s="11">
        <f>SUMIFS('Sales Log'!$D:$D,'Sales Log'!$A:$A,$A613,'Sales Log'!$C:$C,$B613)</f>
      </c>
      <c r="F613" s="8"/>
      <c r="G613" s="8"/>
      <c r="H613" s="11">
        <f>C613+D613-E613-F613</f>
      </c>
      <c r="I613" s="11">
        <f>H613-G613</f>
      </c>
    </row>
    <row r="614" ht="21" customHeight="1" spans="1:9" x14ac:dyDescent="0.25">
      <c r="A614" s="8"/>
      <c r="B614" s="8"/>
      <c r="C614" s="11">
        <f>IFERROR(LOOKUP(2,1/(($B$3:$B613=B614)*($A$3:$A613&lt;A614)),$G$3:$G613),IFERROR(VLOOKUP(B614,'Inventory Master'!$A$3:$L$300,6,FALSE),0))</f>
      </c>
      <c r="D614" s="11">
        <f>SUMIFS(Purchases!$D:$D,Purchases!$A:$A,$A614,Purchases!$C:$C,$B614)</f>
      </c>
      <c r="E614" s="11">
        <f>SUMIFS('Sales Log'!$D:$D,'Sales Log'!$A:$A,$A614,'Sales Log'!$C:$C,$B614)</f>
      </c>
      <c r="F614" s="8"/>
      <c r="G614" s="8"/>
      <c r="H614" s="11">
        <f>C614+D614-E614-F614</f>
      </c>
      <c r="I614" s="11">
        <f>H614-G614</f>
      </c>
    </row>
    <row r="615" ht="21" customHeight="1" spans="1:9" x14ac:dyDescent="0.25">
      <c r="A615" s="8"/>
      <c r="B615" s="8"/>
      <c r="C615" s="11">
        <f>IFERROR(LOOKUP(2,1/(($B$3:$B614=B615)*($A$3:$A614&lt;A615)),$G$3:$G614),IFERROR(VLOOKUP(B615,'Inventory Master'!$A$3:$L$300,6,FALSE),0))</f>
      </c>
      <c r="D615" s="11">
        <f>SUMIFS(Purchases!$D:$D,Purchases!$A:$A,$A615,Purchases!$C:$C,$B615)</f>
      </c>
      <c r="E615" s="11">
        <f>SUMIFS('Sales Log'!$D:$D,'Sales Log'!$A:$A,$A615,'Sales Log'!$C:$C,$B615)</f>
      </c>
      <c r="F615" s="8"/>
      <c r="G615" s="8"/>
      <c r="H615" s="11">
        <f>C615+D615-E615-F615</f>
      </c>
      <c r="I615" s="11">
        <f>H615-G615</f>
      </c>
    </row>
    <row r="616" ht="21" customHeight="1" spans="1:9" x14ac:dyDescent="0.25">
      <c r="A616" s="8"/>
      <c r="B616" s="8"/>
      <c r="C616" s="11">
        <f>IFERROR(LOOKUP(2,1/(($B$3:$B615=B616)*($A$3:$A615&lt;A616)),$G$3:$G615),IFERROR(VLOOKUP(B616,'Inventory Master'!$A$3:$L$300,6,FALSE),0))</f>
      </c>
      <c r="D616" s="11">
        <f>SUMIFS(Purchases!$D:$D,Purchases!$A:$A,$A616,Purchases!$C:$C,$B616)</f>
      </c>
      <c r="E616" s="11">
        <f>SUMIFS('Sales Log'!$D:$D,'Sales Log'!$A:$A,$A616,'Sales Log'!$C:$C,$B616)</f>
      </c>
      <c r="F616" s="8"/>
      <c r="G616" s="8"/>
      <c r="H616" s="11">
        <f>C616+D616-E616-F616</f>
      </c>
      <c r="I616" s="11">
        <f>H616-G616</f>
      </c>
    </row>
    <row r="617" ht="21" customHeight="1" spans="1:9" x14ac:dyDescent="0.25">
      <c r="A617" s="8"/>
      <c r="B617" s="8"/>
      <c r="C617" s="11">
        <f>IFERROR(LOOKUP(2,1/(($B$3:$B616=B617)*($A$3:$A616&lt;A617)),$G$3:$G616),IFERROR(VLOOKUP(B617,'Inventory Master'!$A$3:$L$300,6,FALSE),0))</f>
      </c>
      <c r="D617" s="11">
        <f>SUMIFS(Purchases!$D:$D,Purchases!$A:$A,$A617,Purchases!$C:$C,$B617)</f>
      </c>
      <c r="E617" s="11">
        <f>SUMIFS('Sales Log'!$D:$D,'Sales Log'!$A:$A,$A617,'Sales Log'!$C:$C,$B617)</f>
      </c>
      <c r="F617" s="8"/>
      <c r="G617" s="8"/>
      <c r="H617" s="11">
        <f>C617+D617-E617-F617</f>
      </c>
      <c r="I617" s="11">
        <f>H617-G617</f>
      </c>
    </row>
    <row r="618" ht="21" customHeight="1" spans="1:9" x14ac:dyDescent="0.25">
      <c r="A618" s="8"/>
      <c r="B618" s="8"/>
      <c r="C618" s="11">
        <f>IFERROR(LOOKUP(2,1/(($B$3:$B617=B618)*($A$3:$A617&lt;A618)),$G$3:$G617),IFERROR(VLOOKUP(B618,'Inventory Master'!$A$3:$L$300,6,FALSE),0))</f>
      </c>
      <c r="D618" s="11">
        <f>SUMIFS(Purchases!$D:$D,Purchases!$A:$A,$A618,Purchases!$C:$C,$B618)</f>
      </c>
      <c r="E618" s="11">
        <f>SUMIFS('Sales Log'!$D:$D,'Sales Log'!$A:$A,$A618,'Sales Log'!$C:$C,$B618)</f>
      </c>
      <c r="F618" s="8"/>
      <c r="G618" s="8"/>
      <c r="H618" s="11">
        <f>C618+D618-E618-F618</f>
      </c>
      <c r="I618" s="11">
        <f>H618-G618</f>
      </c>
    </row>
    <row r="619" ht="21" customHeight="1" spans="1:9" x14ac:dyDescent="0.25">
      <c r="A619" s="8"/>
      <c r="B619" s="8"/>
      <c r="C619" s="11">
        <f>IFERROR(LOOKUP(2,1/(($B$3:$B618=B619)*($A$3:$A618&lt;A619)),$G$3:$G618),IFERROR(VLOOKUP(B619,'Inventory Master'!$A$3:$L$300,6,FALSE),0))</f>
      </c>
      <c r="D619" s="11">
        <f>SUMIFS(Purchases!$D:$D,Purchases!$A:$A,$A619,Purchases!$C:$C,$B619)</f>
      </c>
      <c r="E619" s="11">
        <f>SUMIFS('Sales Log'!$D:$D,'Sales Log'!$A:$A,$A619,'Sales Log'!$C:$C,$B619)</f>
      </c>
      <c r="F619" s="8"/>
      <c r="G619" s="8"/>
      <c r="H619" s="11">
        <f>C619+D619-E619-F619</f>
      </c>
      <c r="I619" s="11">
        <f>H619-G619</f>
      </c>
    </row>
    <row r="620" ht="21" customHeight="1" spans="1:9" x14ac:dyDescent="0.25">
      <c r="A620" s="8"/>
      <c r="B620" s="8"/>
      <c r="C620" s="11">
        <f>IFERROR(LOOKUP(2,1/(($B$3:$B619=B620)*($A$3:$A619&lt;A620)),$G$3:$G619),IFERROR(VLOOKUP(B620,'Inventory Master'!$A$3:$L$300,6,FALSE),0))</f>
      </c>
      <c r="D620" s="11">
        <f>SUMIFS(Purchases!$D:$D,Purchases!$A:$A,$A620,Purchases!$C:$C,$B620)</f>
      </c>
      <c r="E620" s="11">
        <f>SUMIFS('Sales Log'!$D:$D,'Sales Log'!$A:$A,$A620,'Sales Log'!$C:$C,$B620)</f>
      </c>
      <c r="F620" s="8"/>
      <c r="G620" s="8"/>
      <c r="H620" s="11">
        <f>C620+D620-E620-F620</f>
      </c>
      <c r="I620" s="11">
        <f>H620-G620</f>
      </c>
    </row>
    <row r="621" ht="21" customHeight="1" spans="1:9" x14ac:dyDescent="0.25">
      <c r="A621" s="8"/>
      <c r="B621" s="8"/>
      <c r="C621" s="11">
        <f>IFERROR(LOOKUP(2,1/(($B$3:$B620=B621)*($A$3:$A620&lt;A621)),$G$3:$G620),IFERROR(VLOOKUP(B621,'Inventory Master'!$A$3:$L$300,6,FALSE),0))</f>
      </c>
      <c r="D621" s="11">
        <f>SUMIFS(Purchases!$D:$D,Purchases!$A:$A,$A621,Purchases!$C:$C,$B621)</f>
      </c>
      <c r="E621" s="11">
        <f>SUMIFS('Sales Log'!$D:$D,'Sales Log'!$A:$A,$A621,'Sales Log'!$C:$C,$B621)</f>
      </c>
      <c r="F621" s="8"/>
      <c r="G621" s="8"/>
      <c r="H621" s="11">
        <f>C621+D621-E621-F621</f>
      </c>
      <c r="I621" s="11">
        <f>H621-G621</f>
      </c>
    </row>
    <row r="622" ht="21" customHeight="1" spans="1:9" x14ac:dyDescent="0.25">
      <c r="A622" s="8"/>
      <c r="B622" s="8"/>
      <c r="C622" s="11">
        <f>IFERROR(LOOKUP(2,1/(($B$3:$B621=B622)*($A$3:$A621&lt;A622)),$G$3:$G621),IFERROR(VLOOKUP(B622,'Inventory Master'!$A$3:$L$300,6,FALSE),0))</f>
      </c>
      <c r="D622" s="11">
        <f>SUMIFS(Purchases!$D:$D,Purchases!$A:$A,$A622,Purchases!$C:$C,$B622)</f>
      </c>
      <c r="E622" s="11">
        <f>SUMIFS('Sales Log'!$D:$D,'Sales Log'!$A:$A,$A622,'Sales Log'!$C:$C,$B622)</f>
      </c>
      <c r="F622" s="8"/>
      <c r="G622" s="8"/>
      <c r="H622" s="11">
        <f>C622+D622-E622-F622</f>
      </c>
      <c r="I622" s="11">
        <f>H622-G622</f>
      </c>
    </row>
    <row r="623" ht="21" customHeight="1" spans="1:9" x14ac:dyDescent="0.25">
      <c r="A623" s="8"/>
      <c r="B623" s="8"/>
      <c r="C623" s="11">
        <f>IFERROR(LOOKUP(2,1/(($B$3:$B622=B623)*($A$3:$A622&lt;A623)),$G$3:$G622),IFERROR(VLOOKUP(B623,'Inventory Master'!$A$3:$L$300,6,FALSE),0))</f>
      </c>
      <c r="D623" s="11">
        <f>SUMIFS(Purchases!$D:$D,Purchases!$A:$A,$A623,Purchases!$C:$C,$B623)</f>
      </c>
      <c r="E623" s="11">
        <f>SUMIFS('Sales Log'!$D:$D,'Sales Log'!$A:$A,$A623,'Sales Log'!$C:$C,$B623)</f>
      </c>
      <c r="F623" s="8"/>
      <c r="G623" s="8"/>
      <c r="H623" s="11">
        <f>C623+D623-E623-F623</f>
      </c>
      <c r="I623" s="11">
        <f>H623-G623</f>
      </c>
    </row>
    <row r="624" ht="21" customHeight="1" spans="1:9" x14ac:dyDescent="0.25">
      <c r="A624" s="8"/>
      <c r="B624" s="8"/>
      <c r="C624" s="11">
        <f>IFERROR(LOOKUP(2,1/(($B$3:$B623=B624)*($A$3:$A623&lt;A624)),$G$3:$G623),IFERROR(VLOOKUP(B624,'Inventory Master'!$A$3:$L$300,6,FALSE),0))</f>
      </c>
      <c r="D624" s="11">
        <f>SUMIFS(Purchases!$D:$D,Purchases!$A:$A,$A624,Purchases!$C:$C,$B624)</f>
      </c>
      <c r="E624" s="11">
        <f>SUMIFS('Sales Log'!$D:$D,'Sales Log'!$A:$A,$A624,'Sales Log'!$C:$C,$B624)</f>
      </c>
      <c r="F624" s="8"/>
      <c r="G624" s="8"/>
      <c r="H624" s="11">
        <f>C624+D624-E624-F624</f>
      </c>
      <c r="I624" s="11">
        <f>H624-G624</f>
      </c>
    </row>
    <row r="625" ht="21" customHeight="1" spans="1:9" x14ac:dyDescent="0.25">
      <c r="A625" s="8"/>
      <c r="B625" s="8"/>
      <c r="C625" s="11">
        <f>IFERROR(LOOKUP(2,1/(($B$3:$B624=B625)*($A$3:$A624&lt;A625)),$G$3:$G624),IFERROR(VLOOKUP(B625,'Inventory Master'!$A$3:$L$300,6,FALSE),0))</f>
      </c>
      <c r="D625" s="11">
        <f>SUMIFS(Purchases!$D:$D,Purchases!$A:$A,$A625,Purchases!$C:$C,$B625)</f>
      </c>
      <c r="E625" s="11">
        <f>SUMIFS('Sales Log'!$D:$D,'Sales Log'!$A:$A,$A625,'Sales Log'!$C:$C,$B625)</f>
      </c>
      <c r="F625" s="8"/>
      <c r="G625" s="8"/>
      <c r="H625" s="11">
        <f>C625+D625-E625-F625</f>
      </c>
      <c r="I625" s="11">
        <f>H625-G625</f>
      </c>
    </row>
    <row r="626" ht="21" customHeight="1" spans="1:9" x14ac:dyDescent="0.25">
      <c r="A626" s="8"/>
      <c r="B626" s="8"/>
      <c r="C626" s="11">
        <f>IFERROR(LOOKUP(2,1/(($B$3:$B625=B626)*($A$3:$A625&lt;A626)),$G$3:$G625),IFERROR(VLOOKUP(B626,'Inventory Master'!$A$3:$L$300,6,FALSE),0))</f>
      </c>
      <c r="D626" s="11">
        <f>SUMIFS(Purchases!$D:$D,Purchases!$A:$A,$A626,Purchases!$C:$C,$B626)</f>
      </c>
      <c r="E626" s="11">
        <f>SUMIFS('Sales Log'!$D:$D,'Sales Log'!$A:$A,$A626,'Sales Log'!$C:$C,$B626)</f>
      </c>
      <c r="F626" s="8"/>
      <c r="G626" s="8"/>
      <c r="H626" s="11">
        <f>C626+D626-E626-F626</f>
      </c>
      <c r="I626" s="11">
        <f>H626-G626</f>
      </c>
    </row>
    <row r="627" ht="21" customHeight="1" spans="1:9" x14ac:dyDescent="0.25">
      <c r="A627" s="8"/>
      <c r="B627" s="8"/>
      <c r="C627" s="11">
        <f>IFERROR(LOOKUP(2,1/(($B$3:$B626=B627)*($A$3:$A626&lt;A627)),$G$3:$G626),IFERROR(VLOOKUP(B627,'Inventory Master'!$A$3:$L$300,6,FALSE),0))</f>
      </c>
      <c r="D627" s="11">
        <f>SUMIFS(Purchases!$D:$D,Purchases!$A:$A,$A627,Purchases!$C:$C,$B627)</f>
      </c>
      <c r="E627" s="11">
        <f>SUMIFS('Sales Log'!$D:$D,'Sales Log'!$A:$A,$A627,'Sales Log'!$C:$C,$B627)</f>
      </c>
      <c r="F627" s="8"/>
      <c r="G627" s="8"/>
      <c r="H627" s="11">
        <f>C627+D627-E627-F627</f>
      </c>
      <c r="I627" s="11">
        <f>H627-G627</f>
      </c>
    </row>
    <row r="628" ht="21" customHeight="1" spans="1:9" x14ac:dyDescent="0.25">
      <c r="A628" s="8"/>
      <c r="B628" s="8"/>
      <c r="C628" s="11">
        <f>IFERROR(LOOKUP(2,1/(($B$3:$B627=B628)*($A$3:$A627&lt;A628)),$G$3:$G627),IFERROR(VLOOKUP(B628,'Inventory Master'!$A$3:$L$300,6,FALSE),0))</f>
      </c>
      <c r="D628" s="11">
        <f>SUMIFS(Purchases!$D:$D,Purchases!$A:$A,$A628,Purchases!$C:$C,$B628)</f>
      </c>
      <c r="E628" s="11">
        <f>SUMIFS('Sales Log'!$D:$D,'Sales Log'!$A:$A,$A628,'Sales Log'!$C:$C,$B628)</f>
      </c>
      <c r="F628" s="8"/>
      <c r="G628" s="8"/>
      <c r="H628" s="11">
        <f>C628+D628-E628-F628</f>
      </c>
      <c r="I628" s="11">
        <f>H628-G628</f>
      </c>
    </row>
    <row r="629" ht="21" customHeight="1" spans="1:9" x14ac:dyDescent="0.25">
      <c r="A629" s="8"/>
      <c r="B629" s="8"/>
      <c r="C629" s="11">
        <f>IFERROR(LOOKUP(2,1/(($B$3:$B628=B629)*($A$3:$A628&lt;A629)),$G$3:$G628),IFERROR(VLOOKUP(B629,'Inventory Master'!$A$3:$L$300,6,FALSE),0))</f>
      </c>
      <c r="D629" s="11">
        <f>SUMIFS(Purchases!$D:$D,Purchases!$A:$A,$A629,Purchases!$C:$C,$B629)</f>
      </c>
      <c r="E629" s="11">
        <f>SUMIFS('Sales Log'!$D:$D,'Sales Log'!$A:$A,$A629,'Sales Log'!$C:$C,$B629)</f>
      </c>
      <c r="F629" s="8"/>
      <c r="G629" s="8"/>
      <c r="H629" s="11">
        <f>C629+D629-E629-F629</f>
      </c>
      <c r="I629" s="11">
        <f>H629-G629</f>
      </c>
    </row>
    <row r="630" ht="21" customHeight="1" spans="1:9" x14ac:dyDescent="0.25">
      <c r="A630" s="8"/>
      <c r="B630" s="8"/>
      <c r="C630" s="11">
        <f>IFERROR(LOOKUP(2,1/(($B$3:$B629=B630)*($A$3:$A629&lt;A630)),$G$3:$G629),IFERROR(VLOOKUP(B630,'Inventory Master'!$A$3:$L$300,6,FALSE),0))</f>
      </c>
      <c r="D630" s="11">
        <f>SUMIFS(Purchases!$D:$D,Purchases!$A:$A,$A630,Purchases!$C:$C,$B630)</f>
      </c>
      <c r="E630" s="11">
        <f>SUMIFS('Sales Log'!$D:$D,'Sales Log'!$A:$A,$A630,'Sales Log'!$C:$C,$B630)</f>
      </c>
      <c r="F630" s="8"/>
      <c r="G630" s="8"/>
      <c r="H630" s="11">
        <f>C630+D630-E630-F630</f>
      </c>
      <c r="I630" s="11">
        <f>H630-G630</f>
      </c>
    </row>
    <row r="631" ht="21" customHeight="1" spans="1:9" x14ac:dyDescent="0.25">
      <c r="A631" s="8"/>
      <c r="B631" s="8"/>
      <c r="C631" s="11">
        <f>IFERROR(LOOKUP(2,1/(($B$3:$B630=B631)*($A$3:$A630&lt;A631)),$G$3:$G630),IFERROR(VLOOKUP(B631,'Inventory Master'!$A$3:$L$300,6,FALSE),0))</f>
      </c>
      <c r="D631" s="11">
        <f>SUMIFS(Purchases!$D:$D,Purchases!$A:$A,$A631,Purchases!$C:$C,$B631)</f>
      </c>
      <c r="E631" s="11">
        <f>SUMIFS('Sales Log'!$D:$D,'Sales Log'!$A:$A,$A631,'Sales Log'!$C:$C,$B631)</f>
      </c>
      <c r="F631" s="8"/>
      <c r="G631" s="8"/>
      <c r="H631" s="11">
        <f>C631+D631-E631-F631</f>
      </c>
      <c r="I631" s="11">
        <f>H631-G631</f>
      </c>
    </row>
    <row r="632" ht="21" customHeight="1" spans="1:9" x14ac:dyDescent="0.25">
      <c r="A632" s="8"/>
      <c r="B632" s="8"/>
      <c r="C632" s="11">
        <f>IFERROR(LOOKUP(2,1/(($B$3:$B631=B632)*($A$3:$A631&lt;A632)),$G$3:$G631),IFERROR(VLOOKUP(B632,'Inventory Master'!$A$3:$L$300,6,FALSE),0))</f>
      </c>
      <c r="D632" s="11">
        <f>SUMIFS(Purchases!$D:$D,Purchases!$A:$A,$A632,Purchases!$C:$C,$B632)</f>
      </c>
      <c r="E632" s="11">
        <f>SUMIFS('Sales Log'!$D:$D,'Sales Log'!$A:$A,$A632,'Sales Log'!$C:$C,$B632)</f>
      </c>
      <c r="F632" s="8"/>
      <c r="G632" s="8"/>
      <c r="H632" s="11">
        <f>C632+D632-E632-F632</f>
      </c>
      <c r="I632" s="11">
        <f>H632-G632</f>
      </c>
    </row>
    <row r="633" ht="21" customHeight="1" spans="1:9" x14ac:dyDescent="0.25">
      <c r="A633" s="8"/>
      <c r="B633" s="8"/>
      <c r="C633" s="11">
        <f>IFERROR(LOOKUP(2,1/(($B$3:$B632=B633)*($A$3:$A632&lt;A633)),$G$3:$G632),IFERROR(VLOOKUP(B633,'Inventory Master'!$A$3:$L$300,6,FALSE),0))</f>
      </c>
      <c r="D633" s="11">
        <f>SUMIFS(Purchases!$D:$D,Purchases!$A:$A,$A633,Purchases!$C:$C,$B633)</f>
      </c>
      <c r="E633" s="11">
        <f>SUMIFS('Sales Log'!$D:$D,'Sales Log'!$A:$A,$A633,'Sales Log'!$C:$C,$B633)</f>
      </c>
      <c r="F633" s="8"/>
      <c r="G633" s="8"/>
      <c r="H633" s="11">
        <f>C633+D633-E633-F633</f>
      </c>
      <c r="I633" s="11">
        <f>H633-G633</f>
      </c>
    </row>
    <row r="634" ht="21" customHeight="1" spans="1:9" x14ac:dyDescent="0.25">
      <c r="A634" s="8"/>
      <c r="B634" s="8"/>
      <c r="C634" s="11">
        <f>IFERROR(LOOKUP(2,1/(($B$3:$B633=B634)*($A$3:$A633&lt;A634)),$G$3:$G633),IFERROR(VLOOKUP(B634,'Inventory Master'!$A$3:$L$300,6,FALSE),0))</f>
      </c>
      <c r="D634" s="11">
        <f>SUMIFS(Purchases!$D:$D,Purchases!$A:$A,$A634,Purchases!$C:$C,$B634)</f>
      </c>
      <c r="E634" s="11">
        <f>SUMIFS('Sales Log'!$D:$D,'Sales Log'!$A:$A,$A634,'Sales Log'!$C:$C,$B634)</f>
      </c>
      <c r="F634" s="8"/>
      <c r="G634" s="8"/>
      <c r="H634" s="11">
        <f>C634+D634-E634-F634</f>
      </c>
      <c r="I634" s="11">
        <f>H634-G634</f>
      </c>
    </row>
    <row r="635" ht="21" customHeight="1" spans="1:9" x14ac:dyDescent="0.25">
      <c r="A635" s="8"/>
      <c r="B635" s="8"/>
      <c r="C635" s="11">
        <f>IFERROR(LOOKUP(2,1/(($B$3:$B634=B635)*($A$3:$A634&lt;A635)),$G$3:$G634),IFERROR(VLOOKUP(B635,'Inventory Master'!$A$3:$L$300,6,FALSE),0))</f>
      </c>
      <c r="D635" s="11">
        <f>SUMIFS(Purchases!$D:$D,Purchases!$A:$A,$A635,Purchases!$C:$C,$B635)</f>
      </c>
      <c r="E635" s="11">
        <f>SUMIFS('Sales Log'!$D:$D,'Sales Log'!$A:$A,$A635,'Sales Log'!$C:$C,$B635)</f>
      </c>
      <c r="F635" s="8"/>
      <c r="G635" s="8"/>
      <c r="H635" s="11">
        <f>C635+D635-E635-F635</f>
      </c>
      <c r="I635" s="11">
        <f>H635-G635</f>
      </c>
    </row>
    <row r="636" ht="21" customHeight="1" spans="1:9" x14ac:dyDescent="0.25">
      <c r="A636" s="8"/>
      <c r="B636" s="8"/>
      <c r="C636" s="11">
        <f>IFERROR(LOOKUP(2,1/(($B$3:$B635=B636)*($A$3:$A635&lt;A636)),$G$3:$G635),IFERROR(VLOOKUP(B636,'Inventory Master'!$A$3:$L$300,6,FALSE),0))</f>
      </c>
      <c r="D636" s="11">
        <f>SUMIFS(Purchases!$D:$D,Purchases!$A:$A,$A636,Purchases!$C:$C,$B636)</f>
      </c>
      <c r="E636" s="11">
        <f>SUMIFS('Sales Log'!$D:$D,'Sales Log'!$A:$A,$A636,'Sales Log'!$C:$C,$B636)</f>
      </c>
      <c r="F636" s="8"/>
      <c r="G636" s="8"/>
      <c r="H636" s="11">
        <f>C636+D636-E636-F636</f>
      </c>
      <c r="I636" s="11">
        <f>H636-G636</f>
      </c>
    </row>
    <row r="637" ht="21" customHeight="1" spans="1:9" x14ac:dyDescent="0.25">
      <c r="A637" s="8"/>
      <c r="B637" s="8"/>
      <c r="C637" s="11">
        <f>IFERROR(LOOKUP(2,1/(($B$3:$B636=B637)*($A$3:$A636&lt;A637)),$G$3:$G636),IFERROR(VLOOKUP(B637,'Inventory Master'!$A$3:$L$300,6,FALSE),0))</f>
      </c>
      <c r="D637" s="11">
        <f>SUMIFS(Purchases!$D:$D,Purchases!$A:$A,$A637,Purchases!$C:$C,$B637)</f>
      </c>
      <c r="E637" s="11">
        <f>SUMIFS('Sales Log'!$D:$D,'Sales Log'!$A:$A,$A637,'Sales Log'!$C:$C,$B637)</f>
      </c>
      <c r="F637" s="8"/>
      <c r="G637" s="8"/>
      <c r="H637" s="11">
        <f>C637+D637-E637-F637</f>
      </c>
      <c r="I637" s="11">
        <f>H637-G637</f>
      </c>
    </row>
    <row r="638" ht="21" customHeight="1" spans="1:9" x14ac:dyDescent="0.25">
      <c r="A638" s="8"/>
      <c r="B638" s="8"/>
      <c r="C638" s="11">
        <f>IFERROR(LOOKUP(2,1/(($B$3:$B637=B638)*($A$3:$A637&lt;A638)),$G$3:$G637),IFERROR(VLOOKUP(B638,'Inventory Master'!$A$3:$L$300,6,FALSE),0))</f>
      </c>
      <c r="D638" s="11">
        <f>SUMIFS(Purchases!$D:$D,Purchases!$A:$A,$A638,Purchases!$C:$C,$B638)</f>
      </c>
      <c r="E638" s="11">
        <f>SUMIFS('Sales Log'!$D:$D,'Sales Log'!$A:$A,$A638,'Sales Log'!$C:$C,$B638)</f>
      </c>
      <c r="F638" s="8"/>
      <c r="G638" s="8"/>
      <c r="H638" s="11">
        <f>C638+D638-E638-F638</f>
      </c>
      <c r="I638" s="11">
        <f>H638-G638</f>
      </c>
    </row>
    <row r="639" ht="21" customHeight="1" spans="1:9" x14ac:dyDescent="0.25">
      <c r="A639" s="8"/>
      <c r="B639" s="8"/>
      <c r="C639" s="11">
        <f>IFERROR(LOOKUP(2,1/(($B$3:$B638=B639)*($A$3:$A638&lt;A639)),$G$3:$G638),IFERROR(VLOOKUP(B639,'Inventory Master'!$A$3:$L$300,6,FALSE),0))</f>
      </c>
      <c r="D639" s="11">
        <f>SUMIFS(Purchases!$D:$D,Purchases!$A:$A,$A639,Purchases!$C:$C,$B639)</f>
      </c>
      <c r="E639" s="11">
        <f>SUMIFS('Sales Log'!$D:$D,'Sales Log'!$A:$A,$A639,'Sales Log'!$C:$C,$B639)</f>
      </c>
      <c r="F639" s="8"/>
      <c r="G639" s="8"/>
      <c r="H639" s="11">
        <f>C639+D639-E639-F639</f>
      </c>
      <c r="I639" s="11">
        <f>H639-G639</f>
      </c>
    </row>
    <row r="640" ht="21" customHeight="1" spans="1:9" x14ac:dyDescent="0.25">
      <c r="A640" s="8"/>
      <c r="B640" s="8"/>
      <c r="C640" s="11">
        <f>IFERROR(LOOKUP(2,1/(($B$3:$B639=B640)*($A$3:$A639&lt;A640)),$G$3:$G639),IFERROR(VLOOKUP(B640,'Inventory Master'!$A$3:$L$300,6,FALSE),0))</f>
      </c>
      <c r="D640" s="11">
        <f>SUMIFS(Purchases!$D:$D,Purchases!$A:$A,$A640,Purchases!$C:$C,$B640)</f>
      </c>
      <c r="E640" s="11">
        <f>SUMIFS('Sales Log'!$D:$D,'Sales Log'!$A:$A,$A640,'Sales Log'!$C:$C,$B640)</f>
      </c>
      <c r="F640" s="8"/>
      <c r="G640" s="8"/>
      <c r="H640" s="11">
        <f>C640+D640-E640-F640</f>
      </c>
      <c r="I640" s="11">
        <f>H640-G640</f>
      </c>
    </row>
    <row r="641" ht="21" customHeight="1" spans="1:9" x14ac:dyDescent="0.25">
      <c r="A641" s="8"/>
      <c r="B641" s="8"/>
      <c r="C641" s="11">
        <f>IFERROR(LOOKUP(2,1/(($B$3:$B640=B641)*($A$3:$A640&lt;A641)),$G$3:$G640),IFERROR(VLOOKUP(B641,'Inventory Master'!$A$3:$L$300,6,FALSE),0))</f>
      </c>
      <c r="D641" s="11">
        <f>SUMIFS(Purchases!$D:$D,Purchases!$A:$A,$A641,Purchases!$C:$C,$B641)</f>
      </c>
      <c r="E641" s="11">
        <f>SUMIFS('Sales Log'!$D:$D,'Sales Log'!$A:$A,$A641,'Sales Log'!$C:$C,$B641)</f>
      </c>
      <c r="F641" s="8"/>
      <c r="G641" s="8"/>
      <c r="H641" s="11">
        <f>C641+D641-E641-F641</f>
      </c>
      <c r="I641" s="11">
        <f>H641-G641</f>
      </c>
    </row>
    <row r="642" ht="21" customHeight="1" spans="1:9" x14ac:dyDescent="0.25">
      <c r="A642" s="8"/>
      <c r="B642" s="8"/>
      <c r="C642" s="11">
        <f>IFERROR(LOOKUP(2,1/(($B$3:$B641=B642)*($A$3:$A641&lt;A642)),$G$3:$G641),IFERROR(VLOOKUP(B642,'Inventory Master'!$A$3:$L$300,6,FALSE),0))</f>
      </c>
      <c r="D642" s="11">
        <f>SUMIFS(Purchases!$D:$D,Purchases!$A:$A,$A642,Purchases!$C:$C,$B642)</f>
      </c>
      <c r="E642" s="11">
        <f>SUMIFS('Sales Log'!$D:$D,'Sales Log'!$A:$A,$A642,'Sales Log'!$C:$C,$B642)</f>
      </c>
      <c r="F642" s="8"/>
      <c r="G642" s="8"/>
      <c r="H642" s="11">
        <f>C642+D642-E642-F642</f>
      </c>
      <c r="I642" s="11">
        <f>H642-G642</f>
      </c>
    </row>
    <row r="643" ht="21" customHeight="1" spans="1:9" x14ac:dyDescent="0.25">
      <c r="A643" s="8"/>
      <c r="B643" s="8"/>
      <c r="C643" s="11">
        <f>IFERROR(LOOKUP(2,1/(($B$3:$B642=B643)*($A$3:$A642&lt;A643)),$G$3:$G642),IFERROR(VLOOKUP(B643,'Inventory Master'!$A$3:$L$300,6,FALSE),0))</f>
      </c>
      <c r="D643" s="11">
        <f>SUMIFS(Purchases!$D:$D,Purchases!$A:$A,$A643,Purchases!$C:$C,$B643)</f>
      </c>
      <c r="E643" s="11">
        <f>SUMIFS('Sales Log'!$D:$D,'Sales Log'!$A:$A,$A643,'Sales Log'!$C:$C,$B643)</f>
      </c>
      <c r="F643" s="8"/>
      <c r="G643" s="8"/>
      <c r="H643" s="11">
        <f>C643+D643-E643-F643</f>
      </c>
      <c r="I643" s="11">
        <f>H643-G643</f>
      </c>
    </row>
    <row r="644" ht="21" customHeight="1" spans="1:9" x14ac:dyDescent="0.25">
      <c r="A644" s="8"/>
      <c r="B644" s="8"/>
      <c r="C644" s="11">
        <f>IFERROR(LOOKUP(2,1/(($B$3:$B643=B644)*($A$3:$A643&lt;A644)),$G$3:$G643),IFERROR(VLOOKUP(B644,'Inventory Master'!$A$3:$L$300,6,FALSE),0))</f>
      </c>
      <c r="D644" s="11">
        <f>SUMIFS(Purchases!$D:$D,Purchases!$A:$A,$A644,Purchases!$C:$C,$B644)</f>
      </c>
      <c r="E644" s="11">
        <f>SUMIFS('Sales Log'!$D:$D,'Sales Log'!$A:$A,$A644,'Sales Log'!$C:$C,$B644)</f>
      </c>
      <c r="F644" s="8"/>
      <c r="G644" s="8"/>
      <c r="H644" s="11">
        <f>C644+D644-E644-F644</f>
      </c>
      <c r="I644" s="11">
        <f>H644-G644</f>
      </c>
    </row>
    <row r="645" ht="21" customHeight="1" spans="1:9" x14ac:dyDescent="0.25">
      <c r="A645" s="8"/>
      <c r="B645" s="8"/>
      <c r="C645" s="11">
        <f>IFERROR(LOOKUP(2,1/(($B$3:$B644=B645)*($A$3:$A644&lt;A645)),$G$3:$G644),IFERROR(VLOOKUP(B645,'Inventory Master'!$A$3:$L$300,6,FALSE),0))</f>
      </c>
      <c r="D645" s="11">
        <f>SUMIFS(Purchases!$D:$D,Purchases!$A:$A,$A645,Purchases!$C:$C,$B645)</f>
      </c>
      <c r="E645" s="11">
        <f>SUMIFS('Sales Log'!$D:$D,'Sales Log'!$A:$A,$A645,'Sales Log'!$C:$C,$B645)</f>
      </c>
      <c r="F645" s="8"/>
      <c r="G645" s="8"/>
      <c r="H645" s="11">
        <f>C645+D645-E645-F645</f>
      </c>
      <c r="I645" s="11">
        <f>H645-G645</f>
      </c>
    </row>
    <row r="646" ht="21" customHeight="1" spans="1:9" x14ac:dyDescent="0.25">
      <c r="A646" s="8"/>
      <c r="B646" s="8"/>
      <c r="C646" s="11">
        <f>IFERROR(LOOKUP(2,1/(($B$3:$B645=B646)*($A$3:$A645&lt;A646)),$G$3:$G645),IFERROR(VLOOKUP(B646,'Inventory Master'!$A$3:$L$300,6,FALSE),0))</f>
      </c>
      <c r="D646" s="11">
        <f>SUMIFS(Purchases!$D:$D,Purchases!$A:$A,$A646,Purchases!$C:$C,$B646)</f>
      </c>
      <c r="E646" s="11">
        <f>SUMIFS('Sales Log'!$D:$D,'Sales Log'!$A:$A,$A646,'Sales Log'!$C:$C,$B646)</f>
      </c>
      <c r="F646" s="8"/>
      <c r="G646" s="8"/>
      <c r="H646" s="11">
        <f>C646+D646-E646-F646</f>
      </c>
      <c r="I646" s="11">
        <f>H646-G646</f>
      </c>
    </row>
    <row r="647" ht="21" customHeight="1" spans="1:9" x14ac:dyDescent="0.25">
      <c r="A647" s="8"/>
      <c r="B647" s="8"/>
      <c r="C647" s="11">
        <f>IFERROR(LOOKUP(2,1/(($B$3:$B646=B647)*($A$3:$A646&lt;A647)),$G$3:$G646),IFERROR(VLOOKUP(B647,'Inventory Master'!$A$3:$L$300,6,FALSE),0))</f>
      </c>
      <c r="D647" s="11">
        <f>SUMIFS(Purchases!$D:$D,Purchases!$A:$A,$A647,Purchases!$C:$C,$B647)</f>
      </c>
      <c r="E647" s="11">
        <f>SUMIFS('Sales Log'!$D:$D,'Sales Log'!$A:$A,$A647,'Sales Log'!$C:$C,$B647)</f>
      </c>
      <c r="F647" s="8"/>
      <c r="G647" s="8"/>
      <c r="H647" s="11">
        <f>C647+D647-E647-F647</f>
      </c>
      <c r="I647" s="11">
        <f>H647-G647</f>
      </c>
    </row>
    <row r="648" ht="21" customHeight="1" spans="1:9" x14ac:dyDescent="0.25">
      <c r="A648" s="8"/>
      <c r="B648" s="8"/>
      <c r="C648" s="11">
        <f>IFERROR(LOOKUP(2,1/(($B$3:$B647=B648)*($A$3:$A647&lt;A648)),$G$3:$G647),IFERROR(VLOOKUP(B648,'Inventory Master'!$A$3:$L$300,6,FALSE),0))</f>
      </c>
      <c r="D648" s="11">
        <f>SUMIFS(Purchases!$D:$D,Purchases!$A:$A,$A648,Purchases!$C:$C,$B648)</f>
      </c>
      <c r="E648" s="11">
        <f>SUMIFS('Sales Log'!$D:$D,'Sales Log'!$A:$A,$A648,'Sales Log'!$C:$C,$B648)</f>
      </c>
      <c r="F648" s="8"/>
      <c r="G648" s="8"/>
      <c r="H648" s="11">
        <f>C648+D648-E648-F648</f>
      </c>
      <c r="I648" s="11">
        <f>H648-G648</f>
      </c>
    </row>
    <row r="649" ht="21" customHeight="1" spans="1:9" x14ac:dyDescent="0.25">
      <c r="A649" s="8"/>
      <c r="B649" s="8"/>
      <c r="C649" s="11">
        <f>IFERROR(LOOKUP(2,1/(($B$3:$B648=B649)*($A$3:$A648&lt;A649)),$G$3:$G648),IFERROR(VLOOKUP(B649,'Inventory Master'!$A$3:$L$300,6,FALSE),0))</f>
      </c>
      <c r="D649" s="11">
        <f>SUMIFS(Purchases!$D:$D,Purchases!$A:$A,$A649,Purchases!$C:$C,$B649)</f>
      </c>
      <c r="E649" s="11">
        <f>SUMIFS('Sales Log'!$D:$D,'Sales Log'!$A:$A,$A649,'Sales Log'!$C:$C,$B649)</f>
      </c>
      <c r="F649" s="8"/>
      <c r="G649" s="8"/>
      <c r="H649" s="11">
        <f>C649+D649-E649-F649</f>
      </c>
      <c r="I649" s="11">
        <f>H649-G649</f>
      </c>
    </row>
    <row r="650" ht="21" customHeight="1" spans="1:9" x14ac:dyDescent="0.25">
      <c r="A650" s="8"/>
      <c r="B650" s="8"/>
      <c r="C650" s="11">
        <f>IFERROR(LOOKUP(2,1/(($B$3:$B649=B650)*($A$3:$A649&lt;A650)),$G$3:$G649),IFERROR(VLOOKUP(B650,'Inventory Master'!$A$3:$L$300,6,FALSE),0))</f>
      </c>
      <c r="D650" s="11">
        <f>SUMIFS(Purchases!$D:$D,Purchases!$A:$A,$A650,Purchases!$C:$C,$B650)</f>
      </c>
      <c r="E650" s="11">
        <f>SUMIFS('Sales Log'!$D:$D,'Sales Log'!$A:$A,$A650,'Sales Log'!$C:$C,$B650)</f>
      </c>
      <c r="F650" s="8"/>
      <c r="G650" s="8"/>
      <c r="H650" s="11">
        <f>C650+D650-E650-F650</f>
      </c>
      <c r="I650" s="11">
        <f>H650-G650</f>
      </c>
    </row>
    <row r="651" ht="21" customHeight="1" spans="1:9" x14ac:dyDescent="0.25">
      <c r="A651" s="8"/>
      <c r="B651" s="8"/>
      <c r="C651" s="11">
        <f>IFERROR(LOOKUP(2,1/(($B$3:$B650=B651)*($A$3:$A650&lt;A651)),$G$3:$G650),IFERROR(VLOOKUP(B651,'Inventory Master'!$A$3:$L$300,6,FALSE),0))</f>
      </c>
      <c r="D651" s="11">
        <f>SUMIFS(Purchases!$D:$D,Purchases!$A:$A,$A651,Purchases!$C:$C,$B651)</f>
      </c>
      <c r="E651" s="11">
        <f>SUMIFS('Sales Log'!$D:$D,'Sales Log'!$A:$A,$A651,'Sales Log'!$C:$C,$B651)</f>
      </c>
      <c r="F651" s="8"/>
      <c r="G651" s="8"/>
      <c r="H651" s="11">
        <f>C651+D651-E651-F651</f>
      </c>
      <c r="I651" s="11">
        <f>H651-G651</f>
      </c>
    </row>
    <row r="652" ht="21" customHeight="1" spans="1:9" x14ac:dyDescent="0.25">
      <c r="A652" s="8"/>
      <c r="B652" s="8"/>
      <c r="C652" s="11">
        <f>IFERROR(LOOKUP(2,1/(($B$3:$B651=B652)*($A$3:$A651&lt;A652)),$G$3:$G651),IFERROR(VLOOKUP(B652,'Inventory Master'!$A$3:$L$300,6,FALSE),0))</f>
      </c>
      <c r="D652" s="11">
        <f>SUMIFS(Purchases!$D:$D,Purchases!$A:$A,$A652,Purchases!$C:$C,$B652)</f>
      </c>
      <c r="E652" s="11">
        <f>SUMIFS('Sales Log'!$D:$D,'Sales Log'!$A:$A,$A652,'Sales Log'!$C:$C,$B652)</f>
      </c>
      <c r="F652" s="8"/>
      <c r="G652" s="8"/>
      <c r="H652" s="11">
        <f>C652+D652-E652-F652</f>
      </c>
      <c r="I652" s="11">
        <f>H652-G652</f>
      </c>
    </row>
    <row r="653" ht="21" customHeight="1" spans="1:9" x14ac:dyDescent="0.25">
      <c r="A653" s="8"/>
      <c r="B653" s="8"/>
      <c r="C653" s="11">
        <f>IFERROR(LOOKUP(2,1/(($B$3:$B652=B653)*($A$3:$A652&lt;A653)),$G$3:$G652),IFERROR(VLOOKUP(B653,'Inventory Master'!$A$3:$L$300,6,FALSE),0))</f>
      </c>
      <c r="D653" s="11">
        <f>SUMIFS(Purchases!$D:$D,Purchases!$A:$A,$A653,Purchases!$C:$C,$B653)</f>
      </c>
      <c r="E653" s="11">
        <f>SUMIFS('Sales Log'!$D:$D,'Sales Log'!$A:$A,$A653,'Sales Log'!$C:$C,$B653)</f>
      </c>
      <c r="F653" s="8"/>
      <c r="G653" s="8"/>
      <c r="H653" s="11">
        <f>C653+D653-E653-F653</f>
      </c>
      <c r="I653" s="11">
        <f>H653-G653</f>
      </c>
    </row>
    <row r="654" ht="21" customHeight="1" spans="1:9" x14ac:dyDescent="0.25">
      <c r="A654" s="8"/>
      <c r="B654" s="8"/>
      <c r="C654" s="11">
        <f>IFERROR(LOOKUP(2,1/(($B$3:$B653=B654)*($A$3:$A653&lt;A654)),$G$3:$G653),IFERROR(VLOOKUP(B654,'Inventory Master'!$A$3:$L$300,6,FALSE),0))</f>
      </c>
      <c r="D654" s="11">
        <f>SUMIFS(Purchases!$D:$D,Purchases!$A:$A,$A654,Purchases!$C:$C,$B654)</f>
      </c>
      <c r="E654" s="11">
        <f>SUMIFS('Sales Log'!$D:$D,'Sales Log'!$A:$A,$A654,'Sales Log'!$C:$C,$B654)</f>
      </c>
      <c r="F654" s="8"/>
      <c r="G654" s="8"/>
      <c r="H654" s="11">
        <f>C654+D654-E654-F654</f>
      </c>
      <c r="I654" s="11">
        <f>H654-G654</f>
      </c>
    </row>
    <row r="655" ht="21" customHeight="1" spans="1:9" x14ac:dyDescent="0.25">
      <c r="A655" s="8"/>
      <c r="B655" s="8"/>
      <c r="C655" s="11">
        <f>IFERROR(LOOKUP(2,1/(($B$3:$B654=B655)*($A$3:$A654&lt;A655)),$G$3:$G654),IFERROR(VLOOKUP(B655,'Inventory Master'!$A$3:$L$300,6,FALSE),0))</f>
      </c>
      <c r="D655" s="11">
        <f>SUMIFS(Purchases!$D:$D,Purchases!$A:$A,$A655,Purchases!$C:$C,$B655)</f>
      </c>
      <c r="E655" s="11">
        <f>SUMIFS('Sales Log'!$D:$D,'Sales Log'!$A:$A,$A655,'Sales Log'!$C:$C,$B655)</f>
      </c>
      <c r="F655" s="8"/>
      <c r="G655" s="8"/>
      <c r="H655" s="11">
        <f>C655+D655-E655-F655</f>
      </c>
      <c r="I655" s="11">
        <f>H655-G655</f>
      </c>
    </row>
    <row r="656" ht="21" customHeight="1" spans="1:9" x14ac:dyDescent="0.25">
      <c r="A656" s="8"/>
      <c r="B656" s="8"/>
      <c r="C656" s="11">
        <f>IFERROR(LOOKUP(2,1/(($B$3:$B655=B656)*($A$3:$A655&lt;A656)),$G$3:$G655),IFERROR(VLOOKUP(B656,'Inventory Master'!$A$3:$L$300,6,FALSE),0))</f>
      </c>
      <c r="D656" s="11">
        <f>SUMIFS(Purchases!$D:$D,Purchases!$A:$A,$A656,Purchases!$C:$C,$B656)</f>
      </c>
      <c r="E656" s="11">
        <f>SUMIFS('Sales Log'!$D:$D,'Sales Log'!$A:$A,$A656,'Sales Log'!$C:$C,$B656)</f>
      </c>
      <c r="F656" s="8"/>
      <c r="G656" s="8"/>
      <c r="H656" s="11">
        <f>C656+D656-E656-F656</f>
      </c>
      <c r="I656" s="11">
        <f>H656-G656</f>
      </c>
    </row>
    <row r="657" ht="21" customHeight="1" spans="1:9" x14ac:dyDescent="0.25">
      <c r="A657" s="8"/>
      <c r="B657" s="8"/>
      <c r="C657" s="11">
        <f>IFERROR(LOOKUP(2,1/(($B$3:$B656=B657)*($A$3:$A656&lt;A657)),$G$3:$G656),IFERROR(VLOOKUP(B657,'Inventory Master'!$A$3:$L$300,6,FALSE),0))</f>
      </c>
      <c r="D657" s="11">
        <f>SUMIFS(Purchases!$D:$D,Purchases!$A:$A,$A657,Purchases!$C:$C,$B657)</f>
      </c>
      <c r="E657" s="11">
        <f>SUMIFS('Sales Log'!$D:$D,'Sales Log'!$A:$A,$A657,'Sales Log'!$C:$C,$B657)</f>
      </c>
      <c r="F657" s="8"/>
      <c r="G657" s="8"/>
      <c r="H657" s="11">
        <f>C657+D657-E657-F657</f>
      </c>
      <c r="I657" s="11">
        <f>H657-G657</f>
      </c>
    </row>
    <row r="658" ht="21" customHeight="1" spans="1:9" x14ac:dyDescent="0.25">
      <c r="A658" s="8"/>
      <c r="B658" s="8"/>
      <c r="C658" s="11">
        <f>IFERROR(LOOKUP(2,1/(($B$3:$B657=B658)*($A$3:$A657&lt;A658)),$G$3:$G657),IFERROR(VLOOKUP(B658,'Inventory Master'!$A$3:$L$300,6,FALSE),0))</f>
      </c>
      <c r="D658" s="11">
        <f>SUMIFS(Purchases!$D:$D,Purchases!$A:$A,$A658,Purchases!$C:$C,$B658)</f>
      </c>
      <c r="E658" s="11">
        <f>SUMIFS('Sales Log'!$D:$D,'Sales Log'!$A:$A,$A658,'Sales Log'!$C:$C,$B658)</f>
      </c>
      <c r="F658" s="8"/>
      <c r="G658" s="8"/>
      <c r="H658" s="11">
        <f>C658+D658-E658-F658</f>
      </c>
      <c r="I658" s="11">
        <f>H658-G658</f>
      </c>
    </row>
    <row r="659" ht="21" customHeight="1" spans="1:9" x14ac:dyDescent="0.25">
      <c r="A659" s="8"/>
      <c r="B659" s="8"/>
      <c r="C659" s="11">
        <f>IFERROR(LOOKUP(2,1/(($B$3:$B658=B659)*($A$3:$A658&lt;A659)),$G$3:$G658),IFERROR(VLOOKUP(B659,'Inventory Master'!$A$3:$L$300,6,FALSE),0))</f>
      </c>
      <c r="D659" s="11">
        <f>SUMIFS(Purchases!$D:$D,Purchases!$A:$A,$A659,Purchases!$C:$C,$B659)</f>
      </c>
      <c r="E659" s="11">
        <f>SUMIFS('Sales Log'!$D:$D,'Sales Log'!$A:$A,$A659,'Sales Log'!$C:$C,$B659)</f>
      </c>
      <c r="F659" s="8"/>
      <c r="G659" s="8"/>
      <c r="H659" s="11">
        <f>C659+D659-E659-F659</f>
      </c>
      <c r="I659" s="11">
        <f>H659-G659</f>
      </c>
    </row>
    <row r="660" ht="21" customHeight="1" spans="1:9" x14ac:dyDescent="0.25">
      <c r="A660" s="8"/>
      <c r="B660" s="8"/>
      <c r="C660" s="11">
        <f>IFERROR(LOOKUP(2,1/(($B$3:$B659=B660)*($A$3:$A659&lt;A660)),$G$3:$G659),IFERROR(VLOOKUP(B660,'Inventory Master'!$A$3:$L$300,6,FALSE),0))</f>
      </c>
      <c r="D660" s="11">
        <f>SUMIFS(Purchases!$D:$D,Purchases!$A:$A,$A660,Purchases!$C:$C,$B660)</f>
      </c>
      <c r="E660" s="11">
        <f>SUMIFS('Sales Log'!$D:$D,'Sales Log'!$A:$A,$A660,'Sales Log'!$C:$C,$B660)</f>
      </c>
      <c r="F660" s="8"/>
      <c r="G660" s="8"/>
      <c r="H660" s="11">
        <f>C660+D660-E660-F660</f>
      </c>
      <c r="I660" s="11">
        <f>H660-G660</f>
      </c>
    </row>
    <row r="661" ht="21" customHeight="1" spans="1:9" x14ac:dyDescent="0.25">
      <c r="A661" s="8"/>
      <c r="B661" s="8"/>
      <c r="C661" s="11">
        <f>IFERROR(LOOKUP(2,1/(($B$3:$B660=B661)*($A$3:$A660&lt;A661)),$G$3:$G660),IFERROR(VLOOKUP(B661,'Inventory Master'!$A$3:$L$300,6,FALSE),0))</f>
      </c>
      <c r="D661" s="11">
        <f>SUMIFS(Purchases!$D:$D,Purchases!$A:$A,$A661,Purchases!$C:$C,$B661)</f>
      </c>
      <c r="E661" s="11">
        <f>SUMIFS('Sales Log'!$D:$D,'Sales Log'!$A:$A,$A661,'Sales Log'!$C:$C,$B661)</f>
      </c>
      <c r="F661" s="8"/>
      <c r="G661" s="8"/>
      <c r="H661" s="11">
        <f>C661+D661-E661-F661</f>
      </c>
      <c r="I661" s="11">
        <f>H661-G661</f>
      </c>
    </row>
    <row r="662" ht="21" customHeight="1" spans="1:9" x14ac:dyDescent="0.25">
      <c r="A662" s="8"/>
      <c r="B662" s="8"/>
      <c r="C662" s="11">
        <f>IFERROR(LOOKUP(2,1/(($B$3:$B661=B662)*($A$3:$A661&lt;A662)),$G$3:$G661),IFERROR(VLOOKUP(B662,'Inventory Master'!$A$3:$L$300,6,FALSE),0))</f>
      </c>
      <c r="D662" s="11">
        <f>SUMIFS(Purchases!$D:$D,Purchases!$A:$A,$A662,Purchases!$C:$C,$B662)</f>
      </c>
      <c r="E662" s="11">
        <f>SUMIFS('Sales Log'!$D:$D,'Sales Log'!$A:$A,$A662,'Sales Log'!$C:$C,$B662)</f>
      </c>
      <c r="F662" s="8"/>
      <c r="G662" s="8"/>
      <c r="H662" s="11">
        <f>C662+D662-E662-F662</f>
      </c>
      <c r="I662" s="11">
        <f>H662-G662</f>
      </c>
    </row>
    <row r="663" ht="21" customHeight="1" spans="1:9" x14ac:dyDescent="0.25">
      <c r="A663" s="8"/>
      <c r="B663" s="8"/>
      <c r="C663" s="11">
        <f>IFERROR(LOOKUP(2,1/(($B$3:$B662=B663)*($A$3:$A662&lt;A663)),$G$3:$G662),IFERROR(VLOOKUP(B663,'Inventory Master'!$A$3:$L$300,6,FALSE),0))</f>
      </c>
      <c r="D663" s="11">
        <f>SUMIFS(Purchases!$D:$D,Purchases!$A:$A,$A663,Purchases!$C:$C,$B663)</f>
      </c>
      <c r="E663" s="11">
        <f>SUMIFS('Sales Log'!$D:$D,'Sales Log'!$A:$A,$A663,'Sales Log'!$C:$C,$B663)</f>
      </c>
      <c r="F663" s="8"/>
      <c r="G663" s="8"/>
      <c r="H663" s="11">
        <f>C663+D663-E663-F663</f>
      </c>
      <c r="I663" s="11">
        <f>H663-G663</f>
      </c>
    </row>
    <row r="664" ht="21" customHeight="1" spans="1:9" x14ac:dyDescent="0.25">
      <c r="A664" s="8"/>
      <c r="B664" s="8"/>
      <c r="C664" s="11">
        <f>IFERROR(LOOKUP(2,1/(($B$3:$B663=B664)*($A$3:$A663&lt;A664)),$G$3:$G663),IFERROR(VLOOKUP(B664,'Inventory Master'!$A$3:$L$300,6,FALSE),0))</f>
      </c>
      <c r="D664" s="11">
        <f>SUMIFS(Purchases!$D:$D,Purchases!$A:$A,$A664,Purchases!$C:$C,$B664)</f>
      </c>
      <c r="E664" s="11">
        <f>SUMIFS('Sales Log'!$D:$D,'Sales Log'!$A:$A,$A664,'Sales Log'!$C:$C,$B664)</f>
      </c>
      <c r="F664" s="8"/>
      <c r="G664" s="8"/>
      <c r="H664" s="11">
        <f>C664+D664-E664-F664</f>
      </c>
      <c r="I664" s="11">
        <f>H664-G664</f>
      </c>
    </row>
    <row r="665" ht="21" customHeight="1" spans="1:9" x14ac:dyDescent="0.25">
      <c r="A665" s="8"/>
      <c r="B665" s="8"/>
      <c r="C665" s="11">
        <f>IFERROR(LOOKUP(2,1/(($B$3:$B664=B665)*($A$3:$A664&lt;A665)),$G$3:$G664),IFERROR(VLOOKUP(B665,'Inventory Master'!$A$3:$L$300,6,FALSE),0))</f>
      </c>
      <c r="D665" s="11">
        <f>SUMIFS(Purchases!$D:$D,Purchases!$A:$A,$A665,Purchases!$C:$C,$B665)</f>
      </c>
      <c r="E665" s="11">
        <f>SUMIFS('Sales Log'!$D:$D,'Sales Log'!$A:$A,$A665,'Sales Log'!$C:$C,$B665)</f>
      </c>
      <c r="F665" s="8"/>
      <c r="G665" s="8"/>
      <c r="H665" s="11">
        <f>C665+D665-E665-F665</f>
      </c>
      <c r="I665" s="11">
        <f>H665-G665</f>
      </c>
    </row>
    <row r="666" ht="21" customHeight="1" spans="1:9" x14ac:dyDescent="0.25">
      <c r="A666" s="8"/>
      <c r="B666" s="8"/>
      <c r="C666" s="11">
        <f>IFERROR(LOOKUP(2,1/(($B$3:$B665=B666)*($A$3:$A665&lt;A666)),$G$3:$G665),IFERROR(VLOOKUP(B666,'Inventory Master'!$A$3:$L$300,6,FALSE),0))</f>
      </c>
      <c r="D666" s="11">
        <f>SUMIFS(Purchases!$D:$D,Purchases!$A:$A,$A666,Purchases!$C:$C,$B666)</f>
      </c>
      <c r="E666" s="11">
        <f>SUMIFS('Sales Log'!$D:$D,'Sales Log'!$A:$A,$A666,'Sales Log'!$C:$C,$B666)</f>
      </c>
      <c r="F666" s="8"/>
      <c r="G666" s="8"/>
      <c r="H666" s="11">
        <f>C666+D666-E666-F666</f>
      </c>
      <c r="I666" s="11">
        <f>H666-G666</f>
      </c>
    </row>
    <row r="667" ht="21" customHeight="1" spans="1:9" x14ac:dyDescent="0.25">
      <c r="A667" s="8"/>
      <c r="B667" s="8"/>
      <c r="C667" s="11">
        <f>IFERROR(LOOKUP(2,1/(($B$3:$B666=B667)*($A$3:$A666&lt;A667)),$G$3:$G666),IFERROR(VLOOKUP(B667,'Inventory Master'!$A$3:$L$300,6,FALSE),0))</f>
      </c>
      <c r="D667" s="11">
        <f>SUMIFS(Purchases!$D:$D,Purchases!$A:$A,$A667,Purchases!$C:$C,$B667)</f>
      </c>
      <c r="E667" s="11">
        <f>SUMIFS('Sales Log'!$D:$D,'Sales Log'!$A:$A,$A667,'Sales Log'!$C:$C,$B667)</f>
      </c>
      <c r="F667" s="8"/>
      <c r="G667" s="8"/>
      <c r="H667" s="11">
        <f>C667+D667-E667-F667</f>
      </c>
      <c r="I667" s="11">
        <f>H667-G667</f>
      </c>
    </row>
    <row r="668" ht="21" customHeight="1" spans="1:9" x14ac:dyDescent="0.25">
      <c r="A668" s="8"/>
      <c r="B668" s="8"/>
      <c r="C668" s="11">
        <f>IFERROR(LOOKUP(2,1/(($B$3:$B667=B668)*($A$3:$A667&lt;A668)),$G$3:$G667),IFERROR(VLOOKUP(B668,'Inventory Master'!$A$3:$L$300,6,FALSE),0))</f>
      </c>
      <c r="D668" s="11">
        <f>SUMIFS(Purchases!$D:$D,Purchases!$A:$A,$A668,Purchases!$C:$C,$B668)</f>
      </c>
      <c r="E668" s="11">
        <f>SUMIFS('Sales Log'!$D:$D,'Sales Log'!$A:$A,$A668,'Sales Log'!$C:$C,$B668)</f>
      </c>
      <c r="F668" s="8"/>
      <c r="G668" s="8"/>
      <c r="H668" s="11">
        <f>C668+D668-E668-F668</f>
      </c>
      <c r="I668" s="11">
        <f>H668-G668</f>
      </c>
    </row>
    <row r="669" ht="21" customHeight="1" spans="1:9" x14ac:dyDescent="0.25">
      <c r="A669" s="8"/>
      <c r="B669" s="8"/>
      <c r="C669" s="11">
        <f>IFERROR(LOOKUP(2,1/(($B$3:$B668=B669)*($A$3:$A668&lt;A669)),$G$3:$G668),IFERROR(VLOOKUP(B669,'Inventory Master'!$A$3:$L$300,6,FALSE),0))</f>
      </c>
      <c r="D669" s="11">
        <f>SUMIFS(Purchases!$D:$D,Purchases!$A:$A,$A669,Purchases!$C:$C,$B669)</f>
      </c>
      <c r="E669" s="11">
        <f>SUMIFS('Sales Log'!$D:$D,'Sales Log'!$A:$A,$A669,'Sales Log'!$C:$C,$B669)</f>
      </c>
      <c r="F669" s="8"/>
      <c r="G669" s="8"/>
      <c r="H669" s="11">
        <f>C669+D669-E669-F669</f>
      </c>
      <c r="I669" s="11">
        <f>H669-G669</f>
      </c>
    </row>
    <row r="670" ht="21" customHeight="1" spans="1:9" x14ac:dyDescent="0.25">
      <c r="A670" s="8"/>
      <c r="B670" s="8"/>
      <c r="C670" s="11">
        <f>IFERROR(LOOKUP(2,1/(($B$3:$B669=B670)*($A$3:$A669&lt;A670)),$G$3:$G669),IFERROR(VLOOKUP(B670,'Inventory Master'!$A$3:$L$300,6,FALSE),0))</f>
      </c>
      <c r="D670" s="11">
        <f>SUMIFS(Purchases!$D:$D,Purchases!$A:$A,$A670,Purchases!$C:$C,$B670)</f>
      </c>
      <c r="E670" s="11">
        <f>SUMIFS('Sales Log'!$D:$D,'Sales Log'!$A:$A,$A670,'Sales Log'!$C:$C,$B670)</f>
      </c>
      <c r="F670" s="8"/>
      <c r="G670" s="8"/>
      <c r="H670" s="11">
        <f>C670+D670-E670-F670</f>
      </c>
      <c r="I670" s="11">
        <f>H670-G670</f>
      </c>
    </row>
    <row r="671" ht="21" customHeight="1" spans="1:9" x14ac:dyDescent="0.25">
      <c r="A671" s="8"/>
      <c r="B671" s="8"/>
      <c r="C671" s="11">
        <f>IFERROR(LOOKUP(2,1/(($B$3:$B670=B671)*($A$3:$A670&lt;A671)),$G$3:$G670),IFERROR(VLOOKUP(B671,'Inventory Master'!$A$3:$L$300,6,FALSE),0))</f>
      </c>
      <c r="D671" s="11">
        <f>SUMIFS(Purchases!$D:$D,Purchases!$A:$A,$A671,Purchases!$C:$C,$B671)</f>
      </c>
      <c r="E671" s="11">
        <f>SUMIFS('Sales Log'!$D:$D,'Sales Log'!$A:$A,$A671,'Sales Log'!$C:$C,$B671)</f>
      </c>
      <c r="F671" s="8"/>
      <c r="G671" s="8"/>
      <c r="H671" s="11">
        <f>C671+D671-E671-F671</f>
      </c>
      <c r="I671" s="11">
        <f>H671-G671</f>
      </c>
    </row>
    <row r="672" ht="21" customHeight="1" spans="1:9" x14ac:dyDescent="0.25">
      <c r="A672" s="8"/>
      <c r="B672" s="8"/>
      <c r="C672" s="11">
        <f>IFERROR(LOOKUP(2,1/(($B$3:$B671=B672)*($A$3:$A671&lt;A672)),$G$3:$G671),IFERROR(VLOOKUP(B672,'Inventory Master'!$A$3:$L$300,6,FALSE),0))</f>
      </c>
      <c r="D672" s="11">
        <f>SUMIFS(Purchases!$D:$D,Purchases!$A:$A,$A672,Purchases!$C:$C,$B672)</f>
      </c>
      <c r="E672" s="11">
        <f>SUMIFS('Sales Log'!$D:$D,'Sales Log'!$A:$A,$A672,'Sales Log'!$C:$C,$B672)</f>
      </c>
      <c r="F672" s="8"/>
      <c r="G672" s="8"/>
      <c r="H672" s="11">
        <f>C672+D672-E672-F672</f>
      </c>
      <c r="I672" s="11">
        <f>H672-G672</f>
      </c>
    </row>
    <row r="673" ht="21" customHeight="1" spans="1:9" x14ac:dyDescent="0.25">
      <c r="A673" s="8"/>
      <c r="B673" s="8"/>
      <c r="C673" s="11">
        <f>IFERROR(LOOKUP(2,1/(($B$3:$B672=B673)*($A$3:$A672&lt;A673)),$G$3:$G672),IFERROR(VLOOKUP(B673,'Inventory Master'!$A$3:$L$300,6,FALSE),0))</f>
      </c>
      <c r="D673" s="11">
        <f>SUMIFS(Purchases!$D:$D,Purchases!$A:$A,$A673,Purchases!$C:$C,$B673)</f>
      </c>
      <c r="E673" s="11">
        <f>SUMIFS('Sales Log'!$D:$D,'Sales Log'!$A:$A,$A673,'Sales Log'!$C:$C,$B673)</f>
      </c>
      <c r="F673" s="8"/>
      <c r="G673" s="8"/>
      <c r="H673" s="11">
        <f>C673+D673-E673-F673</f>
      </c>
      <c r="I673" s="11">
        <f>H673-G673</f>
      </c>
    </row>
    <row r="674" ht="21" customHeight="1" spans="1:9" x14ac:dyDescent="0.25">
      <c r="A674" s="8"/>
      <c r="B674" s="8"/>
      <c r="C674" s="11">
        <f>IFERROR(LOOKUP(2,1/(($B$3:$B673=B674)*($A$3:$A673&lt;A674)),$G$3:$G673),IFERROR(VLOOKUP(B674,'Inventory Master'!$A$3:$L$300,6,FALSE),0))</f>
      </c>
      <c r="D674" s="11">
        <f>SUMIFS(Purchases!$D:$D,Purchases!$A:$A,$A674,Purchases!$C:$C,$B674)</f>
      </c>
      <c r="E674" s="11">
        <f>SUMIFS('Sales Log'!$D:$D,'Sales Log'!$A:$A,$A674,'Sales Log'!$C:$C,$B674)</f>
      </c>
      <c r="F674" s="8"/>
      <c r="G674" s="8"/>
      <c r="H674" s="11">
        <f>C674+D674-E674-F674</f>
      </c>
      <c r="I674" s="11">
        <f>H674-G674</f>
      </c>
    </row>
    <row r="675" ht="21" customHeight="1" spans="1:9" x14ac:dyDescent="0.25">
      <c r="A675" s="8"/>
      <c r="B675" s="8"/>
      <c r="C675" s="11">
        <f>IFERROR(LOOKUP(2,1/(($B$3:$B674=B675)*($A$3:$A674&lt;A675)),$G$3:$G674),IFERROR(VLOOKUP(B675,'Inventory Master'!$A$3:$L$300,6,FALSE),0))</f>
      </c>
      <c r="D675" s="11">
        <f>SUMIFS(Purchases!$D:$D,Purchases!$A:$A,$A675,Purchases!$C:$C,$B675)</f>
      </c>
      <c r="E675" s="11">
        <f>SUMIFS('Sales Log'!$D:$D,'Sales Log'!$A:$A,$A675,'Sales Log'!$C:$C,$B675)</f>
      </c>
      <c r="F675" s="8"/>
      <c r="G675" s="8"/>
      <c r="H675" s="11">
        <f>C675+D675-E675-F675</f>
      </c>
      <c r="I675" s="11">
        <f>H675-G675</f>
      </c>
    </row>
    <row r="676" ht="21" customHeight="1" spans="1:9" x14ac:dyDescent="0.25">
      <c r="A676" s="8"/>
      <c r="B676" s="8"/>
      <c r="C676" s="11">
        <f>IFERROR(LOOKUP(2,1/(($B$3:$B675=B676)*($A$3:$A675&lt;A676)),$G$3:$G675),IFERROR(VLOOKUP(B676,'Inventory Master'!$A$3:$L$300,6,FALSE),0))</f>
      </c>
      <c r="D676" s="11">
        <f>SUMIFS(Purchases!$D:$D,Purchases!$A:$A,$A676,Purchases!$C:$C,$B676)</f>
      </c>
      <c r="E676" s="11">
        <f>SUMIFS('Sales Log'!$D:$D,'Sales Log'!$A:$A,$A676,'Sales Log'!$C:$C,$B676)</f>
      </c>
      <c r="F676" s="8"/>
      <c r="G676" s="8"/>
      <c r="H676" s="11">
        <f>C676+D676-E676-F676</f>
      </c>
      <c r="I676" s="11">
        <f>H676-G676</f>
      </c>
    </row>
    <row r="677" ht="21" customHeight="1" spans="1:9" x14ac:dyDescent="0.25">
      <c r="A677" s="8"/>
      <c r="B677" s="8"/>
      <c r="C677" s="11">
        <f>IFERROR(LOOKUP(2,1/(($B$3:$B676=B677)*($A$3:$A676&lt;A677)),$G$3:$G676),IFERROR(VLOOKUP(B677,'Inventory Master'!$A$3:$L$300,6,FALSE),0))</f>
      </c>
      <c r="D677" s="11">
        <f>SUMIFS(Purchases!$D:$D,Purchases!$A:$A,$A677,Purchases!$C:$C,$B677)</f>
      </c>
      <c r="E677" s="11">
        <f>SUMIFS('Sales Log'!$D:$D,'Sales Log'!$A:$A,$A677,'Sales Log'!$C:$C,$B677)</f>
      </c>
      <c r="F677" s="8"/>
      <c r="G677" s="8"/>
      <c r="H677" s="11">
        <f>C677+D677-E677-F677</f>
      </c>
      <c r="I677" s="11">
        <f>H677-G677</f>
      </c>
    </row>
    <row r="678" ht="21" customHeight="1" spans="1:9" x14ac:dyDescent="0.25">
      <c r="A678" s="8"/>
      <c r="B678" s="8"/>
      <c r="C678" s="11">
        <f>IFERROR(LOOKUP(2,1/(($B$3:$B677=B678)*($A$3:$A677&lt;A678)),$G$3:$G677),IFERROR(VLOOKUP(B678,'Inventory Master'!$A$3:$L$300,6,FALSE),0))</f>
      </c>
      <c r="D678" s="11">
        <f>SUMIFS(Purchases!$D:$D,Purchases!$A:$A,$A678,Purchases!$C:$C,$B678)</f>
      </c>
      <c r="E678" s="11">
        <f>SUMIFS('Sales Log'!$D:$D,'Sales Log'!$A:$A,$A678,'Sales Log'!$C:$C,$B678)</f>
      </c>
      <c r="F678" s="8"/>
      <c r="G678" s="8"/>
      <c r="H678" s="11">
        <f>C678+D678-E678-F678</f>
      </c>
      <c r="I678" s="11">
        <f>H678-G678</f>
      </c>
    </row>
    <row r="679" ht="21" customHeight="1" spans="1:9" x14ac:dyDescent="0.25">
      <c r="A679" s="8"/>
      <c r="B679" s="8"/>
      <c r="C679" s="11">
        <f>IFERROR(LOOKUP(2,1/(($B$3:$B678=B679)*($A$3:$A678&lt;A679)),$G$3:$G678),IFERROR(VLOOKUP(B679,'Inventory Master'!$A$3:$L$300,6,FALSE),0))</f>
      </c>
      <c r="D679" s="11">
        <f>SUMIFS(Purchases!$D:$D,Purchases!$A:$A,$A679,Purchases!$C:$C,$B679)</f>
      </c>
      <c r="E679" s="11">
        <f>SUMIFS('Sales Log'!$D:$D,'Sales Log'!$A:$A,$A679,'Sales Log'!$C:$C,$B679)</f>
      </c>
      <c r="F679" s="8"/>
      <c r="G679" s="8"/>
      <c r="H679" s="11">
        <f>C679+D679-E679-F679</f>
      </c>
      <c r="I679" s="11">
        <f>H679-G679</f>
      </c>
    </row>
    <row r="680" ht="21" customHeight="1" spans="1:9" x14ac:dyDescent="0.25">
      <c r="A680" s="8"/>
      <c r="B680" s="8"/>
      <c r="C680" s="11">
        <f>IFERROR(LOOKUP(2,1/(($B$3:$B679=B680)*($A$3:$A679&lt;A680)),$G$3:$G679),IFERROR(VLOOKUP(B680,'Inventory Master'!$A$3:$L$300,6,FALSE),0))</f>
      </c>
      <c r="D680" s="11">
        <f>SUMIFS(Purchases!$D:$D,Purchases!$A:$A,$A680,Purchases!$C:$C,$B680)</f>
      </c>
      <c r="E680" s="11">
        <f>SUMIFS('Sales Log'!$D:$D,'Sales Log'!$A:$A,$A680,'Sales Log'!$C:$C,$B680)</f>
      </c>
      <c r="F680" s="8"/>
      <c r="G680" s="8"/>
      <c r="H680" s="11">
        <f>C680+D680-E680-F680</f>
      </c>
      <c r="I680" s="11">
        <f>H680-G680</f>
      </c>
    </row>
    <row r="681" ht="21" customHeight="1" spans="1:9" x14ac:dyDescent="0.25">
      <c r="A681" s="8"/>
      <c r="B681" s="8"/>
      <c r="C681" s="11">
        <f>IFERROR(LOOKUP(2,1/(($B$3:$B680=B681)*($A$3:$A680&lt;A681)),$G$3:$G680),IFERROR(VLOOKUP(B681,'Inventory Master'!$A$3:$L$300,6,FALSE),0))</f>
      </c>
      <c r="D681" s="11">
        <f>SUMIFS(Purchases!$D:$D,Purchases!$A:$A,$A681,Purchases!$C:$C,$B681)</f>
      </c>
      <c r="E681" s="11">
        <f>SUMIFS('Sales Log'!$D:$D,'Sales Log'!$A:$A,$A681,'Sales Log'!$C:$C,$B681)</f>
      </c>
      <c r="F681" s="8"/>
      <c r="G681" s="8"/>
      <c r="H681" s="11">
        <f>C681+D681-E681-F681</f>
      </c>
      <c r="I681" s="11">
        <f>H681-G681</f>
      </c>
    </row>
    <row r="682" ht="21" customHeight="1" spans="1:9" x14ac:dyDescent="0.25">
      <c r="A682" s="8"/>
      <c r="B682" s="8"/>
      <c r="C682" s="11">
        <f>IFERROR(LOOKUP(2,1/(($B$3:$B681=B682)*($A$3:$A681&lt;A682)),$G$3:$G681),IFERROR(VLOOKUP(B682,'Inventory Master'!$A$3:$L$300,6,FALSE),0))</f>
      </c>
      <c r="D682" s="11">
        <f>SUMIFS(Purchases!$D:$D,Purchases!$A:$A,$A682,Purchases!$C:$C,$B682)</f>
      </c>
      <c r="E682" s="11">
        <f>SUMIFS('Sales Log'!$D:$D,'Sales Log'!$A:$A,$A682,'Sales Log'!$C:$C,$B682)</f>
      </c>
      <c r="F682" s="8"/>
      <c r="G682" s="8"/>
      <c r="H682" s="11">
        <f>C682+D682-E682-F682</f>
      </c>
      <c r="I682" s="11">
        <f>H682-G682</f>
      </c>
    </row>
    <row r="683" ht="21" customHeight="1" spans="1:9" x14ac:dyDescent="0.25">
      <c r="A683" s="8"/>
      <c r="B683" s="8"/>
      <c r="C683" s="11">
        <f>IFERROR(LOOKUP(2,1/(($B$3:$B682=B683)*($A$3:$A682&lt;A683)),$G$3:$G682),IFERROR(VLOOKUP(B683,'Inventory Master'!$A$3:$L$300,6,FALSE),0))</f>
      </c>
      <c r="D683" s="11">
        <f>SUMIFS(Purchases!$D:$D,Purchases!$A:$A,$A683,Purchases!$C:$C,$B683)</f>
      </c>
      <c r="E683" s="11">
        <f>SUMIFS('Sales Log'!$D:$D,'Sales Log'!$A:$A,$A683,'Sales Log'!$C:$C,$B683)</f>
      </c>
      <c r="F683" s="8"/>
      <c r="G683" s="8"/>
      <c r="H683" s="11">
        <f>C683+D683-E683-F683</f>
      </c>
      <c r="I683" s="11">
        <f>H683-G683</f>
      </c>
    </row>
    <row r="684" ht="21" customHeight="1" spans="1:9" x14ac:dyDescent="0.25">
      <c r="A684" s="8"/>
      <c r="B684" s="8"/>
      <c r="C684" s="11">
        <f>IFERROR(LOOKUP(2,1/(($B$3:$B683=B684)*($A$3:$A683&lt;A684)),$G$3:$G683),IFERROR(VLOOKUP(B684,'Inventory Master'!$A$3:$L$300,6,FALSE),0))</f>
      </c>
      <c r="D684" s="11">
        <f>SUMIFS(Purchases!$D:$D,Purchases!$A:$A,$A684,Purchases!$C:$C,$B684)</f>
      </c>
      <c r="E684" s="11">
        <f>SUMIFS('Sales Log'!$D:$D,'Sales Log'!$A:$A,$A684,'Sales Log'!$C:$C,$B684)</f>
      </c>
      <c r="F684" s="8"/>
      <c r="G684" s="8"/>
      <c r="H684" s="11">
        <f>C684+D684-E684-F684</f>
      </c>
      <c r="I684" s="11">
        <f>H684-G684</f>
      </c>
    </row>
    <row r="685" ht="21" customHeight="1" spans="1:9" x14ac:dyDescent="0.25">
      <c r="A685" s="8"/>
      <c r="B685" s="8"/>
      <c r="C685" s="11">
        <f>IFERROR(LOOKUP(2,1/(($B$3:$B684=B685)*($A$3:$A684&lt;A685)),$G$3:$G684),IFERROR(VLOOKUP(B685,'Inventory Master'!$A$3:$L$300,6,FALSE),0))</f>
      </c>
      <c r="D685" s="11">
        <f>SUMIFS(Purchases!$D:$D,Purchases!$A:$A,$A685,Purchases!$C:$C,$B685)</f>
      </c>
      <c r="E685" s="11">
        <f>SUMIFS('Sales Log'!$D:$D,'Sales Log'!$A:$A,$A685,'Sales Log'!$C:$C,$B685)</f>
      </c>
      <c r="F685" s="8"/>
      <c r="G685" s="8"/>
      <c r="H685" s="11">
        <f>C685+D685-E685-F685</f>
      </c>
      <c r="I685" s="11">
        <f>H685-G685</f>
      </c>
    </row>
    <row r="686" ht="21" customHeight="1" spans="1:9" x14ac:dyDescent="0.25">
      <c r="A686" s="8"/>
      <c r="B686" s="8"/>
      <c r="C686" s="11">
        <f>IFERROR(LOOKUP(2,1/(($B$3:$B685=B686)*($A$3:$A685&lt;A686)),$G$3:$G685),IFERROR(VLOOKUP(B686,'Inventory Master'!$A$3:$L$300,6,FALSE),0))</f>
      </c>
      <c r="D686" s="11">
        <f>SUMIFS(Purchases!$D:$D,Purchases!$A:$A,$A686,Purchases!$C:$C,$B686)</f>
      </c>
      <c r="E686" s="11">
        <f>SUMIFS('Sales Log'!$D:$D,'Sales Log'!$A:$A,$A686,'Sales Log'!$C:$C,$B686)</f>
      </c>
      <c r="F686" s="8"/>
      <c r="G686" s="8"/>
      <c r="H686" s="11">
        <f>C686+D686-E686-F686</f>
      </c>
      <c r="I686" s="11">
        <f>H686-G686</f>
      </c>
    </row>
    <row r="687" ht="21" customHeight="1" spans="1:9" x14ac:dyDescent="0.25">
      <c r="A687" s="8"/>
      <c r="B687" s="8"/>
      <c r="C687" s="11">
        <f>IFERROR(LOOKUP(2,1/(($B$3:$B686=B687)*($A$3:$A686&lt;A687)),$G$3:$G686),IFERROR(VLOOKUP(B687,'Inventory Master'!$A$3:$L$300,6,FALSE),0))</f>
      </c>
      <c r="D687" s="11">
        <f>SUMIFS(Purchases!$D:$D,Purchases!$A:$A,$A687,Purchases!$C:$C,$B687)</f>
      </c>
      <c r="E687" s="11">
        <f>SUMIFS('Sales Log'!$D:$D,'Sales Log'!$A:$A,$A687,'Sales Log'!$C:$C,$B687)</f>
      </c>
      <c r="F687" s="8"/>
      <c r="G687" s="8"/>
      <c r="H687" s="11">
        <f>C687+D687-E687-F687</f>
      </c>
      <c r="I687" s="11">
        <f>H687-G687</f>
      </c>
    </row>
    <row r="688" ht="21" customHeight="1" spans="1:9" x14ac:dyDescent="0.25">
      <c r="A688" s="8"/>
      <c r="B688" s="8"/>
      <c r="C688" s="11">
        <f>IFERROR(LOOKUP(2,1/(($B$3:$B687=B688)*($A$3:$A687&lt;A688)),$G$3:$G687),IFERROR(VLOOKUP(B688,'Inventory Master'!$A$3:$L$300,6,FALSE),0))</f>
      </c>
      <c r="D688" s="11">
        <f>SUMIFS(Purchases!$D:$D,Purchases!$A:$A,$A688,Purchases!$C:$C,$B688)</f>
      </c>
      <c r="E688" s="11">
        <f>SUMIFS('Sales Log'!$D:$D,'Sales Log'!$A:$A,$A688,'Sales Log'!$C:$C,$B688)</f>
      </c>
      <c r="F688" s="8"/>
      <c r="G688" s="8"/>
      <c r="H688" s="11">
        <f>C688+D688-E688-F688</f>
      </c>
      <c r="I688" s="11">
        <f>H688-G688</f>
      </c>
    </row>
    <row r="689" ht="21" customHeight="1" spans="1:9" x14ac:dyDescent="0.25">
      <c r="A689" s="8"/>
      <c r="B689" s="8"/>
      <c r="C689" s="11">
        <f>IFERROR(LOOKUP(2,1/(($B$3:$B688=B689)*($A$3:$A688&lt;A689)),$G$3:$G688),IFERROR(VLOOKUP(B689,'Inventory Master'!$A$3:$L$300,6,FALSE),0))</f>
      </c>
      <c r="D689" s="11">
        <f>SUMIFS(Purchases!$D:$D,Purchases!$A:$A,$A689,Purchases!$C:$C,$B689)</f>
      </c>
      <c r="E689" s="11">
        <f>SUMIFS('Sales Log'!$D:$D,'Sales Log'!$A:$A,$A689,'Sales Log'!$C:$C,$B689)</f>
      </c>
      <c r="F689" s="8"/>
      <c r="G689" s="8"/>
      <c r="H689" s="11">
        <f>C689+D689-E689-F689</f>
      </c>
      <c r="I689" s="11">
        <f>H689-G689</f>
      </c>
    </row>
    <row r="690" ht="21" customHeight="1" spans="1:9" x14ac:dyDescent="0.25">
      <c r="A690" s="8"/>
      <c r="B690" s="8"/>
      <c r="C690" s="11">
        <f>IFERROR(LOOKUP(2,1/(($B$3:$B689=B690)*($A$3:$A689&lt;A690)),$G$3:$G689),IFERROR(VLOOKUP(B690,'Inventory Master'!$A$3:$L$300,6,FALSE),0))</f>
      </c>
      <c r="D690" s="11">
        <f>SUMIFS(Purchases!$D:$D,Purchases!$A:$A,$A690,Purchases!$C:$C,$B690)</f>
      </c>
      <c r="E690" s="11">
        <f>SUMIFS('Sales Log'!$D:$D,'Sales Log'!$A:$A,$A690,'Sales Log'!$C:$C,$B690)</f>
      </c>
      <c r="F690" s="8"/>
      <c r="G690" s="8"/>
      <c r="H690" s="11">
        <f>C690+D690-E690-F690</f>
      </c>
      <c r="I690" s="11">
        <f>H690-G690</f>
      </c>
    </row>
    <row r="691" ht="21" customHeight="1" spans="1:9" x14ac:dyDescent="0.25">
      <c r="A691" s="8"/>
      <c r="B691" s="8"/>
      <c r="C691" s="11">
        <f>IFERROR(LOOKUP(2,1/(($B$3:$B690=B691)*($A$3:$A690&lt;A691)),$G$3:$G690),IFERROR(VLOOKUP(B691,'Inventory Master'!$A$3:$L$300,6,FALSE),0))</f>
      </c>
      <c r="D691" s="11">
        <f>SUMIFS(Purchases!$D:$D,Purchases!$A:$A,$A691,Purchases!$C:$C,$B691)</f>
      </c>
      <c r="E691" s="11">
        <f>SUMIFS('Sales Log'!$D:$D,'Sales Log'!$A:$A,$A691,'Sales Log'!$C:$C,$B691)</f>
      </c>
      <c r="F691" s="8"/>
      <c r="G691" s="8"/>
      <c r="H691" s="11">
        <f>C691+D691-E691-F691</f>
      </c>
      <c r="I691" s="11">
        <f>H691-G691</f>
      </c>
    </row>
    <row r="692" ht="21" customHeight="1" spans="1:9" x14ac:dyDescent="0.25">
      <c r="A692" s="8"/>
      <c r="B692" s="8"/>
      <c r="C692" s="11">
        <f>IFERROR(LOOKUP(2,1/(($B$3:$B691=B692)*($A$3:$A691&lt;A692)),$G$3:$G691),IFERROR(VLOOKUP(B692,'Inventory Master'!$A$3:$L$300,6,FALSE),0))</f>
      </c>
      <c r="D692" s="11">
        <f>SUMIFS(Purchases!$D:$D,Purchases!$A:$A,$A692,Purchases!$C:$C,$B692)</f>
      </c>
      <c r="E692" s="11">
        <f>SUMIFS('Sales Log'!$D:$D,'Sales Log'!$A:$A,$A692,'Sales Log'!$C:$C,$B692)</f>
      </c>
      <c r="F692" s="8"/>
      <c r="G692" s="8"/>
      <c r="H692" s="11">
        <f>C692+D692-E692-F692</f>
      </c>
      <c r="I692" s="11">
        <f>H692-G692</f>
      </c>
    </row>
    <row r="693" ht="21" customHeight="1" spans="1:9" x14ac:dyDescent="0.25">
      <c r="A693" s="8"/>
      <c r="B693" s="8"/>
      <c r="C693" s="11">
        <f>IFERROR(LOOKUP(2,1/(($B$3:$B692=B693)*($A$3:$A692&lt;A693)),$G$3:$G692),IFERROR(VLOOKUP(B693,'Inventory Master'!$A$3:$L$300,6,FALSE),0))</f>
      </c>
      <c r="D693" s="11">
        <f>SUMIFS(Purchases!$D:$D,Purchases!$A:$A,$A693,Purchases!$C:$C,$B693)</f>
      </c>
      <c r="E693" s="11">
        <f>SUMIFS('Sales Log'!$D:$D,'Sales Log'!$A:$A,$A693,'Sales Log'!$C:$C,$B693)</f>
      </c>
      <c r="F693" s="8"/>
      <c r="G693" s="8"/>
      <c r="H693" s="11">
        <f>C693+D693-E693-F693</f>
      </c>
      <c r="I693" s="11">
        <f>H693-G693</f>
      </c>
    </row>
    <row r="694" ht="21" customHeight="1" spans="1:9" x14ac:dyDescent="0.25">
      <c r="A694" s="8"/>
      <c r="B694" s="8"/>
      <c r="C694" s="11">
        <f>IFERROR(LOOKUP(2,1/(($B$3:$B693=B694)*($A$3:$A693&lt;A694)),$G$3:$G693),IFERROR(VLOOKUP(B694,'Inventory Master'!$A$3:$L$300,6,FALSE),0))</f>
      </c>
      <c r="D694" s="11">
        <f>SUMIFS(Purchases!$D:$D,Purchases!$A:$A,$A694,Purchases!$C:$C,$B694)</f>
      </c>
      <c r="E694" s="11">
        <f>SUMIFS('Sales Log'!$D:$D,'Sales Log'!$A:$A,$A694,'Sales Log'!$C:$C,$B694)</f>
      </c>
      <c r="F694" s="8"/>
      <c r="G694" s="8"/>
      <c r="H694" s="11">
        <f>C694+D694-E694-F694</f>
      </c>
      <c r="I694" s="11">
        <f>H694-G694</f>
      </c>
    </row>
    <row r="695" ht="21" customHeight="1" spans="1:9" x14ac:dyDescent="0.25">
      <c r="A695" s="8"/>
      <c r="B695" s="8"/>
      <c r="C695" s="11">
        <f>IFERROR(LOOKUP(2,1/(($B$3:$B694=B695)*($A$3:$A694&lt;A695)),$G$3:$G694),IFERROR(VLOOKUP(B695,'Inventory Master'!$A$3:$L$300,6,FALSE),0))</f>
      </c>
      <c r="D695" s="11">
        <f>SUMIFS(Purchases!$D:$D,Purchases!$A:$A,$A695,Purchases!$C:$C,$B695)</f>
      </c>
      <c r="E695" s="11">
        <f>SUMIFS('Sales Log'!$D:$D,'Sales Log'!$A:$A,$A695,'Sales Log'!$C:$C,$B695)</f>
      </c>
      <c r="F695" s="8"/>
      <c r="G695" s="8"/>
      <c r="H695" s="11">
        <f>C695+D695-E695-F695</f>
      </c>
      <c r="I695" s="11">
        <f>H695-G695</f>
      </c>
    </row>
    <row r="696" ht="21" customHeight="1" spans="1:9" x14ac:dyDescent="0.25">
      <c r="A696" s="8"/>
      <c r="B696" s="8"/>
      <c r="C696" s="11">
        <f>IFERROR(LOOKUP(2,1/(($B$3:$B695=B696)*($A$3:$A695&lt;A696)),$G$3:$G695),IFERROR(VLOOKUP(B696,'Inventory Master'!$A$3:$L$300,6,FALSE),0))</f>
      </c>
      <c r="D696" s="11">
        <f>SUMIFS(Purchases!$D:$D,Purchases!$A:$A,$A696,Purchases!$C:$C,$B696)</f>
      </c>
      <c r="E696" s="11">
        <f>SUMIFS('Sales Log'!$D:$D,'Sales Log'!$A:$A,$A696,'Sales Log'!$C:$C,$B696)</f>
      </c>
      <c r="F696" s="8"/>
      <c r="G696" s="8"/>
      <c r="H696" s="11">
        <f>C696+D696-E696-F696</f>
      </c>
      <c r="I696" s="11">
        <f>H696-G696</f>
      </c>
    </row>
    <row r="697" ht="21" customHeight="1" spans="1:9" x14ac:dyDescent="0.25">
      <c r="A697" s="8"/>
      <c r="B697" s="8"/>
      <c r="C697" s="11">
        <f>IFERROR(LOOKUP(2,1/(($B$3:$B696=B697)*($A$3:$A696&lt;A697)),$G$3:$G696),IFERROR(VLOOKUP(B697,'Inventory Master'!$A$3:$L$300,6,FALSE),0))</f>
      </c>
      <c r="D697" s="11">
        <f>SUMIFS(Purchases!$D:$D,Purchases!$A:$A,$A697,Purchases!$C:$C,$B697)</f>
      </c>
      <c r="E697" s="11">
        <f>SUMIFS('Sales Log'!$D:$D,'Sales Log'!$A:$A,$A697,'Sales Log'!$C:$C,$B697)</f>
      </c>
      <c r="F697" s="8"/>
      <c r="G697" s="8"/>
      <c r="H697" s="11">
        <f>C697+D697-E697-F697</f>
      </c>
      <c r="I697" s="11">
        <f>H697-G697</f>
      </c>
    </row>
    <row r="698" ht="21" customHeight="1" spans="1:9" x14ac:dyDescent="0.25">
      <c r="A698" s="8"/>
      <c r="B698" s="8"/>
      <c r="C698" s="11">
        <f>IFERROR(LOOKUP(2,1/(($B$3:$B697=B698)*($A$3:$A697&lt;A698)),$G$3:$G697),IFERROR(VLOOKUP(B698,'Inventory Master'!$A$3:$L$300,6,FALSE),0))</f>
      </c>
      <c r="D698" s="11">
        <f>SUMIFS(Purchases!$D:$D,Purchases!$A:$A,$A698,Purchases!$C:$C,$B698)</f>
      </c>
      <c r="E698" s="11">
        <f>SUMIFS('Sales Log'!$D:$D,'Sales Log'!$A:$A,$A698,'Sales Log'!$C:$C,$B698)</f>
      </c>
      <c r="F698" s="8"/>
      <c r="G698" s="8"/>
      <c r="H698" s="11">
        <f>C698+D698-E698-F698</f>
      </c>
      <c r="I698" s="11">
        <f>H698-G698</f>
      </c>
    </row>
    <row r="699" ht="21" customHeight="1" spans="1:9" x14ac:dyDescent="0.25">
      <c r="A699" s="8"/>
      <c r="B699" s="8"/>
      <c r="C699" s="11">
        <f>IFERROR(LOOKUP(2,1/(($B$3:$B698=B699)*($A$3:$A698&lt;A699)),$G$3:$G698),IFERROR(VLOOKUP(B699,'Inventory Master'!$A$3:$L$300,6,FALSE),0))</f>
      </c>
      <c r="D699" s="11">
        <f>SUMIFS(Purchases!$D:$D,Purchases!$A:$A,$A699,Purchases!$C:$C,$B699)</f>
      </c>
      <c r="E699" s="11">
        <f>SUMIFS('Sales Log'!$D:$D,'Sales Log'!$A:$A,$A699,'Sales Log'!$C:$C,$B699)</f>
      </c>
      <c r="F699" s="8"/>
      <c r="G699" s="8"/>
      <c r="H699" s="11">
        <f>C699+D699-E699-F699</f>
      </c>
      <c r="I699" s="11">
        <f>H699-G699</f>
      </c>
    </row>
    <row r="700" ht="21" customHeight="1" spans="1:9" x14ac:dyDescent="0.25">
      <c r="A700" s="8"/>
      <c r="B700" s="8"/>
      <c r="C700" s="11">
        <f>IFERROR(LOOKUP(2,1/(($B$3:$B699=B700)*($A$3:$A699&lt;A700)),$G$3:$G699),IFERROR(VLOOKUP(B700,'Inventory Master'!$A$3:$L$300,6,FALSE),0))</f>
      </c>
      <c r="D700" s="11">
        <f>SUMIFS(Purchases!$D:$D,Purchases!$A:$A,$A700,Purchases!$C:$C,$B700)</f>
      </c>
      <c r="E700" s="11">
        <f>SUMIFS('Sales Log'!$D:$D,'Sales Log'!$A:$A,$A700,'Sales Log'!$C:$C,$B700)</f>
      </c>
      <c r="F700" s="8"/>
      <c r="G700" s="8"/>
      <c r="H700" s="11">
        <f>C700+D700-E700-F700</f>
      </c>
      <c r="I700" s="11">
        <f>H700-G700</f>
      </c>
    </row>
    <row r="701" ht="21" customHeight="1" spans="1:9" x14ac:dyDescent="0.25">
      <c r="A701" s="8"/>
      <c r="B701" s="8"/>
      <c r="C701" s="11">
        <f>IFERROR(LOOKUP(2,1/(($B$3:$B700=B701)*($A$3:$A700&lt;A701)),$G$3:$G700),IFERROR(VLOOKUP(B701,'Inventory Master'!$A$3:$L$300,6,FALSE),0))</f>
      </c>
      <c r="D701" s="11">
        <f>SUMIFS(Purchases!$D:$D,Purchases!$A:$A,$A701,Purchases!$C:$C,$B701)</f>
      </c>
      <c r="E701" s="11">
        <f>SUMIFS('Sales Log'!$D:$D,'Sales Log'!$A:$A,$A701,'Sales Log'!$C:$C,$B701)</f>
      </c>
      <c r="F701" s="8"/>
      <c r="G701" s="8"/>
      <c r="H701" s="11">
        <f>C701+D701-E701-F701</f>
      </c>
      <c r="I701" s="11">
        <f>H701-G701</f>
      </c>
    </row>
    <row r="702" ht="21" customHeight="1" spans="1:9" x14ac:dyDescent="0.25">
      <c r="A702" s="8"/>
      <c r="B702" s="8"/>
      <c r="C702" s="11">
        <f>IFERROR(LOOKUP(2,1/(($B$3:$B701=B702)*($A$3:$A701&lt;A702)),$G$3:$G701),IFERROR(VLOOKUP(B702,'Inventory Master'!$A$3:$L$300,6,FALSE),0))</f>
      </c>
      <c r="D702" s="11">
        <f>SUMIFS(Purchases!$D:$D,Purchases!$A:$A,$A702,Purchases!$C:$C,$B702)</f>
      </c>
      <c r="E702" s="11">
        <f>SUMIFS('Sales Log'!$D:$D,'Sales Log'!$A:$A,$A702,'Sales Log'!$C:$C,$B702)</f>
      </c>
      <c r="F702" s="8"/>
      <c r="G702" s="8"/>
      <c r="H702" s="11">
        <f>C702+D702-E702-F702</f>
      </c>
      <c r="I702" s="11">
        <f>H702-G702</f>
      </c>
    </row>
    <row r="703" ht="21" customHeight="1" spans="1:9" x14ac:dyDescent="0.25">
      <c r="A703" s="8"/>
      <c r="B703" s="8"/>
      <c r="C703" s="11">
        <f>IFERROR(LOOKUP(2,1/(($B$3:$B702=B703)*($A$3:$A702&lt;A703)),$G$3:$G702),IFERROR(VLOOKUP(B703,'Inventory Master'!$A$3:$L$300,6,FALSE),0))</f>
      </c>
      <c r="D703" s="11">
        <f>SUMIFS(Purchases!$D:$D,Purchases!$A:$A,$A703,Purchases!$C:$C,$B703)</f>
      </c>
      <c r="E703" s="11">
        <f>SUMIFS('Sales Log'!$D:$D,'Sales Log'!$A:$A,$A703,'Sales Log'!$C:$C,$B703)</f>
      </c>
      <c r="F703" s="8"/>
      <c r="G703" s="8"/>
      <c r="H703" s="11">
        <f>C703+D703-E703-F703</f>
      </c>
      <c r="I703" s="11">
        <f>H703-G703</f>
      </c>
    </row>
    <row r="704" ht="21" customHeight="1" spans="1:9" x14ac:dyDescent="0.25">
      <c r="A704" s="8"/>
      <c r="B704" s="8"/>
      <c r="C704" s="11">
        <f>IFERROR(LOOKUP(2,1/(($B$3:$B703=B704)*($A$3:$A703&lt;A704)),$G$3:$G703),IFERROR(VLOOKUP(B704,'Inventory Master'!$A$3:$L$300,6,FALSE),0))</f>
      </c>
      <c r="D704" s="11">
        <f>SUMIFS(Purchases!$D:$D,Purchases!$A:$A,$A704,Purchases!$C:$C,$B704)</f>
      </c>
      <c r="E704" s="11">
        <f>SUMIFS('Sales Log'!$D:$D,'Sales Log'!$A:$A,$A704,'Sales Log'!$C:$C,$B704)</f>
      </c>
      <c r="F704" s="8"/>
      <c r="G704" s="8"/>
      <c r="H704" s="11">
        <f>C704+D704-E704-F704</f>
      </c>
      <c r="I704" s="11">
        <f>H704-G704</f>
      </c>
    </row>
    <row r="705" ht="21" customHeight="1" spans="1:9" x14ac:dyDescent="0.25">
      <c r="A705" s="8"/>
      <c r="B705" s="8"/>
      <c r="C705" s="11">
        <f>IFERROR(LOOKUP(2,1/(($B$3:$B704=B705)*($A$3:$A704&lt;A705)),$G$3:$G704),IFERROR(VLOOKUP(B705,'Inventory Master'!$A$3:$L$300,6,FALSE),0))</f>
      </c>
      <c r="D705" s="11">
        <f>SUMIFS(Purchases!$D:$D,Purchases!$A:$A,$A705,Purchases!$C:$C,$B705)</f>
      </c>
      <c r="E705" s="11">
        <f>SUMIFS('Sales Log'!$D:$D,'Sales Log'!$A:$A,$A705,'Sales Log'!$C:$C,$B705)</f>
      </c>
      <c r="F705" s="8"/>
      <c r="G705" s="8"/>
      <c r="H705" s="11">
        <f>C705+D705-E705-F705</f>
      </c>
      <c r="I705" s="11">
        <f>H705-G705</f>
      </c>
    </row>
    <row r="706" ht="21" customHeight="1" spans="1:9" x14ac:dyDescent="0.25">
      <c r="A706" s="8"/>
      <c r="B706" s="8"/>
      <c r="C706" s="11">
        <f>IFERROR(LOOKUP(2,1/(($B$3:$B705=B706)*($A$3:$A705&lt;A706)),$G$3:$G705),IFERROR(VLOOKUP(B706,'Inventory Master'!$A$3:$L$300,6,FALSE),0))</f>
      </c>
      <c r="D706" s="11">
        <f>SUMIFS(Purchases!$D:$D,Purchases!$A:$A,$A706,Purchases!$C:$C,$B706)</f>
      </c>
      <c r="E706" s="11">
        <f>SUMIFS('Sales Log'!$D:$D,'Sales Log'!$A:$A,$A706,'Sales Log'!$C:$C,$B706)</f>
      </c>
      <c r="F706" s="8"/>
      <c r="G706" s="8"/>
      <c r="H706" s="11">
        <f>C706+D706-E706-F706</f>
      </c>
      <c r="I706" s="11">
        <f>H706-G706</f>
      </c>
    </row>
    <row r="707" ht="21" customHeight="1" spans="1:9" x14ac:dyDescent="0.25">
      <c r="A707" s="8"/>
      <c r="B707" s="8"/>
      <c r="C707" s="11">
        <f>IFERROR(LOOKUP(2,1/(($B$3:$B706=B707)*($A$3:$A706&lt;A707)),$G$3:$G706),IFERROR(VLOOKUP(B707,'Inventory Master'!$A$3:$L$300,6,FALSE),0))</f>
      </c>
      <c r="D707" s="11">
        <f>SUMIFS(Purchases!$D:$D,Purchases!$A:$A,$A707,Purchases!$C:$C,$B707)</f>
      </c>
      <c r="E707" s="11">
        <f>SUMIFS('Sales Log'!$D:$D,'Sales Log'!$A:$A,$A707,'Sales Log'!$C:$C,$B707)</f>
      </c>
      <c r="F707" s="8"/>
      <c r="G707" s="8"/>
      <c r="H707" s="11">
        <f>C707+D707-E707-F707</f>
      </c>
      <c r="I707" s="11">
        <f>H707-G707</f>
      </c>
    </row>
    <row r="708" ht="21" customHeight="1" spans="1:9" x14ac:dyDescent="0.25">
      <c r="A708" s="8"/>
      <c r="B708" s="8"/>
      <c r="C708" s="11">
        <f>IFERROR(LOOKUP(2,1/(($B$3:$B707=B708)*($A$3:$A707&lt;A708)),$G$3:$G707),IFERROR(VLOOKUP(B708,'Inventory Master'!$A$3:$L$300,6,FALSE),0))</f>
      </c>
      <c r="D708" s="11">
        <f>SUMIFS(Purchases!$D:$D,Purchases!$A:$A,$A708,Purchases!$C:$C,$B708)</f>
      </c>
      <c r="E708" s="11">
        <f>SUMIFS('Sales Log'!$D:$D,'Sales Log'!$A:$A,$A708,'Sales Log'!$C:$C,$B708)</f>
      </c>
      <c r="F708" s="8"/>
      <c r="G708" s="8"/>
      <c r="H708" s="11">
        <f>C708+D708-E708-F708</f>
      </c>
      <c r="I708" s="11">
        <f>H708-G708</f>
      </c>
    </row>
    <row r="709" ht="21" customHeight="1" spans="1:9" x14ac:dyDescent="0.25">
      <c r="A709" s="8"/>
      <c r="B709" s="8"/>
      <c r="C709" s="11">
        <f>IFERROR(LOOKUP(2,1/(($B$3:$B708=B709)*($A$3:$A708&lt;A709)),$G$3:$G708),IFERROR(VLOOKUP(B709,'Inventory Master'!$A$3:$L$300,6,FALSE),0))</f>
      </c>
      <c r="D709" s="11">
        <f>SUMIFS(Purchases!$D:$D,Purchases!$A:$A,$A709,Purchases!$C:$C,$B709)</f>
      </c>
      <c r="E709" s="11">
        <f>SUMIFS('Sales Log'!$D:$D,'Sales Log'!$A:$A,$A709,'Sales Log'!$C:$C,$B709)</f>
      </c>
      <c r="F709" s="8"/>
      <c r="G709" s="8"/>
      <c r="H709" s="11">
        <f>C709+D709-E709-F709</f>
      </c>
      <c r="I709" s="11">
        <f>H709-G709</f>
      </c>
    </row>
    <row r="710" ht="21" customHeight="1" spans="1:9" x14ac:dyDescent="0.25">
      <c r="A710" s="8"/>
      <c r="B710" s="8"/>
      <c r="C710" s="11">
        <f>IFERROR(LOOKUP(2,1/(($B$3:$B709=B710)*($A$3:$A709&lt;A710)),$G$3:$G709),IFERROR(VLOOKUP(B710,'Inventory Master'!$A$3:$L$300,6,FALSE),0))</f>
      </c>
      <c r="D710" s="11">
        <f>SUMIFS(Purchases!$D:$D,Purchases!$A:$A,$A710,Purchases!$C:$C,$B710)</f>
      </c>
      <c r="E710" s="11">
        <f>SUMIFS('Sales Log'!$D:$D,'Sales Log'!$A:$A,$A710,'Sales Log'!$C:$C,$B710)</f>
      </c>
      <c r="F710" s="8"/>
      <c r="G710" s="8"/>
      <c r="H710" s="11">
        <f>C710+D710-E710-F710</f>
      </c>
      <c r="I710" s="11">
        <f>H710-G710</f>
      </c>
    </row>
    <row r="711" ht="21" customHeight="1" spans="1:9" x14ac:dyDescent="0.25">
      <c r="A711" s="8"/>
      <c r="B711" s="8"/>
      <c r="C711" s="11">
        <f>IFERROR(LOOKUP(2,1/(($B$3:$B710=B711)*($A$3:$A710&lt;A711)),$G$3:$G710),IFERROR(VLOOKUP(B711,'Inventory Master'!$A$3:$L$300,6,FALSE),0))</f>
      </c>
      <c r="D711" s="11">
        <f>SUMIFS(Purchases!$D:$D,Purchases!$A:$A,$A711,Purchases!$C:$C,$B711)</f>
      </c>
      <c r="E711" s="11">
        <f>SUMIFS('Sales Log'!$D:$D,'Sales Log'!$A:$A,$A711,'Sales Log'!$C:$C,$B711)</f>
      </c>
      <c r="F711" s="8"/>
      <c r="G711" s="8"/>
      <c r="H711" s="11">
        <f>C711+D711-E711-F711</f>
      </c>
      <c r="I711" s="11">
        <f>H711-G711</f>
      </c>
    </row>
    <row r="712" ht="21" customHeight="1" spans="1:9" x14ac:dyDescent="0.25">
      <c r="A712" s="8"/>
      <c r="B712" s="8"/>
      <c r="C712" s="11">
        <f>IFERROR(LOOKUP(2,1/(($B$3:$B711=B712)*($A$3:$A711&lt;A712)),$G$3:$G711),IFERROR(VLOOKUP(B712,'Inventory Master'!$A$3:$L$300,6,FALSE),0))</f>
      </c>
      <c r="D712" s="11">
        <f>SUMIFS(Purchases!$D:$D,Purchases!$A:$A,$A712,Purchases!$C:$C,$B712)</f>
      </c>
      <c r="E712" s="11">
        <f>SUMIFS('Sales Log'!$D:$D,'Sales Log'!$A:$A,$A712,'Sales Log'!$C:$C,$B712)</f>
      </c>
      <c r="F712" s="8"/>
      <c r="G712" s="8"/>
      <c r="H712" s="11">
        <f>C712+D712-E712-F712</f>
      </c>
      <c r="I712" s="11">
        <f>H712-G712</f>
      </c>
    </row>
    <row r="713" ht="21" customHeight="1" spans="1:9" x14ac:dyDescent="0.25">
      <c r="A713" s="8"/>
      <c r="B713" s="8"/>
      <c r="C713" s="11">
        <f>IFERROR(LOOKUP(2,1/(($B$3:$B712=B713)*($A$3:$A712&lt;A713)),$G$3:$G712),IFERROR(VLOOKUP(B713,'Inventory Master'!$A$3:$L$300,6,FALSE),0))</f>
      </c>
      <c r="D713" s="11">
        <f>SUMIFS(Purchases!$D:$D,Purchases!$A:$A,$A713,Purchases!$C:$C,$B713)</f>
      </c>
      <c r="E713" s="11">
        <f>SUMIFS('Sales Log'!$D:$D,'Sales Log'!$A:$A,$A713,'Sales Log'!$C:$C,$B713)</f>
      </c>
      <c r="F713" s="8"/>
      <c r="G713" s="8"/>
      <c r="H713" s="11">
        <f>C713+D713-E713-F713</f>
      </c>
      <c r="I713" s="11">
        <f>H713-G713</f>
      </c>
    </row>
    <row r="714" ht="21" customHeight="1" spans="1:9" x14ac:dyDescent="0.25">
      <c r="A714" s="8"/>
      <c r="B714" s="8"/>
      <c r="C714" s="11">
        <f>IFERROR(LOOKUP(2,1/(($B$3:$B713=B714)*($A$3:$A713&lt;A714)),$G$3:$G713),IFERROR(VLOOKUP(B714,'Inventory Master'!$A$3:$L$300,6,FALSE),0))</f>
      </c>
      <c r="D714" s="11">
        <f>SUMIFS(Purchases!$D:$D,Purchases!$A:$A,$A714,Purchases!$C:$C,$B714)</f>
      </c>
      <c r="E714" s="11">
        <f>SUMIFS('Sales Log'!$D:$D,'Sales Log'!$A:$A,$A714,'Sales Log'!$C:$C,$B714)</f>
      </c>
      <c r="F714" s="8"/>
      <c r="G714" s="8"/>
      <c r="H714" s="11">
        <f>C714+D714-E714-F714</f>
      </c>
      <c r="I714" s="11">
        <f>H714-G714</f>
      </c>
    </row>
    <row r="715" ht="21" customHeight="1" spans="1:9" x14ac:dyDescent="0.25">
      <c r="A715" s="8"/>
      <c r="B715" s="8"/>
      <c r="C715" s="11">
        <f>IFERROR(LOOKUP(2,1/(($B$3:$B714=B715)*($A$3:$A714&lt;A715)),$G$3:$G714),IFERROR(VLOOKUP(B715,'Inventory Master'!$A$3:$L$300,6,FALSE),0))</f>
      </c>
      <c r="D715" s="11">
        <f>SUMIFS(Purchases!$D:$D,Purchases!$A:$A,$A715,Purchases!$C:$C,$B715)</f>
      </c>
      <c r="E715" s="11">
        <f>SUMIFS('Sales Log'!$D:$D,'Sales Log'!$A:$A,$A715,'Sales Log'!$C:$C,$B715)</f>
      </c>
      <c r="F715" s="8"/>
      <c r="G715" s="8"/>
      <c r="H715" s="11">
        <f>C715+D715-E715-F715</f>
      </c>
      <c r="I715" s="11">
        <f>H715-G715</f>
      </c>
    </row>
    <row r="716" ht="21" customHeight="1" spans="1:9" x14ac:dyDescent="0.25">
      <c r="A716" s="8"/>
      <c r="B716" s="8"/>
      <c r="C716" s="11">
        <f>IFERROR(LOOKUP(2,1/(($B$3:$B715=B716)*($A$3:$A715&lt;A716)),$G$3:$G715),IFERROR(VLOOKUP(B716,'Inventory Master'!$A$3:$L$300,6,FALSE),0))</f>
      </c>
      <c r="D716" s="11">
        <f>SUMIFS(Purchases!$D:$D,Purchases!$A:$A,$A716,Purchases!$C:$C,$B716)</f>
      </c>
      <c r="E716" s="11">
        <f>SUMIFS('Sales Log'!$D:$D,'Sales Log'!$A:$A,$A716,'Sales Log'!$C:$C,$B716)</f>
      </c>
      <c r="F716" s="8"/>
      <c r="G716" s="8"/>
      <c r="H716" s="11">
        <f>C716+D716-E716-F716</f>
      </c>
      <c r="I716" s="11">
        <f>H716-G716</f>
      </c>
    </row>
    <row r="717" ht="21" customHeight="1" spans="1:9" x14ac:dyDescent="0.25">
      <c r="A717" s="8"/>
      <c r="B717" s="8"/>
      <c r="C717" s="11">
        <f>IFERROR(LOOKUP(2,1/(($B$3:$B716=B717)*($A$3:$A716&lt;A717)),$G$3:$G716),IFERROR(VLOOKUP(B717,'Inventory Master'!$A$3:$L$300,6,FALSE),0))</f>
      </c>
      <c r="D717" s="11">
        <f>SUMIFS(Purchases!$D:$D,Purchases!$A:$A,$A717,Purchases!$C:$C,$B717)</f>
      </c>
      <c r="E717" s="11">
        <f>SUMIFS('Sales Log'!$D:$D,'Sales Log'!$A:$A,$A717,'Sales Log'!$C:$C,$B717)</f>
      </c>
      <c r="F717" s="8"/>
      <c r="G717" s="8"/>
      <c r="H717" s="11">
        <f>C717+D717-E717-F717</f>
      </c>
      <c r="I717" s="11">
        <f>H717-G717</f>
      </c>
    </row>
    <row r="718" ht="21" customHeight="1" spans="1:9" x14ac:dyDescent="0.25">
      <c r="A718" s="8"/>
      <c r="B718" s="8"/>
      <c r="C718" s="11">
        <f>IFERROR(LOOKUP(2,1/(($B$3:$B717=B718)*($A$3:$A717&lt;A718)),$G$3:$G717),IFERROR(VLOOKUP(B718,'Inventory Master'!$A$3:$L$300,6,FALSE),0))</f>
      </c>
      <c r="D718" s="11">
        <f>SUMIFS(Purchases!$D:$D,Purchases!$A:$A,$A718,Purchases!$C:$C,$B718)</f>
      </c>
      <c r="E718" s="11">
        <f>SUMIFS('Sales Log'!$D:$D,'Sales Log'!$A:$A,$A718,'Sales Log'!$C:$C,$B718)</f>
      </c>
      <c r="F718" s="8"/>
      <c r="G718" s="8"/>
      <c r="H718" s="11">
        <f>C718+D718-E718-F718</f>
      </c>
      <c r="I718" s="11">
        <f>H718-G718</f>
      </c>
    </row>
    <row r="719" ht="21" customHeight="1" spans="1:9" x14ac:dyDescent="0.25">
      <c r="A719" s="8"/>
      <c r="B719" s="8"/>
      <c r="C719" s="11">
        <f>IFERROR(LOOKUP(2,1/(($B$3:$B718=B719)*($A$3:$A718&lt;A719)),$G$3:$G718),IFERROR(VLOOKUP(B719,'Inventory Master'!$A$3:$L$300,6,FALSE),0))</f>
      </c>
      <c r="D719" s="11">
        <f>SUMIFS(Purchases!$D:$D,Purchases!$A:$A,$A719,Purchases!$C:$C,$B719)</f>
      </c>
      <c r="E719" s="11">
        <f>SUMIFS('Sales Log'!$D:$D,'Sales Log'!$A:$A,$A719,'Sales Log'!$C:$C,$B719)</f>
      </c>
      <c r="F719" s="8"/>
      <c r="G719" s="8"/>
      <c r="H719" s="11">
        <f>C719+D719-E719-F719</f>
      </c>
      <c r="I719" s="11">
        <f>H719-G719</f>
      </c>
    </row>
    <row r="720" ht="21" customHeight="1" spans="1:9" x14ac:dyDescent="0.25">
      <c r="A720" s="8"/>
      <c r="B720" s="8"/>
      <c r="C720" s="11">
        <f>IFERROR(LOOKUP(2,1/(($B$3:$B719=B720)*($A$3:$A719&lt;A720)),$G$3:$G719),IFERROR(VLOOKUP(B720,'Inventory Master'!$A$3:$L$300,6,FALSE),0))</f>
      </c>
      <c r="D720" s="11">
        <f>SUMIFS(Purchases!$D:$D,Purchases!$A:$A,$A720,Purchases!$C:$C,$B720)</f>
      </c>
      <c r="E720" s="11">
        <f>SUMIFS('Sales Log'!$D:$D,'Sales Log'!$A:$A,$A720,'Sales Log'!$C:$C,$B720)</f>
      </c>
      <c r="F720" s="8"/>
      <c r="G720" s="8"/>
      <c r="H720" s="11">
        <f>C720+D720-E720-F720</f>
      </c>
      <c r="I720" s="11">
        <f>H720-G720</f>
      </c>
    </row>
    <row r="721" ht="21" customHeight="1" spans="1:9" x14ac:dyDescent="0.25">
      <c r="A721" s="8"/>
      <c r="B721" s="8"/>
      <c r="C721" s="11">
        <f>IFERROR(LOOKUP(2,1/(($B$3:$B720=B721)*($A$3:$A720&lt;A721)),$G$3:$G720),IFERROR(VLOOKUP(B721,'Inventory Master'!$A$3:$L$300,6,FALSE),0))</f>
      </c>
      <c r="D721" s="11">
        <f>SUMIFS(Purchases!$D:$D,Purchases!$A:$A,$A721,Purchases!$C:$C,$B721)</f>
      </c>
      <c r="E721" s="11">
        <f>SUMIFS('Sales Log'!$D:$D,'Sales Log'!$A:$A,$A721,'Sales Log'!$C:$C,$B721)</f>
      </c>
      <c r="F721" s="8"/>
      <c r="G721" s="8"/>
      <c r="H721" s="11">
        <f>C721+D721-E721-F721</f>
      </c>
      <c r="I721" s="11">
        <f>H721-G721</f>
      </c>
    </row>
    <row r="722" ht="21" customHeight="1" spans="1:9" x14ac:dyDescent="0.25">
      <c r="A722" s="8"/>
      <c r="B722" s="8"/>
      <c r="C722" s="11">
        <f>IFERROR(LOOKUP(2,1/(($B$3:$B721=B722)*($A$3:$A721&lt;A722)),$G$3:$G721),IFERROR(VLOOKUP(B722,'Inventory Master'!$A$3:$L$300,6,FALSE),0))</f>
      </c>
      <c r="D722" s="11">
        <f>SUMIFS(Purchases!$D:$D,Purchases!$A:$A,$A722,Purchases!$C:$C,$B722)</f>
      </c>
      <c r="E722" s="11">
        <f>SUMIFS('Sales Log'!$D:$D,'Sales Log'!$A:$A,$A722,'Sales Log'!$C:$C,$B722)</f>
      </c>
      <c r="F722" s="8"/>
      <c r="G722" s="8"/>
      <c r="H722" s="11">
        <f>C722+D722-E722-F722</f>
      </c>
      <c r="I722" s="11">
        <f>H722-G722</f>
      </c>
    </row>
    <row r="723" ht="21" customHeight="1" spans="1:9" x14ac:dyDescent="0.25">
      <c r="A723" s="8"/>
      <c r="B723" s="8"/>
      <c r="C723" s="11">
        <f>IFERROR(LOOKUP(2,1/(($B$3:$B722=B723)*($A$3:$A722&lt;A723)),$G$3:$G722),IFERROR(VLOOKUP(B723,'Inventory Master'!$A$3:$L$300,6,FALSE),0))</f>
      </c>
      <c r="D723" s="11">
        <f>SUMIFS(Purchases!$D:$D,Purchases!$A:$A,$A723,Purchases!$C:$C,$B723)</f>
      </c>
      <c r="E723" s="11">
        <f>SUMIFS('Sales Log'!$D:$D,'Sales Log'!$A:$A,$A723,'Sales Log'!$C:$C,$B723)</f>
      </c>
      <c r="F723" s="8"/>
      <c r="G723" s="8"/>
      <c r="H723" s="11">
        <f>C723+D723-E723-F723</f>
      </c>
      <c r="I723" s="11">
        <f>H723-G723</f>
      </c>
    </row>
    <row r="724" ht="21" customHeight="1" spans="1:9" x14ac:dyDescent="0.25">
      <c r="A724" s="8"/>
      <c r="B724" s="8"/>
      <c r="C724" s="11">
        <f>IFERROR(LOOKUP(2,1/(($B$3:$B723=B724)*($A$3:$A723&lt;A724)),$G$3:$G723),IFERROR(VLOOKUP(B724,'Inventory Master'!$A$3:$L$300,6,FALSE),0))</f>
      </c>
      <c r="D724" s="11">
        <f>SUMIFS(Purchases!$D:$D,Purchases!$A:$A,$A724,Purchases!$C:$C,$B724)</f>
      </c>
      <c r="E724" s="11">
        <f>SUMIFS('Sales Log'!$D:$D,'Sales Log'!$A:$A,$A724,'Sales Log'!$C:$C,$B724)</f>
      </c>
      <c r="F724" s="8"/>
      <c r="G724" s="8"/>
      <c r="H724" s="11">
        <f>C724+D724-E724-F724</f>
      </c>
      <c r="I724" s="11">
        <f>H724-G724</f>
      </c>
    </row>
    <row r="725" ht="21" customHeight="1" spans="1:9" x14ac:dyDescent="0.25">
      <c r="A725" s="8"/>
      <c r="B725" s="8"/>
      <c r="C725" s="11">
        <f>IFERROR(LOOKUP(2,1/(($B$3:$B724=B725)*($A$3:$A724&lt;A725)),$G$3:$G724),IFERROR(VLOOKUP(B725,'Inventory Master'!$A$3:$L$300,6,FALSE),0))</f>
      </c>
      <c r="D725" s="11">
        <f>SUMIFS(Purchases!$D:$D,Purchases!$A:$A,$A725,Purchases!$C:$C,$B725)</f>
      </c>
      <c r="E725" s="11">
        <f>SUMIFS('Sales Log'!$D:$D,'Sales Log'!$A:$A,$A725,'Sales Log'!$C:$C,$B725)</f>
      </c>
      <c r="F725" s="8"/>
      <c r="G725" s="8"/>
      <c r="H725" s="11">
        <f>C725+D725-E725-F725</f>
      </c>
      <c r="I725" s="11">
        <f>H725-G725</f>
      </c>
    </row>
    <row r="726" ht="21" customHeight="1" spans="1:9" x14ac:dyDescent="0.25">
      <c r="A726" s="8"/>
      <c r="B726" s="8"/>
      <c r="C726" s="11">
        <f>IFERROR(LOOKUP(2,1/(($B$3:$B725=B726)*($A$3:$A725&lt;A726)),$G$3:$G725),IFERROR(VLOOKUP(B726,'Inventory Master'!$A$3:$L$300,6,FALSE),0))</f>
      </c>
      <c r="D726" s="11">
        <f>SUMIFS(Purchases!$D:$D,Purchases!$A:$A,$A726,Purchases!$C:$C,$B726)</f>
      </c>
      <c r="E726" s="11">
        <f>SUMIFS('Sales Log'!$D:$D,'Sales Log'!$A:$A,$A726,'Sales Log'!$C:$C,$B726)</f>
      </c>
      <c r="F726" s="8"/>
      <c r="G726" s="8"/>
      <c r="H726" s="11">
        <f>C726+D726-E726-F726</f>
      </c>
      <c r="I726" s="11">
        <f>H726-G726</f>
      </c>
    </row>
    <row r="727" ht="21" customHeight="1" spans="1:9" x14ac:dyDescent="0.25">
      <c r="A727" s="8"/>
      <c r="B727" s="8"/>
      <c r="C727" s="11">
        <f>IFERROR(LOOKUP(2,1/(($B$3:$B726=B727)*($A$3:$A726&lt;A727)),$G$3:$G726),IFERROR(VLOOKUP(B727,'Inventory Master'!$A$3:$L$300,6,FALSE),0))</f>
      </c>
      <c r="D727" s="11">
        <f>SUMIFS(Purchases!$D:$D,Purchases!$A:$A,$A727,Purchases!$C:$C,$B727)</f>
      </c>
      <c r="E727" s="11">
        <f>SUMIFS('Sales Log'!$D:$D,'Sales Log'!$A:$A,$A727,'Sales Log'!$C:$C,$B727)</f>
      </c>
      <c r="F727" s="8"/>
      <c r="G727" s="8"/>
      <c r="H727" s="11">
        <f>C727+D727-E727-F727</f>
      </c>
      <c r="I727" s="11">
        <f>H727-G727</f>
      </c>
    </row>
    <row r="728" ht="21" customHeight="1" spans="1:9" x14ac:dyDescent="0.25">
      <c r="A728" s="8"/>
      <c r="B728" s="8"/>
      <c r="C728" s="11">
        <f>IFERROR(LOOKUP(2,1/(($B$3:$B727=B728)*($A$3:$A727&lt;A728)),$G$3:$G727),IFERROR(VLOOKUP(B728,'Inventory Master'!$A$3:$L$300,6,FALSE),0))</f>
      </c>
      <c r="D728" s="11">
        <f>SUMIFS(Purchases!$D:$D,Purchases!$A:$A,$A728,Purchases!$C:$C,$B728)</f>
      </c>
      <c r="E728" s="11">
        <f>SUMIFS('Sales Log'!$D:$D,'Sales Log'!$A:$A,$A728,'Sales Log'!$C:$C,$B728)</f>
      </c>
      <c r="F728" s="8"/>
      <c r="G728" s="8"/>
      <c r="H728" s="11">
        <f>C728+D728-E728-F728</f>
      </c>
      <c r="I728" s="11">
        <f>H728-G728</f>
      </c>
    </row>
    <row r="729" ht="21" customHeight="1" spans="1:9" x14ac:dyDescent="0.25">
      <c r="A729" s="8"/>
      <c r="B729" s="8"/>
      <c r="C729" s="11">
        <f>IFERROR(LOOKUP(2,1/(($B$3:$B728=B729)*($A$3:$A728&lt;A729)),$G$3:$G728),IFERROR(VLOOKUP(B729,'Inventory Master'!$A$3:$L$300,6,FALSE),0))</f>
      </c>
      <c r="D729" s="11">
        <f>SUMIFS(Purchases!$D:$D,Purchases!$A:$A,$A729,Purchases!$C:$C,$B729)</f>
      </c>
      <c r="E729" s="11">
        <f>SUMIFS('Sales Log'!$D:$D,'Sales Log'!$A:$A,$A729,'Sales Log'!$C:$C,$B729)</f>
      </c>
      <c r="F729" s="8"/>
      <c r="G729" s="8"/>
      <c r="H729" s="11">
        <f>C729+D729-E729-F729</f>
      </c>
      <c r="I729" s="11">
        <f>H729-G729</f>
      </c>
    </row>
    <row r="730" ht="21" customHeight="1" spans="1:9" x14ac:dyDescent="0.25">
      <c r="A730" s="8"/>
      <c r="B730" s="8"/>
      <c r="C730" s="11">
        <f>IFERROR(LOOKUP(2,1/(($B$3:$B729=B730)*($A$3:$A729&lt;A730)),$G$3:$G729),IFERROR(VLOOKUP(B730,'Inventory Master'!$A$3:$L$300,6,FALSE),0))</f>
      </c>
      <c r="D730" s="11">
        <f>SUMIFS(Purchases!$D:$D,Purchases!$A:$A,$A730,Purchases!$C:$C,$B730)</f>
      </c>
      <c r="E730" s="11">
        <f>SUMIFS('Sales Log'!$D:$D,'Sales Log'!$A:$A,$A730,'Sales Log'!$C:$C,$B730)</f>
      </c>
      <c r="F730" s="8"/>
      <c r="G730" s="8"/>
      <c r="H730" s="11">
        <f>C730+D730-E730-F730</f>
      </c>
      <c r="I730" s="11">
        <f>H730-G730</f>
      </c>
    </row>
    <row r="731" ht="21" customHeight="1" spans="1:9" x14ac:dyDescent="0.25">
      <c r="A731" s="8"/>
      <c r="B731" s="8"/>
      <c r="C731" s="11">
        <f>IFERROR(LOOKUP(2,1/(($B$3:$B730=B731)*($A$3:$A730&lt;A731)),$G$3:$G730),IFERROR(VLOOKUP(B731,'Inventory Master'!$A$3:$L$300,6,FALSE),0))</f>
      </c>
      <c r="D731" s="11">
        <f>SUMIFS(Purchases!$D:$D,Purchases!$A:$A,$A731,Purchases!$C:$C,$B731)</f>
      </c>
      <c r="E731" s="11">
        <f>SUMIFS('Sales Log'!$D:$D,'Sales Log'!$A:$A,$A731,'Sales Log'!$C:$C,$B731)</f>
      </c>
      <c r="F731" s="8"/>
      <c r="G731" s="8"/>
      <c r="H731" s="11">
        <f>C731+D731-E731-F731</f>
      </c>
      <c r="I731" s="11">
        <f>H731-G731</f>
      </c>
    </row>
    <row r="732" ht="21" customHeight="1" spans="1:9" x14ac:dyDescent="0.25">
      <c r="A732" s="8"/>
      <c r="B732" s="8"/>
      <c r="C732" s="11">
        <f>IFERROR(LOOKUP(2,1/(($B$3:$B731=B732)*($A$3:$A731&lt;A732)),$G$3:$G731),IFERROR(VLOOKUP(B732,'Inventory Master'!$A$3:$L$300,6,FALSE),0))</f>
      </c>
      <c r="D732" s="11">
        <f>SUMIFS(Purchases!$D:$D,Purchases!$A:$A,$A732,Purchases!$C:$C,$B732)</f>
      </c>
      <c r="E732" s="11">
        <f>SUMIFS('Sales Log'!$D:$D,'Sales Log'!$A:$A,$A732,'Sales Log'!$C:$C,$B732)</f>
      </c>
      <c r="F732" s="8"/>
      <c r="G732" s="8"/>
      <c r="H732" s="11">
        <f>C732+D732-E732-F732</f>
      </c>
      <c r="I732" s="11">
        <f>H732-G732</f>
      </c>
    </row>
    <row r="733" ht="21" customHeight="1" spans="1:9" x14ac:dyDescent="0.25">
      <c r="A733" s="8"/>
      <c r="B733" s="8"/>
      <c r="C733" s="11">
        <f>IFERROR(LOOKUP(2,1/(($B$3:$B732=B733)*($A$3:$A732&lt;A733)),$G$3:$G732),IFERROR(VLOOKUP(B733,'Inventory Master'!$A$3:$L$300,6,FALSE),0))</f>
      </c>
      <c r="D733" s="11">
        <f>SUMIFS(Purchases!$D:$D,Purchases!$A:$A,$A733,Purchases!$C:$C,$B733)</f>
      </c>
      <c r="E733" s="11">
        <f>SUMIFS('Sales Log'!$D:$D,'Sales Log'!$A:$A,$A733,'Sales Log'!$C:$C,$B733)</f>
      </c>
      <c r="F733" s="8"/>
      <c r="G733" s="8"/>
      <c r="H733" s="11">
        <f>C733+D733-E733-F733</f>
      </c>
      <c r="I733" s="11">
        <f>H733-G733</f>
      </c>
    </row>
    <row r="734" ht="21" customHeight="1" spans="1:9" x14ac:dyDescent="0.25">
      <c r="A734" s="8"/>
      <c r="B734" s="8"/>
      <c r="C734" s="11">
        <f>IFERROR(LOOKUP(2,1/(($B$3:$B733=B734)*($A$3:$A733&lt;A734)),$G$3:$G733),IFERROR(VLOOKUP(B734,'Inventory Master'!$A$3:$L$300,6,FALSE),0))</f>
      </c>
      <c r="D734" s="11">
        <f>SUMIFS(Purchases!$D:$D,Purchases!$A:$A,$A734,Purchases!$C:$C,$B734)</f>
      </c>
      <c r="E734" s="11">
        <f>SUMIFS('Sales Log'!$D:$D,'Sales Log'!$A:$A,$A734,'Sales Log'!$C:$C,$B734)</f>
      </c>
      <c r="F734" s="8"/>
      <c r="G734" s="8"/>
      <c r="H734" s="11">
        <f>C734+D734-E734-F734</f>
      </c>
      <c r="I734" s="11">
        <f>H734-G734</f>
      </c>
    </row>
    <row r="735" ht="21" customHeight="1" spans="1:9" x14ac:dyDescent="0.25">
      <c r="A735" s="8"/>
      <c r="B735" s="8"/>
      <c r="C735" s="11">
        <f>IFERROR(LOOKUP(2,1/(($B$3:$B734=B735)*($A$3:$A734&lt;A735)),$G$3:$G734),IFERROR(VLOOKUP(B735,'Inventory Master'!$A$3:$L$300,6,FALSE),0))</f>
      </c>
      <c r="D735" s="11">
        <f>SUMIFS(Purchases!$D:$D,Purchases!$A:$A,$A735,Purchases!$C:$C,$B735)</f>
      </c>
      <c r="E735" s="11">
        <f>SUMIFS('Sales Log'!$D:$D,'Sales Log'!$A:$A,$A735,'Sales Log'!$C:$C,$B735)</f>
      </c>
      <c r="F735" s="8"/>
      <c r="G735" s="8"/>
      <c r="H735" s="11">
        <f>C735+D735-E735-F735</f>
      </c>
      <c r="I735" s="11">
        <f>H735-G735</f>
      </c>
    </row>
    <row r="736" ht="21" customHeight="1" spans="1:9" x14ac:dyDescent="0.25">
      <c r="A736" s="8"/>
      <c r="B736" s="8"/>
      <c r="C736" s="11">
        <f>IFERROR(LOOKUP(2,1/(($B$3:$B735=B736)*($A$3:$A735&lt;A736)),$G$3:$G735),IFERROR(VLOOKUP(B736,'Inventory Master'!$A$3:$L$300,6,FALSE),0))</f>
      </c>
      <c r="D736" s="11">
        <f>SUMIFS(Purchases!$D:$D,Purchases!$A:$A,$A736,Purchases!$C:$C,$B736)</f>
      </c>
      <c r="E736" s="11">
        <f>SUMIFS('Sales Log'!$D:$D,'Sales Log'!$A:$A,$A736,'Sales Log'!$C:$C,$B736)</f>
      </c>
      <c r="F736" s="8"/>
      <c r="G736" s="8"/>
      <c r="H736" s="11">
        <f>C736+D736-E736-F736</f>
      </c>
      <c r="I736" s="11">
        <f>H736-G736</f>
      </c>
    </row>
    <row r="737" ht="21" customHeight="1" spans="1:9" x14ac:dyDescent="0.25">
      <c r="A737" s="8"/>
      <c r="B737" s="8"/>
      <c r="C737" s="11">
        <f>IFERROR(LOOKUP(2,1/(($B$3:$B736=B737)*($A$3:$A736&lt;A737)),$G$3:$G736),IFERROR(VLOOKUP(B737,'Inventory Master'!$A$3:$L$300,6,FALSE),0))</f>
      </c>
      <c r="D737" s="11">
        <f>SUMIFS(Purchases!$D:$D,Purchases!$A:$A,$A737,Purchases!$C:$C,$B737)</f>
      </c>
      <c r="E737" s="11">
        <f>SUMIFS('Sales Log'!$D:$D,'Sales Log'!$A:$A,$A737,'Sales Log'!$C:$C,$B737)</f>
      </c>
      <c r="F737" s="8"/>
      <c r="G737" s="8"/>
      <c r="H737" s="11">
        <f>C737+D737-E737-F737</f>
      </c>
      <c r="I737" s="11">
        <f>H737-G737</f>
      </c>
    </row>
    <row r="738" ht="21" customHeight="1" spans="1:9" x14ac:dyDescent="0.25">
      <c r="A738" s="8"/>
      <c r="B738" s="8"/>
      <c r="C738" s="11">
        <f>IFERROR(LOOKUP(2,1/(($B$3:$B737=B738)*($A$3:$A737&lt;A738)),$G$3:$G737),IFERROR(VLOOKUP(B738,'Inventory Master'!$A$3:$L$300,6,FALSE),0))</f>
      </c>
      <c r="D738" s="11">
        <f>SUMIFS(Purchases!$D:$D,Purchases!$A:$A,$A738,Purchases!$C:$C,$B738)</f>
      </c>
      <c r="E738" s="11">
        <f>SUMIFS('Sales Log'!$D:$D,'Sales Log'!$A:$A,$A738,'Sales Log'!$C:$C,$B738)</f>
      </c>
      <c r="F738" s="8"/>
      <c r="G738" s="8"/>
      <c r="H738" s="11">
        <f>C738+D738-E738-F738</f>
      </c>
      <c r="I738" s="11">
        <f>H738-G738</f>
      </c>
    </row>
    <row r="739" ht="21" customHeight="1" spans="1:9" x14ac:dyDescent="0.25">
      <c r="A739" s="8"/>
      <c r="B739" s="8"/>
      <c r="C739" s="11">
        <f>IFERROR(LOOKUP(2,1/(($B$3:$B738=B739)*($A$3:$A738&lt;A739)),$G$3:$G738),IFERROR(VLOOKUP(B739,'Inventory Master'!$A$3:$L$300,6,FALSE),0))</f>
      </c>
      <c r="D739" s="11">
        <f>SUMIFS(Purchases!$D:$D,Purchases!$A:$A,$A739,Purchases!$C:$C,$B739)</f>
      </c>
      <c r="E739" s="11">
        <f>SUMIFS('Sales Log'!$D:$D,'Sales Log'!$A:$A,$A739,'Sales Log'!$C:$C,$B739)</f>
      </c>
      <c r="F739" s="8"/>
      <c r="G739" s="8"/>
      <c r="H739" s="11">
        <f>C739+D739-E739-F739</f>
      </c>
      <c r="I739" s="11">
        <f>H739-G739</f>
      </c>
    </row>
    <row r="740" ht="21" customHeight="1" spans="1:9" x14ac:dyDescent="0.25">
      <c r="A740" s="8"/>
      <c r="B740" s="8"/>
      <c r="C740" s="11">
        <f>IFERROR(LOOKUP(2,1/(($B$3:$B739=B740)*($A$3:$A739&lt;A740)),$G$3:$G739),IFERROR(VLOOKUP(B740,'Inventory Master'!$A$3:$L$300,6,FALSE),0))</f>
      </c>
      <c r="D740" s="11">
        <f>SUMIFS(Purchases!$D:$D,Purchases!$A:$A,$A740,Purchases!$C:$C,$B740)</f>
      </c>
      <c r="E740" s="11">
        <f>SUMIFS('Sales Log'!$D:$D,'Sales Log'!$A:$A,$A740,'Sales Log'!$C:$C,$B740)</f>
      </c>
      <c r="F740" s="8"/>
      <c r="G740" s="8"/>
      <c r="H740" s="11">
        <f>C740+D740-E740-F740</f>
      </c>
      <c r="I740" s="11">
        <f>H740-G740</f>
      </c>
    </row>
    <row r="741" ht="21" customHeight="1" spans="1:9" x14ac:dyDescent="0.25">
      <c r="A741" s="8"/>
      <c r="B741" s="8"/>
      <c r="C741" s="11">
        <f>IFERROR(LOOKUP(2,1/(($B$3:$B740=B741)*($A$3:$A740&lt;A741)),$G$3:$G740),IFERROR(VLOOKUP(B741,'Inventory Master'!$A$3:$L$300,6,FALSE),0))</f>
      </c>
      <c r="D741" s="11">
        <f>SUMIFS(Purchases!$D:$D,Purchases!$A:$A,$A741,Purchases!$C:$C,$B741)</f>
      </c>
      <c r="E741" s="11">
        <f>SUMIFS('Sales Log'!$D:$D,'Sales Log'!$A:$A,$A741,'Sales Log'!$C:$C,$B741)</f>
      </c>
      <c r="F741" s="8"/>
      <c r="G741" s="8"/>
      <c r="H741" s="11">
        <f>C741+D741-E741-F741</f>
      </c>
      <c r="I741" s="11">
        <f>H741-G741</f>
      </c>
    </row>
    <row r="742" ht="21" customHeight="1" spans="1:9" x14ac:dyDescent="0.25">
      <c r="A742" s="8"/>
      <c r="B742" s="8"/>
      <c r="C742" s="11">
        <f>IFERROR(LOOKUP(2,1/(($B$3:$B741=B742)*($A$3:$A741&lt;A742)),$G$3:$G741),IFERROR(VLOOKUP(B742,'Inventory Master'!$A$3:$L$300,6,FALSE),0))</f>
      </c>
      <c r="D742" s="11">
        <f>SUMIFS(Purchases!$D:$D,Purchases!$A:$A,$A742,Purchases!$C:$C,$B742)</f>
      </c>
      <c r="E742" s="11">
        <f>SUMIFS('Sales Log'!$D:$D,'Sales Log'!$A:$A,$A742,'Sales Log'!$C:$C,$B742)</f>
      </c>
      <c r="F742" s="8"/>
      <c r="G742" s="8"/>
      <c r="H742" s="11">
        <f>C742+D742-E742-F742</f>
      </c>
      <c r="I742" s="11">
        <f>H742-G742</f>
      </c>
    </row>
    <row r="743" ht="21" customHeight="1" spans="1:9" x14ac:dyDescent="0.25">
      <c r="A743" s="8"/>
      <c r="B743" s="8"/>
      <c r="C743" s="11">
        <f>IFERROR(LOOKUP(2,1/(($B$3:$B742=B743)*($A$3:$A742&lt;A743)),$G$3:$G742),IFERROR(VLOOKUP(B743,'Inventory Master'!$A$3:$L$300,6,FALSE),0))</f>
      </c>
      <c r="D743" s="11">
        <f>SUMIFS(Purchases!$D:$D,Purchases!$A:$A,$A743,Purchases!$C:$C,$B743)</f>
      </c>
      <c r="E743" s="11">
        <f>SUMIFS('Sales Log'!$D:$D,'Sales Log'!$A:$A,$A743,'Sales Log'!$C:$C,$B743)</f>
      </c>
      <c r="F743" s="8"/>
      <c r="G743" s="8"/>
      <c r="H743" s="11">
        <f>C743+D743-E743-F743</f>
      </c>
      <c r="I743" s="11">
        <f>H743-G743</f>
      </c>
    </row>
    <row r="744" ht="21" customHeight="1" spans="1:9" x14ac:dyDescent="0.25">
      <c r="A744" s="8"/>
      <c r="B744" s="8"/>
      <c r="C744" s="11">
        <f>IFERROR(LOOKUP(2,1/(($B$3:$B743=B744)*($A$3:$A743&lt;A744)),$G$3:$G743),IFERROR(VLOOKUP(B744,'Inventory Master'!$A$3:$L$300,6,FALSE),0))</f>
      </c>
      <c r="D744" s="11">
        <f>SUMIFS(Purchases!$D:$D,Purchases!$A:$A,$A744,Purchases!$C:$C,$B744)</f>
      </c>
      <c r="E744" s="11">
        <f>SUMIFS('Sales Log'!$D:$D,'Sales Log'!$A:$A,$A744,'Sales Log'!$C:$C,$B744)</f>
      </c>
      <c r="F744" s="8"/>
      <c r="G744" s="8"/>
      <c r="H744" s="11">
        <f>C744+D744-E744-F744</f>
      </c>
      <c r="I744" s="11">
        <f>H744-G744</f>
      </c>
    </row>
    <row r="745" ht="21" customHeight="1" spans="1:9" x14ac:dyDescent="0.25">
      <c r="A745" s="8"/>
      <c r="B745" s="8"/>
      <c r="C745" s="11">
        <f>IFERROR(LOOKUP(2,1/(($B$3:$B744=B745)*($A$3:$A744&lt;A745)),$G$3:$G744),IFERROR(VLOOKUP(B745,'Inventory Master'!$A$3:$L$300,6,FALSE),0))</f>
      </c>
      <c r="D745" s="11">
        <f>SUMIFS(Purchases!$D:$D,Purchases!$A:$A,$A745,Purchases!$C:$C,$B745)</f>
      </c>
      <c r="E745" s="11">
        <f>SUMIFS('Sales Log'!$D:$D,'Sales Log'!$A:$A,$A745,'Sales Log'!$C:$C,$B745)</f>
      </c>
      <c r="F745" s="8"/>
      <c r="G745" s="8"/>
      <c r="H745" s="11">
        <f>C745+D745-E745-F745</f>
      </c>
      <c r="I745" s="11">
        <f>H745-G745</f>
      </c>
    </row>
    <row r="746" ht="21" customHeight="1" spans="1:9" x14ac:dyDescent="0.25">
      <c r="A746" s="8"/>
      <c r="B746" s="8"/>
      <c r="C746" s="11">
        <f>IFERROR(LOOKUP(2,1/(($B$3:$B745=B746)*($A$3:$A745&lt;A746)),$G$3:$G745),IFERROR(VLOOKUP(B746,'Inventory Master'!$A$3:$L$300,6,FALSE),0))</f>
      </c>
      <c r="D746" s="11">
        <f>SUMIFS(Purchases!$D:$D,Purchases!$A:$A,$A746,Purchases!$C:$C,$B746)</f>
      </c>
      <c r="E746" s="11">
        <f>SUMIFS('Sales Log'!$D:$D,'Sales Log'!$A:$A,$A746,'Sales Log'!$C:$C,$B746)</f>
      </c>
      <c r="F746" s="8"/>
      <c r="G746" s="8"/>
      <c r="H746" s="11">
        <f>C746+D746-E746-F746</f>
      </c>
      <c r="I746" s="11">
        <f>H746-G746</f>
      </c>
    </row>
    <row r="747" ht="21" customHeight="1" spans="1:9" x14ac:dyDescent="0.25">
      <c r="A747" s="8"/>
      <c r="B747" s="8"/>
      <c r="C747" s="11">
        <f>IFERROR(LOOKUP(2,1/(($B$3:$B746=B747)*($A$3:$A746&lt;A747)),$G$3:$G746),IFERROR(VLOOKUP(B747,'Inventory Master'!$A$3:$L$300,6,FALSE),0))</f>
      </c>
      <c r="D747" s="11">
        <f>SUMIFS(Purchases!$D:$D,Purchases!$A:$A,$A747,Purchases!$C:$C,$B747)</f>
      </c>
      <c r="E747" s="11">
        <f>SUMIFS('Sales Log'!$D:$D,'Sales Log'!$A:$A,$A747,'Sales Log'!$C:$C,$B747)</f>
      </c>
      <c r="F747" s="8"/>
      <c r="G747" s="8"/>
      <c r="H747" s="11">
        <f>C747+D747-E747-F747</f>
      </c>
      <c r="I747" s="11">
        <f>H747-G747</f>
      </c>
    </row>
    <row r="748" ht="21" customHeight="1" spans="1:9" x14ac:dyDescent="0.25">
      <c r="A748" s="8"/>
      <c r="B748" s="8"/>
      <c r="C748" s="11">
        <f>IFERROR(LOOKUP(2,1/(($B$3:$B747=B748)*($A$3:$A747&lt;A748)),$G$3:$G747),IFERROR(VLOOKUP(B748,'Inventory Master'!$A$3:$L$300,6,FALSE),0))</f>
      </c>
      <c r="D748" s="11">
        <f>SUMIFS(Purchases!$D:$D,Purchases!$A:$A,$A748,Purchases!$C:$C,$B748)</f>
      </c>
      <c r="E748" s="11">
        <f>SUMIFS('Sales Log'!$D:$D,'Sales Log'!$A:$A,$A748,'Sales Log'!$C:$C,$B748)</f>
      </c>
      <c r="F748" s="8"/>
      <c r="G748" s="8"/>
      <c r="H748" s="11">
        <f>C748+D748-E748-F748</f>
      </c>
      <c r="I748" s="11">
        <f>H748-G748</f>
      </c>
    </row>
    <row r="749" ht="21" customHeight="1" spans="1:9" x14ac:dyDescent="0.25">
      <c r="A749" s="8"/>
      <c r="B749" s="8"/>
      <c r="C749" s="11">
        <f>IFERROR(LOOKUP(2,1/(($B$3:$B748=B749)*($A$3:$A748&lt;A749)),$G$3:$G748),IFERROR(VLOOKUP(B749,'Inventory Master'!$A$3:$L$300,6,FALSE),0))</f>
      </c>
      <c r="D749" s="11">
        <f>SUMIFS(Purchases!$D:$D,Purchases!$A:$A,$A749,Purchases!$C:$C,$B749)</f>
      </c>
      <c r="E749" s="11">
        <f>SUMIFS('Sales Log'!$D:$D,'Sales Log'!$A:$A,$A749,'Sales Log'!$C:$C,$B749)</f>
      </c>
      <c r="F749" s="8"/>
      <c r="G749" s="8"/>
      <c r="H749" s="11">
        <f>C749+D749-E749-F749</f>
      </c>
      <c r="I749" s="11">
        <f>H749-G749</f>
      </c>
    </row>
    <row r="750" ht="21" customHeight="1" spans="1:9" x14ac:dyDescent="0.25">
      <c r="A750" s="8"/>
      <c r="B750" s="8"/>
      <c r="C750" s="11">
        <f>IFERROR(LOOKUP(2,1/(($B$3:$B749=B750)*($A$3:$A749&lt;A750)),$G$3:$G749),IFERROR(VLOOKUP(B750,'Inventory Master'!$A$3:$L$300,6,FALSE),0))</f>
      </c>
      <c r="D750" s="11">
        <f>SUMIFS(Purchases!$D:$D,Purchases!$A:$A,$A750,Purchases!$C:$C,$B750)</f>
      </c>
      <c r="E750" s="11">
        <f>SUMIFS('Sales Log'!$D:$D,'Sales Log'!$A:$A,$A750,'Sales Log'!$C:$C,$B750)</f>
      </c>
      <c r="F750" s="8"/>
      <c r="G750" s="8"/>
      <c r="H750" s="11">
        <f>C750+D750-E750-F750</f>
      </c>
      <c r="I750" s="11">
        <f>H750-G750</f>
      </c>
    </row>
    <row r="751" ht="21" customHeight="1" spans="1:9" x14ac:dyDescent="0.25">
      <c r="A751" s="8"/>
      <c r="B751" s="8"/>
      <c r="C751" s="11">
        <f>IFERROR(LOOKUP(2,1/(($B$3:$B750=B751)*($A$3:$A750&lt;A751)),$G$3:$G750),IFERROR(VLOOKUP(B751,'Inventory Master'!$A$3:$L$300,6,FALSE),0))</f>
      </c>
      <c r="D751" s="11">
        <f>SUMIFS(Purchases!$D:$D,Purchases!$A:$A,$A751,Purchases!$C:$C,$B751)</f>
      </c>
      <c r="E751" s="11">
        <f>SUMIFS('Sales Log'!$D:$D,'Sales Log'!$A:$A,$A751,'Sales Log'!$C:$C,$B751)</f>
      </c>
      <c r="F751" s="8"/>
      <c r="G751" s="8"/>
      <c r="H751" s="11">
        <f>C751+D751-E751-F751</f>
      </c>
      <c r="I751" s="11">
        <f>H751-G751</f>
      </c>
    </row>
    <row r="752" ht="21" customHeight="1" spans="1:9" x14ac:dyDescent="0.25">
      <c r="A752" s="8"/>
      <c r="B752" s="8"/>
      <c r="C752" s="11">
        <f>IFERROR(LOOKUP(2,1/(($B$3:$B751=B752)*($A$3:$A751&lt;A752)),$G$3:$G751),IFERROR(VLOOKUP(B752,'Inventory Master'!$A$3:$L$300,6,FALSE),0))</f>
      </c>
      <c r="D752" s="11">
        <f>SUMIFS(Purchases!$D:$D,Purchases!$A:$A,$A752,Purchases!$C:$C,$B752)</f>
      </c>
      <c r="E752" s="11">
        <f>SUMIFS('Sales Log'!$D:$D,'Sales Log'!$A:$A,$A752,'Sales Log'!$C:$C,$B752)</f>
      </c>
      <c r="F752" s="8"/>
      <c r="G752" s="8"/>
      <c r="H752" s="11">
        <f>C752+D752-E752-F752</f>
      </c>
      <c r="I752" s="11">
        <f>H752-G752</f>
      </c>
    </row>
    <row r="753" ht="21" customHeight="1" spans="1:9" x14ac:dyDescent="0.25">
      <c r="A753" s="8"/>
      <c r="B753" s="8"/>
      <c r="C753" s="11">
        <f>IFERROR(LOOKUP(2,1/(($B$3:$B752=B753)*($A$3:$A752&lt;A753)),$G$3:$G752),IFERROR(VLOOKUP(B753,'Inventory Master'!$A$3:$L$300,6,FALSE),0))</f>
      </c>
      <c r="D753" s="11">
        <f>SUMIFS(Purchases!$D:$D,Purchases!$A:$A,$A753,Purchases!$C:$C,$B753)</f>
      </c>
      <c r="E753" s="11">
        <f>SUMIFS('Sales Log'!$D:$D,'Sales Log'!$A:$A,$A753,'Sales Log'!$C:$C,$B753)</f>
      </c>
      <c r="F753" s="8"/>
      <c r="G753" s="8"/>
      <c r="H753" s="11">
        <f>C753+D753-E753-F753</f>
      </c>
      <c r="I753" s="11">
        <f>H753-G753</f>
      </c>
    </row>
    <row r="754" ht="21" customHeight="1" spans="1:9" x14ac:dyDescent="0.25">
      <c r="A754" s="8"/>
      <c r="B754" s="8"/>
      <c r="C754" s="11">
        <f>IFERROR(LOOKUP(2,1/(($B$3:$B753=B754)*($A$3:$A753&lt;A754)),$G$3:$G753),IFERROR(VLOOKUP(B754,'Inventory Master'!$A$3:$L$300,6,FALSE),0))</f>
      </c>
      <c r="D754" s="11">
        <f>SUMIFS(Purchases!$D:$D,Purchases!$A:$A,$A754,Purchases!$C:$C,$B754)</f>
      </c>
      <c r="E754" s="11">
        <f>SUMIFS('Sales Log'!$D:$D,'Sales Log'!$A:$A,$A754,'Sales Log'!$C:$C,$B754)</f>
      </c>
      <c r="F754" s="8"/>
      <c r="G754" s="8"/>
      <c r="H754" s="11">
        <f>C754+D754-E754-F754</f>
      </c>
      <c r="I754" s="11">
        <f>H754-G754</f>
      </c>
    </row>
    <row r="755" ht="21" customHeight="1" spans="1:9" x14ac:dyDescent="0.25">
      <c r="A755" s="8"/>
      <c r="B755" s="8"/>
      <c r="C755" s="11">
        <f>IFERROR(LOOKUP(2,1/(($B$3:$B754=B755)*($A$3:$A754&lt;A755)),$G$3:$G754),IFERROR(VLOOKUP(B755,'Inventory Master'!$A$3:$L$300,6,FALSE),0))</f>
      </c>
      <c r="D755" s="11">
        <f>SUMIFS(Purchases!$D:$D,Purchases!$A:$A,$A755,Purchases!$C:$C,$B755)</f>
      </c>
      <c r="E755" s="11">
        <f>SUMIFS('Sales Log'!$D:$D,'Sales Log'!$A:$A,$A755,'Sales Log'!$C:$C,$B755)</f>
      </c>
      <c r="F755" s="8"/>
      <c r="G755" s="8"/>
      <c r="H755" s="11">
        <f>C755+D755-E755-F755</f>
      </c>
      <c r="I755" s="11">
        <f>H755-G755</f>
      </c>
    </row>
    <row r="756" ht="21" customHeight="1" spans="1:9" x14ac:dyDescent="0.25">
      <c r="A756" s="8"/>
      <c r="B756" s="8"/>
      <c r="C756" s="11">
        <f>IFERROR(LOOKUP(2,1/(($B$3:$B755=B756)*($A$3:$A755&lt;A756)),$G$3:$G755),IFERROR(VLOOKUP(B756,'Inventory Master'!$A$3:$L$300,6,FALSE),0))</f>
      </c>
      <c r="D756" s="11">
        <f>SUMIFS(Purchases!$D:$D,Purchases!$A:$A,$A756,Purchases!$C:$C,$B756)</f>
      </c>
      <c r="E756" s="11">
        <f>SUMIFS('Sales Log'!$D:$D,'Sales Log'!$A:$A,$A756,'Sales Log'!$C:$C,$B756)</f>
      </c>
      <c r="F756" s="8"/>
      <c r="G756" s="8"/>
      <c r="H756" s="11">
        <f>C756+D756-E756-F756</f>
      </c>
      <c r="I756" s="11">
        <f>H756-G756</f>
      </c>
    </row>
    <row r="757" ht="21" customHeight="1" spans="1:9" x14ac:dyDescent="0.25">
      <c r="A757" s="8"/>
      <c r="B757" s="8"/>
      <c r="C757" s="11">
        <f>IFERROR(LOOKUP(2,1/(($B$3:$B756=B757)*($A$3:$A756&lt;A757)),$G$3:$G756),IFERROR(VLOOKUP(B757,'Inventory Master'!$A$3:$L$300,6,FALSE),0))</f>
      </c>
      <c r="D757" s="11">
        <f>SUMIFS(Purchases!$D:$D,Purchases!$A:$A,$A757,Purchases!$C:$C,$B757)</f>
      </c>
      <c r="E757" s="11">
        <f>SUMIFS('Sales Log'!$D:$D,'Sales Log'!$A:$A,$A757,'Sales Log'!$C:$C,$B757)</f>
      </c>
      <c r="F757" s="8"/>
      <c r="G757" s="8"/>
      <c r="H757" s="11">
        <f>C757+D757-E757-F757</f>
      </c>
      <c r="I757" s="11">
        <f>H757-G757</f>
      </c>
    </row>
    <row r="758" ht="21" customHeight="1" spans="1:9" x14ac:dyDescent="0.25">
      <c r="A758" s="8"/>
      <c r="B758" s="8"/>
      <c r="C758" s="11">
        <f>IFERROR(LOOKUP(2,1/(($B$3:$B757=B758)*($A$3:$A757&lt;A758)),$G$3:$G757),IFERROR(VLOOKUP(B758,'Inventory Master'!$A$3:$L$300,6,FALSE),0))</f>
      </c>
      <c r="D758" s="11">
        <f>SUMIFS(Purchases!$D:$D,Purchases!$A:$A,$A758,Purchases!$C:$C,$B758)</f>
      </c>
      <c r="E758" s="11">
        <f>SUMIFS('Sales Log'!$D:$D,'Sales Log'!$A:$A,$A758,'Sales Log'!$C:$C,$B758)</f>
      </c>
      <c r="F758" s="8"/>
      <c r="G758" s="8"/>
      <c r="H758" s="11">
        <f>C758+D758-E758-F758</f>
      </c>
      <c r="I758" s="11">
        <f>H758-G758</f>
      </c>
    </row>
    <row r="759" ht="21" customHeight="1" spans="1:9" x14ac:dyDescent="0.25">
      <c r="A759" s="8"/>
      <c r="B759" s="8"/>
      <c r="C759" s="11">
        <f>IFERROR(LOOKUP(2,1/(($B$3:$B758=B759)*($A$3:$A758&lt;A759)),$G$3:$G758),IFERROR(VLOOKUP(B759,'Inventory Master'!$A$3:$L$300,6,FALSE),0))</f>
      </c>
      <c r="D759" s="11">
        <f>SUMIFS(Purchases!$D:$D,Purchases!$A:$A,$A759,Purchases!$C:$C,$B759)</f>
      </c>
      <c r="E759" s="11">
        <f>SUMIFS('Sales Log'!$D:$D,'Sales Log'!$A:$A,$A759,'Sales Log'!$C:$C,$B759)</f>
      </c>
      <c r="F759" s="8"/>
      <c r="G759" s="8"/>
      <c r="H759" s="11">
        <f>C759+D759-E759-F759</f>
      </c>
      <c r="I759" s="11">
        <f>H759-G759</f>
      </c>
    </row>
    <row r="760" ht="21" customHeight="1" spans="1:9" x14ac:dyDescent="0.25">
      <c r="A760" s="8"/>
      <c r="B760" s="8"/>
      <c r="C760" s="11">
        <f>IFERROR(LOOKUP(2,1/(($B$3:$B759=B760)*($A$3:$A759&lt;A760)),$G$3:$G759),IFERROR(VLOOKUP(B760,'Inventory Master'!$A$3:$L$300,6,FALSE),0))</f>
      </c>
      <c r="D760" s="11">
        <f>SUMIFS(Purchases!$D:$D,Purchases!$A:$A,$A760,Purchases!$C:$C,$B760)</f>
      </c>
      <c r="E760" s="11">
        <f>SUMIFS('Sales Log'!$D:$D,'Sales Log'!$A:$A,$A760,'Sales Log'!$C:$C,$B760)</f>
      </c>
      <c r="F760" s="8"/>
      <c r="G760" s="8"/>
      <c r="H760" s="11">
        <f>C760+D760-E760-F760</f>
      </c>
      <c r="I760" s="11">
        <f>H760-G760</f>
      </c>
    </row>
    <row r="761" ht="21" customHeight="1" spans="1:9" x14ac:dyDescent="0.25">
      <c r="A761" s="8"/>
      <c r="B761" s="8"/>
      <c r="C761" s="11">
        <f>IFERROR(LOOKUP(2,1/(($B$3:$B760=B761)*($A$3:$A760&lt;A761)),$G$3:$G760),IFERROR(VLOOKUP(B761,'Inventory Master'!$A$3:$L$300,6,FALSE),0))</f>
      </c>
      <c r="D761" s="11">
        <f>SUMIFS(Purchases!$D:$D,Purchases!$A:$A,$A761,Purchases!$C:$C,$B761)</f>
      </c>
      <c r="E761" s="11">
        <f>SUMIFS('Sales Log'!$D:$D,'Sales Log'!$A:$A,$A761,'Sales Log'!$C:$C,$B761)</f>
      </c>
      <c r="F761" s="8"/>
      <c r="G761" s="8"/>
      <c r="H761" s="11">
        <f>C761+D761-E761-F761</f>
      </c>
      <c r="I761" s="11">
        <f>H761-G761</f>
      </c>
    </row>
    <row r="762" ht="21" customHeight="1" spans="1:9" x14ac:dyDescent="0.25">
      <c r="A762" s="8"/>
      <c r="B762" s="8"/>
      <c r="C762" s="11">
        <f>IFERROR(LOOKUP(2,1/(($B$3:$B761=B762)*($A$3:$A761&lt;A762)),$G$3:$G761),IFERROR(VLOOKUP(B762,'Inventory Master'!$A$3:$L$300,6,FALSE),0))</f>
      </c>
      <c r="D762" s="11">
        <f>SUMIFS(Purchases!$D:$D,Purchases!$A:$A,$A762,Purchases!$C:$C,$B762)</f>
      </c>
      <c r="E762" s="11">
        <f>SUMIFS('Sales Log'!$D:$D,'Sales Log'!$A:$A,$A762,'Sales Log'!$C:$C,$B762)</f>
      </c>
      <c r="F762" s="8"/>
      <c r="G762" s="8"/>
      <c r="H762" s="11">
        <f>C762+D762-E762-F762</f>
      </c>
      <c r="I762" s="11">
        <f>H762-G762</f>
      </c>
    </row>
    <row r="763" ht="21" customHeight="1" spans="1:9" x14ac:dyDescent="0.25">
      <c r="A763" s="8"/>
      <c r="B763" s="8"/>
      <c r="C763" s="11">
        <f>IFERROR(LOOKUP(2,1/(($B$3:$B762=B763)*($A$3:$A762&lt;A763)),$G$3:$G762),IFERROR(VLOOKUP(B763,'Inventory Master'!$A$3:$L$300,6,FALSE),0))</f>
      </c>
      <c r="D763" s="11">
        <f>SUMIFS(Purchases!$D:$D,Purchases!$A:$A,$A763,Purchases!$C:$C,$B763)</f>
      </c>
      <c r="E763" s="11">
        <f>SUMIFS('Sales Log'!$D:$D,'Sales Log'!$A:$A,$A763,'Sales Log'!$C:$C,$B763)</f>
      </c>
      <c r="F763" s="8"/>
      <c r="G763" s="8"/>
      <c r="H763" s="11">
        <f>C763+D763-E763-F763</f>
      </c>
      <c r="I763" s="11">
        <f>H763-G763</f>
      </c>
    </row>
    <row r="764" ht="21" customHeight="1" spans="1:9" x14ac:dyDescent="0.25">
      <c r="A764" s="8"/>
      <c r="B764" s="8"/>
      <c r="C764" s="11">
        <f>IFERROR(LOOKUP(2,1/(($B$3:$B763=B764)*($A$3:$A763&lt;A764)),$G$3:$G763),IFERROR(VLOOKUP(B764,'Inventory Master'!$A$3:$L$300,6,FALSE),0))</f>
      </c>
      <c r="D764" s="11">
        <f>SUMIFS(Purchases!$D:$D,Purchases!$A:$A,$A764,Purchases!$C:$C,$B764)</f>
      </c>
      <c r="E764" s="11">
        <f>SUMIFS('Sales Log'!$D:$D,'Sales Log'!$A:$A,$A764,'Sales Log'!$C:$C,$B764)</f>
      </c>
      <c r="F764" s="8"/>
      <c r="G764" s="8"/>
      <c r="H764" s="11">
        <f>C764+D764-E764-F764</f>
      </c>
      <c r="I764" s="11">
        <f>H764-G764</f>
      </c>
    </row>
    <row r="765" ht="21" customHeight="1" spans="1:9" x14ac:dyDescent="0.25">
      <c r="A765" s="8"/>
      <c r="B765" s="8"/>
      <c r="C765" s="11">
        <f>IFERROR(LOOKUP(2,1/(($B$3:$B764=B765)*($A$3:$A764&lt;A765)),$G$3:$G764),IFERROR(VLOOKUP(B765,'Inventory Master'!$A$3:$L$300,6,FALSE),0))</f>
      </c>
      <c r="D765" s="11">
        <f>SUMIFS(Purchases!$D:$D,Purchases!$A:$A,$A765,Purchases!$C:$C,$B765)</f>
      </c>
      <c r="E765" s="11">
        <f>SUMIFS('Sales Log'!$D:$D,'Sales Log'!$A:$A,$A765,'Sales Log'!$C:$C,$B765)</f>
      </c>
      <c r="F765" s="8"/>
      <c r="G765" s="8"/>
      <c r="H765" s="11">
        <f>C765+D765-E765-F765</f>
      </c>
      <c r="I765" s="11">
        <f>H765-G765</f>
      </c>
    </row>
    <row r="766" ht="21" customHeight="1" spans="1:9" x14ac:dyDescent="0.25">
      <c r="A766" s="8"/>
      <c r="B766" s="8"/>
      <c r="C766" s="11">
        <f>IFERROR(LOOKUP(2,1/(($B$3:$B765=B766)*($A$3:$A765&lt;A766)),$G$3:$G765),IFERROR(VLOOKUP(B766,'Inventory Master'!$A$3:$L$300,6,FALSE),0))</f>
      </c>
      <c r="D766" s="11">
        <f>SUMIFS(Purchases!$D:$D,Purchases!$A:$A,$A766,Purchases!$C:$C,$B766)</f>
      </c>
      <c r="E766" s="11">
        <f>SUMIFS('Sales Log'!$D:$D,'Sales Log'!$A:$A,$A766,'Sales Log'!$C:$C,$B766)</f>
      </c>
      <c r="F766" s="8"/>
      <c r="G766" s="8"/>
      <c r="H766" s="11">
        <f>C766+D766-E766-F766</f>
      </c>
      <c r="I766" s="11">
        <f>H766-G766</f>
      </c>
    </row>
    <row r="767" ht="21" customHeight="1" spans="1:9" x14ac:dyDescent="0.25">
      <c r="A767" s="8"/>
      <c r="B767" s="8"/>
      <c r="C767" s="11">
        <f>IFERROR(LOOKUP(2,1/(($B$3:$B766=B767)*($A$3:$A766&lt;A767)),$G$3:$G766),IFERROR(VLOOKUP(B767,'Inventory Master'!$A$3:$L$300,6,FALSE),0))</f>
      </c>
      <c r="D767" s="11">
        <f>SUMIFS(Purchases!$D:$D,Purchases!$A:$A,$A767,Purchases!$C:$C,$B767)</f>
      </c>
      <c r="E767" s="11">
        <f>SUMIFS('Sales Log'!$D:$D,'Sales Log'!$A:$A,$A767,'Sales Log'!$C:$C,$B767)</f>
      </c>
      <c r="F767" s="8"/>
      <c r="G767" s="8"/>
      <c r="H767" s="11">
        <f>C767+D767-E767-F767</f>
      </c>
      <c r="I767" s="11">
        <f>H767-G767</f>
      </c>
    </row>
    <row r="768" ht="21" customHeight="1" spans="1:9" x14ac:dyDescent="0.25">
      <c r="A768" s="8"/>
      <c r="B768" s="8"/>
      <c r="C768" s="11">
        <f>IFERROR(LOOKUP(2,1/(($B$3:$B767=B768)*($A$3:$A767&lt;A768)),$G$3:$G767),IFERROR(VLOOKUP(B768,'Inventory Master'!$A$3:$L$300,6,FALSE),0))</f>
      </c>
      <c r="D768" s="11">
        <f>SUMIFS(Purchases!$D:$D,Purchases!$A:$A,$A768,Purchases!$C:$C,$B768)</f>
      </c>
      <c r="E768" s="11">
        <f>SUMIFS('Sales Log'!$D:$D,'Sales Log'!$A:$A,$A768,'Sales Log'!$C:$C,$B768)</f>
      </c>
      <c r="F768" s="8"/>
      <c r="G768" s="8"/>
      <c r="H768" s="11">
        <f>C768+D768-E768-F768</f>
      </c>
      <c r="I768" s="11">
        <f>H768-G768</f>
      </c>
    </row>
    <row r="769" ht="21" customHeight="1" spans="1:9" x14ac:dyDescent="0.25">
      <c r="A769" s="8"/>
      <c r="B769" s="8"/>
      <c r="C769" s="11">
        <f>IFERROR(LOOKUP(2,1/(($B$3:$B768=B769)*($A$3:$A768&lt;A769)),$G$3:$G768),IFERROR(VLOOKUP(B769,'Inventory Master'!$A$3:$L$300,6,FALSE),0))</f>
      </c>
      <c r="D769" s="11">
        <f>SUMIFS(Purchases!$D:$D,Purchases!$A:$A,$A769,Purchases!$C:$C,$B769)</f>
      </c>
      <c r="E769" s="11">
        <f>SUMIFS('Sales Log'!$D:$D,'Sales Log'!$A:$A,$A769,'Sales Log'!$C:$C,$B769)</f>
      </c>
      <c r="F769" s="8"/>
      <c r="G769" s="8"/>
      <c r="H769" s="11">
        <f>C769+D769-E769-F769</f>
      </c>
      <c r="I769" s="11">
        <f>H769-G769</f>
      </c>
    </row>
    <row r="770" ht="21" customHeight="1" spans="1:9" x14ac:dyDescent="0.25">
      <c r="A770" s="8"/>
      <c r="B770" s="8"/>
      <c r="C770" s="11">
        <f>IFERROR(LOOKUP(2,1/(($B$3:$B769=B770)*($A$3:$A769&lt;A770)),$G$3:$G769),IFERROR(VLOOKUP(B770,'Inventory Master'!$A$3:$L$300,6,FALSE),0))</f>
      </c>
      <c r="D770" s="11">
        <f>SUMIFS(Purchases!$D:$D,Purchases!$A:$A,$A770,Purchases!$C:$C,$B770)</f>
      </c>
      <c r="E770" s="11">
        <f>SUMIFS('Sales Log'!$D:$D,'Sales Log'!$A:$A,$A770,'Sales Log'!$C:$C,$B770)</f>
      </c>
      <c r="F770" s="8"/>
      <c r="G770" s="8"/>
      <c r="H770" s="11">
        <f>C770+D770-E770-F770</f>
      </c>
      <c r="I770" s="11">
        <f>H770-G770</f>
      </c>
    </row>
    <row r="771" ht="21" customHeight="1" spans="1:9" x14ac:dyDescent="0.25">
      <c r="A771" s="8"/>
      <c r="B771" s="8"/>
      <c r="C771" s="11">
        <f>IFERROR(LOOKUP(2,1/(($B$3:$B770=B771)*($A$3:$A770&lt;A771)),$G$3:$G770),IFERROR(VLOOKUP(B771,'Inventory Master'!$A$3:$L$300,6,FALSE),0))</f>
      </c>
      <c r="D771" s="11">
        <f>SUMIFS(Purchases!$D:$D,Purchases!$A:$A,$A771,Purchases!$C:$C,$B771)</f>
      </c>
      <c r="E771" s="11">
        <f>SUMIFS('Sales Log'!$D:$D,'Sales Log'!$A:$A,$A771,'Sales Log'!$C:$C,$B771)</f>
      </c>
      <c r="F771" s="8"/>
      <c r="G771" s="8"/>
      <c r="H771" s="11">
        <f>C771+D771-E771-F771</f>
      </c>
      <c r="I771" s="11">
        <f>H771-G771</f>
      </c>
    </row>
    <row r="772" ht="21" customHeight="1" spans="1:9" x14ac:dyDescent="0.25">
      <c r="A772" s="8"/>
      <c r="B772" s="8"/>
      <c r="C772" s="11">
        <f>IFERROR(LOOKUP(2,1/(($B$3:$B771=B772)*($A$3:$A771&lt;A772)),$G$3:$G771),IFERROR(VLOOKUP(B772,'Inventory Master'!$A$3:$L$300,6,FALSE),0))</f>
      </c>
      <c r="D772" s="11">
        <f>SUMIFS(Purchases!$D:$D,Purchases!$A:$A,$A772,Purchases!$C:$C,$B772)</f>
      </c>
      <c r="E772" s="11">
        <f>SUMIFS('Sales Log'!$D:$D,'Sales Log'!$A:$A,$A772,'Sales Log'!$C:$C,$B772)</f>
      </c>
      <c r="F772" s="8"/>
      <c r="G772" s="8"/>
      <c r="H772" s="11">
        <f>C772+D772-E772-F772</f>
      </c>
      <c r="I772" s="11">
        <f>H772-G772</f>
      </c>
    </row>
    <row r="773" ht="21" customHeight="1" spans="1:9" x14ac:dyDescent="0.25">
      <c r="A773" s="8"/>
      <c r="B773" s="8"/>
      <c r="C773" s="11">
        <f>IFERROR(LOOKUP(2,1/(($B$3:$B772=B773)*($A$3:$A772&lt;A773)),$G$3:$G772),IFERROR(VLOOKUP(B773,'Inventory Master'!$A$3:$L$300,6,FALSE),0))</f>
      </c>
      <c r="D773" s="11">
        <f>SUMIFS(Purchases!$D:$D,Purchases!$A:$A,$A773,Purchases!$C:$C,$B773)</f>
      </c>
      <c r="E773" s="11">
        <f>SUMIFS('Sales Log'!$D:$D,'Sales Log'!$A:$A,$A773,'Sales Log'!$C:$C,$B773)</f>
      </c>
      <c r="F773" s="8"/>
      <c r="G773" s="8"/>
      <c r="H773" s="11">
        <f>C773+D773-E773-F773</f>
      </c>
      <c r="I773" s="11">
        <f>H773-G773</f>
      </c>
    </row>
    <row r="774" ht="21" customHeight="1" spans="1:9" x14ac:dyDescent="0.25">
      <c r="A774" s="8"/>
      <c r="B774" s="8"/>
      <c r="C774" s="11">
        <f>IFERROR(LOOKUP(2,1/(($B$3:$B773=B774)*($A$3:$A773&lt;A774)),$G$3:$G773),IFERROR(VLOOKUP(B774,'Inventory Master'!$A$3:$L$300,6,FALSE),0))</f>
      </c>
      <c r="D774" s="11">
        <f>SUMIFS(Purchases!$D:$D,Purchases!$A:$A,$A774,Purchases!$C:$C,$B774)</f>
      </c>
      <c r="E774" s="11">
        <f>SUMIFS('Sales Log'!$D:$D,'Sales Log'!$A:$A,$A774,'Sales Log'!$C:$C,$B774)</f>
      </c>
      <c r="F774" s="8"/>
      <c r="G774" s="8"/>
      <c r="H774" s="11">
        <f>C774+D774-E774-F774</f>
      </c>
      <c r="I774" s="11">
        <f>H774-G774</f>
      </c>
    </row>
    <row r="775" ht="21" customHeight="1" spans="1:9" x14ac:dyDescent="0.25">
      <c r="A775" s="8"/>
      <c r="B775" s="8"/>
      <c r="C775" s="11">
        <f>IFERROR(LOOKUP(2,1/(($B$3:$B774=B775)*($A$3:$A774&lt;A775)),$G$3:$G774),IFERROR(VLOOKUP(B775,'Inventory Master'!$A$3:$L$300,6,FALSE),0))</f>
      </c>
      <c r="D775" s="11">
        <f>SUMIFS(Purchases!$D:$D,Purchases!$A:$A,$A775,Purchases!$C:$C,$B775)</f>
      </c>
      <c r="E775" s="11">
        <f>SUMIFS('Sales Log'!$D:$D,'Sales Log'!$A:$A,$A775,'Sales Log'!$C:$C,$B775)</f>
      </c>
      <c r="F775" s="8"/>
      <c r="G775" s="8"/>
      <c r="H775" s="11">
        <f>C775+D775-E775-F775</f>
      </c>
      <c r="I775" s="11">
        <f>H775-G775</f>
      </c>
    </row>
    <row r="776" ht="21" customHeight="1" spans="1:9" x14ac:dyDescent="0.25">
      <c r="A776" s="8"/>
      <c r="B776" s="8"/>
      <c r="C776" s="11">
        <f>IFERROR(LOOKUP(2,1/(($B$3:$B775=B776)*($A$3:$A775&lt;A776)),$G$3:$G775),IFERROR(VLOOKUP(B776,'Inventory Master'!$A$3:$L$300,6,FALSE),0))</f>
      </c>
      <c r="D776" s="11">
        <f>SUMIFS(Purchases!$D:$D,Purchases!$A:$A,$A776,Purchases!$C:$C,$B776)</f>
      </c>
      <c r="E776" s="11">
        <f>SUMIFS('Sales Log'!$D:$D,'Sales Log'!$A:$A,$A776,'Sales Log'!$C:$C,$B776)</f>
      </c>
      <c r="F776" s="8"/>
      <c r="G776" s="8"/>
      <c r="H776" s="11">
        <f>C776+D776-E776-F776</f>
      </c>
      <c r="I776" s="11">
        <f>H776-G776</f>
      </c>
    </row>
    <row r="777" ht="21" customHeight="1" spans="1:9" x14ac:dyDescent="0.25">
      <c r="A777" s="8"/>
      <c r="B777" s="8"/>
      <c r="C777" s="11">
        <f>IFERROR(LOOKUP(2,1/(($B$3:$B776=B777)*($A$3:$A776&lt;A777)),$G$3:$G776),IFERROR(VLOOKUP(B777,'Inventory Master'!$A$3:$L$300,6,FALSE),0))</f>
      </c>
      <c r="D777" s="11">
        <f>SUMIFS(Purchases!$D:$D,Purchases!$A:$A,$A777,Purchases!$C:$C,$B777)</f>
      </c>
      <c r="E777" s="11">
        <f>SUMIFS('Sales Log'!$D:$D,'Sales Log'!$A:$A,$A777,'Sales Log'!$C:$C,$B777)</f>
      </c>
      <c r="F777" s="8"/>
      <c r="G777" s="8"/>
      <c r="H777" s="11">
        <f>C777+D777-E777-F777</f>
      </c>
      <c r="I777" s="11">
        <f>H777-G777</f>
      </c>
    </row>
    <row r="778" ht="21" customHeight="1" spans="1:9" x14ac:dyDescent="0.25">
      <c r="A778" s="8"/>
      <c r="B778" s="8"/>
      <c r="C778" s="11">
        <f>IFERROR(LOOKUP(2,1/(($B$3:$B777=B778)*($A$3:$A777&lt;A778)),$G$3:$G777),IFERROR(VLOOKUP(B778,'Inventory Master'!$A$3:$L$300,6,FALSE),0))</f>
      </c>
      <c r="D778" s="11">
        <f>SUMIFS(Purchases!$D:$D,Purchases!$A:$A,$A778,Purchases!$C:$C,$B778)</f>
      </c>
      <c r="E778" s="11">
        <f>SUMIFS('Sales Log'!$D:$D,'Sales Log'!$A:$A,$A778,'Sales Log'!$C:$C,$B778)</f>
      </c>
      <c r="F778" s="8"/>
      <c r="G778" s="8"/>
      <c r="H778" s="11">
        <f>C778+D778-E778-F778</f>
      </c>
      <c r="I778" s="11">
        <f>H778-G778</f>
      </c>
    </row>
    <row r="779" ht="21" customHeight="1" spans="1:9" x14ac:dyDescent="0.25">
      <c r="A779" s="8"/>
      <c r="B779" s="8"/>
      <c r="C779" s="11">
        <f>IFERROR(LOOKUP(2,1/(($B$3:$B778=B779)*($A$3:$A778&lt;A779)),$G$3:$G778),IFERROR(VLOOKUP(B779,'Inventory Master'!$A$3:$L$300,6,FALSE),0))</f>
      </c>
      <c r="D779" s="11">
        <f>SUMIFS(Purchases!$D:$D,Purchases!$A:$A,$A779,Purchases!$C:$C,$B779)</f>
      </c>
      <c r="E779" s="11">
        <f>SUMIFS('Sales Log'!$D:$D,'Sales Log'!$A:$A,$A779,'Sales Log'!$C:$C,$B779)</f>
      </c>
      <c r="F779" s="8"/>
      <c r="G779" s="8"/>
      <c r="H779" s="11">
        <f>C779+D779-E779-F779</f>
      </c>
      <c r="I779" s="11">
        <f>H779-G779</f>
      </c>
    </row>
    <row r="780" ht="21" customHeight="1" spans="1:9" x14ac:dyDescent="0.25">
      <c r="A780" s="8"/>
      <c r="B780" s="8"/>
      <c r="C780" s="11">
        <f>IFERROR(LOOKUP(2,1/(($B$3:$B779=B780)*($A$3:$A779&lt;A780)),$G$3:$G779),IFERROR(VLOOKUP(B780,'Inventory Master'!$A$3:$L$300,6,FALSE),0))</f>
      </c>
      <c r="D780" s="11">
        <f>SUMIFS(Purchases!$D:$D,Purchases!$A:$A,$A780,Purchases!$C:$C,$B780)</f>
      </c>
      <c r="E780" s="11">
        <f>SUMIFS('Sales Log'!$D:$D,'Sales Log'!$A:$A,$A780,'Sales Log'!$C:$C,$B780)</f>
      </c>
      <c r="F780" s="8"/>
      <c r="G780" s="8"/>
      <c r="H780" s="11">
        <f>C780+D780-E780-F780</f>
      </c>
      <c r="I780" s="11">
        <f>H780-G780</f>
      </c>
    </row>
    <row r="781" ht="21" customHeight="1" spans="1:9" x14ac:dyDescent="0.25">
      <c r="A781" s="8"/>
      <c r="B781" s="8"/>
      <c r="C781" s="11">
        <f>IFERROR(LOOKUP(2,1/(($B$3:$B780=B781)*($A$3:$A780&lt;A781)),$G$3:$G780),IFERROR(VLOOKUP(B781,'Inventory Master'!$A$3:$L$300,6,FALSE),0))</f>
      </c>
      <c r="D781" s="11">
        <f>SUMIFS(Purchases!$D:$D,Purchases!$A:$A,$A781,Purchases!$C:$C,$B781)</f>
      </c>
      <c r="E781" s="11">
        <f>SUMIFS('Sales Log'!$D:$D,'Sales Log'!$A:$A,$A781,'Sales Log'!$C:$C,$B781)</f>
      </c>
      <c r="F781" s="8"/>
      <c r="G781" s="8"/>
      <c r="H781" s="11">
        <f>C781+D781-E781-F781</f>
      </c>
      <c r="I781" s="11">
        <f>H781-G781</f>
      </c>
    </row>
    <row r="782" ht="21" customHeight="1" spans="1:9" x14ac:dyDescent="0.25">
      <c r="A782" s="8"/>
      <c r="B782" s="8"/>
      <c r="C782" s="11">
        <f>IFERROR(LOOKUP(2,1/(($B$3:$B781=B782)*($A$3:$A781&lt;A782)),$G$3:$G781),IFERROR(VLOOKUP(B782,'Inventory Master'!$A$3:$L$300,6,FALSE),0))</f>
      </c>
      <c r="D782" s="11">
        <f>SUMIFS(Purchases!$D:$D,Purchases!$A:$A,$A782,Purchases!$C:$C,$B782)</f>
      </c>
      <c r="E782" s="11">
        <f>SUMIFS('Sales Log'!$D:$D,'Sales Log'!$A:$A,$A782,'Sales Log'!$C:$C,$B782)</f>
      </c>
      <c r="F782" s="8"/>
      <c r="G782" s="8"/>
      <c r="H782" s="11">
        <f>C782+D782-E782-F782</f>
      </c>
      <c r="I782" s="11">
        <f>H782-G782</f>
      </c>
    </row>
    <row r="783" ht="21" customHeight="1" spans="1:9" x14ac:dyDescent="0.25">
      <c r="A783" s="8"/>
      <c r="B783" s="8"/>
      <c r="C783" s="11">
        <f>IFERROR(LOOKUP(2,1/(($B$3:$B782=B783)*($A$3:$A782&lt;A783)),$G$3:$G782),IFERROR(VLOOKUP(B783,'Inventory Master'!$A$3:$L$300,6,FALSE),0))</f>
      </c>
      <c r="D783" s="11">
        <f>SUMIFS(Purchases!$D:$D,Purchases!$A:$A,$A783,Purchases!$C:$C,$B783)</f>
      </c>
      <c r="E783" s="11">
        <f>SUMIFS('Sales Log'!$D:$D,'Sales Log'!$A:$A,$A783,'Sales Log'!$C:$C,$B783)</f>
      </c>
      <c r="F783" s="8"/>
      <c r="G783" s="8"/>
      <c r="H783" s="11">
        <f>C783+D783-E783-F783</f>
      </c>
      <c r="I783" s="11">
        <f>H783-G783</f>
      </c>
    </row>
    <row r="784" ht="21" customHeight="1" spans="1:9" x14ac:dyDescent="0.25">
      <c r="A784" s="8"/>
      <c r="B784" s="8"/>
      <c r="C784" s="11">
        <f>IFERROR(LOOKUP(2,1/(($B$3:$B783=B784)*($A$3:$A783&lt;A784)),$G$3:$G783),IFERROR(VLOOKUP(B784,'Inventory Master'!$A$3:$L$300,6,FALSE),0))</f>
      </c>
      <c r="D784" s="11">
        <f>SUMIFS(Purchases!$D:$D,Purchases!$A:$A,$A784,Purchases!$C:$C,$B784)</f>
      </c>
      <c r="E784" s="11">
        <f>SUMIFS('Sales Log'!$D:$D,'Sales Log'!$A:$A,$A784,'Sales Log'!$C:$C,$B784)</f>
      </c>
      <c r="F784" s="8"/>
      <c r="G784" s="8"/>
      <c r="H784" s="11">
        <f>C784+D784-E784-F784</f>
      </c>
      <c r="I784" s="11">
        <f>H784-G784</f>
      </c>
    </row>
    <row r="785" ht="21" customHeight="1" spans="1:9" x14ac:dyDescent="0.25">
      <c r="A785" s="8"/>
      <c r="B785" s="8"/>
      <c r="C785" s="11">
        <f>IFERROR(LOOKUP(2,1/(($B$3:$B784=B785)*($A$3:$A784&lt;A785)),$G$3:$G784),IFERROR(VLOOKUP(B785,'Inventory Master'!$A$3:$L$300,6,FALSE),0))</f>
      </c>
      <c r="D785" s="11">
        <f>SUMIFS(Purchases!$D:$D,Purchases!$A:$A,$A785,Purchases!$C:$C,$B785)</f>
      </c>
      <c r="E785" s="11">
        <f>SUMIFS('Sales Log'!$D:$D,'Sales Log'!$A:$A,$A785,'Sales Log'!$C:$C,$B785)</f>
      </c>
      <c r="F785" s="8"/>
      <c r="G785" s="8"/>
      <c r="H785" s="11">
        <f>C785+D785-E785-F785</f>
      </c>
      <c r="I785" s="11">
        <f>H785-G785</f>
      </c>
    </row>
    <row r="786" ht="21" customHeight="1" spans="1:9" x14ac:dyDescent="0.25">
      <c r="A786" s="8"/>
      <c r="B786" s="8"/>
      <c r="C786" s="11">
        <f>IFERROR(LOOKUP(2,1/(($B$3:$B785=B786)*($A$3:$A785&lt;A786)),$G$3:$G785),IFERROR(VLOOKUP(B786,'Inventory Master'!$A$3:$L$300,6,FALSE),0))</f>
      </c>
      <c r="D786" s="11">
        <f>SUMIFS(Purchases!$D:$D,Purchases!$A:$A,$A786,Purchases!$C:$C,$B786)</f>
      </c>
      <c r="E786" s="11">
        <f>SUMIFS('Sales Log'!$D:$D,'Sales Log'!$A:$A,$A786,'Sales Log'!$C:$C,$B786)</f>
      </c>
      <c r="F786" s="8"/>
      <c r="G786" s="8"/>
      <c r="H786" s="11">
        <f>C786+D786-E786-F786</f>
      </c>
      <c r="I786" s="11">
        <f>H786-G786</f>
      </c>
    </row>
    <row r="787" ht="21" customHeight="1" spans="1:9" x14ac:dyDescent="0.25">
      <c r="A787" s="8"/>
      <c r="B787" s="8"/>
      <c r="C787" s="11">
        <f>IFERROR(LOOKUP(2,1/(($B$3:$B786=B787)*($A$3:$A786&lt;A787)),$G$3:$G786),IFERROR(VLOOKUP(B787,'Inventory Master'!$A$3:$L$300,6,FALSE),0))</f>
      </c>
      <c r="D787" s="11">
        <f>SUMIFS(Purchases!$D:$D,Purchases!$A:$A,$A787,Purchases!$C:$C,$B787)</f>
      </c>
      <c r="E787" s="11">
        <f>SUMIFS('Sales Log'!$D:$D,'Sales Log'!$A:$A,$A787,'Sales Log'!$C:$C,$B787)</f>
      </c>
      <c r="F787" s="8"/>
      <c r="G787" s="8"/>
      <c r="H787" s="11">
        <f>C787+D787-E787-F787</f>
      </c>
      <c r="I787" s="11">
        <f>H787-G787</f>
      </c>
    </row>
    <row r="788" ht="21" customHeight="1" spans="1:9" x14ac:dyDescent="0.25">
      <c r="A788" s="8"/>
      <c r="B788" s="8"/>
      <c r="C788" s="11">
        <f>IFERROR(LOOKUP(2,1/(($B$3:$B787=B788)*($A$3:$A787&lt;A788)),$G$3:$G787),IFERROR(VLOOKUP(B788,'Inventory Master'!$A$3:$L$300,6,FALSE),0))</f>
      </c>
      <c r="D788" s="11">
        <f>SUMIFS(Purchases!$D:$D,Purchases!$A:$A,$A788,Purchases!$C:$C,$B788)</f>
      </c>
      <c r="E788" s="11">
        <f>SUMIFS('Sales Log'!$D:$D,'Sales Log'!$A:$A,$A788,'Sales Log'!$C:$C,$B788)</f>
      </c>
      <c r="F788" s="8"/>
      <c r="G788" s="8"/>
      <c r="H788" s="11">
        <f>C788+D788-E788-F788</f>
      </c>
      <c r="I788" s="11">
        <f>H788-G788</f>
      </c>
    </row>
    <row r="789" ht="21" customHeight="1" spans="1:9" x14ac:dyDescent="0.25">
      <c r="A789" s="8"/>
      <c r="B789" s="8"/>
      <c r="C789" s="11">
        <f>IFERROR(LOOKUP(2,1/(($B$3:$B788=B789)*($A$3:$A788&lt;A789)),$G$3:$G788),IFERROR(VLOOKUP(B789,'Inventory Master'!$A$3:$L$300,6,FALSE),0))</f>
      </c>
      <c r="D789" s="11">
        <f>SUMIFS(Purchases!$D:$D,Purchases!$A:$A,$A789,Purchases!$C:$C,$B789)</f>
      </c>
      <c r="E789" s="11">
        <f>SUMIFS('Sales Log'!$D:$D,'Sales Log'!$A:$A,$A789,'Sales Log'!$C:$C,$B789)</f>
      </c>
      <c r="F789" s="8"/>
      <c r="G789" s="8"/>
      <c r="H789" s="11">
        <f>C789+D789-E789-F789</f>
      </c>
      <c r="I789" s="11">
        <f>H789-G789</f>
      </c>
    </row>
    <row r="790" ht="21" customHeight="1" spans="1:9" x14ac:dyDescent="0.25">
      <c r="A790" s="8"/>
      <c r="B790" s="8"/>
      <c r="C790" s="11">
        <f>IFERROR(LOOKUP(2,1/(($B$3:$B789=B790)*($A$3:$A789&lt;A790)),$G$3:$G789),IFERROR(VLOOKUP(B790,'Inventory Master'!$A$3:$L$300,6,FALSE),0))</f>
      </c>
      <c r="D790" s="11">
        <f>SUMIFS(Purchases!$D:$D,Purchases!$A:$A,$A790,Purchases!$C:$C,$B790)</f>
      </c>
      <c r="E790" s="11">
        <f>SUMIFS('Sales Log'!$D:$D,'Sales Log'!$A:$A,$A790,'Sales Log'!$C:$C,$B790)</f>
      </c>
      <c r="F790" s="8"/>
      <c r="G790" s="8"/>
      <c r="H790" s="11">
        <f>C790+D790-E790-F790</f>
      </c>
      <c r="I790" s="11">
        <f>H790-G790</f>
      </c>
    </row>
    <row r="791" ht="21" customHeight="1" spans="1:9" x14ac:dyDescent="0.25">
      <c r="A791" s="8"/>
      <c r="B791" s="8"/>
      <c r="C791" s="11">
        <f>IFERROR(LOOKUP(2,1/(($B$3:$B790=B791)*($A$3:$A790&lt;A791)),$G$3:$G790),IFERROR(VLOOKUP(B791,'Inventory Master'!$A$3:$L$300,6,FALSE),0))</f>
      </c>
      <c r="D791" s="11">
        <f>SUMIFS(Purchases!$D:$D,Purchases!$A:$A,$A791,Purchases!$C:$C,$B791)</f>
      </c>
      <c r="E791" s="11">
        <f>SUMIFS('Sales Log'!$D:$D,'Sales Log'!$A:$A,$A791,'Sales Log'!$C:$C,$B791)</f>
      </c>
      <c r="F791" s="8"/>
      <c r="G791" s="8"/>
      <c r="H791" s="11">
        <f>C791+D791-E791-F791</f>
      </c>
      <c r="I791" s="11">
        <f>H791-G791</f>
      </c>
    </row>
    <row r="792" ht="21" customHeight="1" spans="1:9" x14ac:dyDescent="0.25">
      <c r="A792" s="8"/>
      <c r="B792" s="8"/>
      <c r="C792" s="11">
        <f>IFERROR(LOOKUP(2,1/(($B$3:$B791=B792)*($A$3:$A791&lt;A792)),$G$3:$G791),IFERROR(VLOOKUP(B792,'Inventory Master'!$A$3:$L$300,6,FALSE),0))</f>
      </c>
      <c r="D792" s="11">
        <f>SUMIFS(Purchases!$D:$D,Purchases!$A:$A,$A792,Purchases!$C:$C,$B792)</f>
      </c>
      <c r="E792" s="11">
        <f>SUMIFS('Sales Log'!$D:$D,'Sales Log'!$A:$A,$A792,'Sales Log'!$C:$C,$B792)</f>
      </c>
      <c r="F792" s="8"/>
      <c r="G792" s="8"/>
      <c r="H792" s="11">
        <f>C792+D792-E792-F792</f>
      </c>
      <c r="I792" s="11">
        <f>H792-G792</f>
      </c>
    </row>
    <row r="793" ht="21" customHeight="1" spans="1:9" x14ac:dyDescent="0.25">
      <c r="A793" s="8"/>
      <c r="B793" s="8"/>
      <c r="C793" s="11">
        <f>IFERROR(LOOKUP(2,1/(($B$3:$B792=B793)*($A$3:$A792&lt;A793)),$G$3:$G792),IFERROR(VLOOKUP(B793,'Inventory Master'!$A$3:$L$300,6,FALSE),0))</f>
      </c>
      <c r="D793" s="11">
        <f>SUMIFS(Purchases!$D:$D,Purchases!$A:$A,$A793,Purchases!$C:$C,$B793)</f>
      </c>
      <c r="E793" s="11">
        <f>SUMIFS('Sales Log'!$D:$D,'Sales Log'!$A:$A,$A793,'Sales Log'!$C:$C,$B793)</f>
      </c>
      <c r="F793" s="8"/>
      <c r="G793" s="8"/>
      <c r="H793" s="11">
        <f>C793+D793-E793-F793</f>
      </c>
      <c r="I793" s="11">
        <f>H793-G793</f>
      </c>
    </row>
    <row r="794" ht="21" customHeight="1" spans="1:9" x14ac:dyDescent="0.25">
      <c r="A794" s="8"/>
      <c r="B794" s="8"/>
      <c r="C794" s="11">
        <f>IFERROR(LOOKUP(2,1/(($B$3:$B793=B794)*($A$3:$A793&lt;A794)),$G$3:$G793),IFERROR(VLOOKUP(B794,'Inventory Master'!$A$3:$L$300,6,FALSE),0))</f>
      </c>
      <c r="D794" s="11">
        <f>SUMIFS(Purchases!$D:$D,Purchases!$A:$A,$A794,Purchases!$C:$C,$B794)</f>
      </c>
      <c r="E794" s="11">
        <f>SUMIFS('Sales Log'!$D:$D,'Sales Log'!$A:$A,$A794,'Sales Log'!$C:$C,$B794)</f>
      </c>
      <c r="F794" s="8"/>
      <c r="G794" s="8"/>
      <c r="H794" s="11">
        <f>C794+D794-E794-F794</f>
      </c>
      <c r="I794" s="11">
        <f>H794-G794</f>
      </c>
    </row>
    <row r="795" ht="21" customHeight="1" spans="1:9" x14ac:dyDescent="0.25">
      <c r="A795" s="8"/>
      <c r="B795" s="8"/>
      <c r="C795" s="11">
        <f>IFERROR(LOOKUP(2,1/(($B$3:$B794=B795)*($A$3:$A794&lt;A795)),$G$3:$G794),IFERROR(VLOOKUP(B795,'Inventory Master'!$A$3:$L$300,6,FALSE),0))</f>
      </c>
      <c r="D795" s="11">
        <f>SUMIFS(Purchases!$D:$D,Purchases!$A:$A,$A795,Purchases!$C:$C,$B795)</f>
      </c>
      <c r="E795" s="11">
        <f>SUMIFS('Sales Log'!$D:$D,'Sales Log'!$A:$A,$A795,'Sales Log'!$C:$C,$B795)</f>
      </c>
      <c r="F795" s="8"/>
      <c r="G795" s="8"/>
      <c r="H795" s="11">
        <f>C795+D795-E795-F795</f>
      </c>
      <c r="I795" s="11">
        <f>H795-G795</f>
      </c>
    </row>
    <row r="796" ht="21" customHeight="1" spans="1:9" x14ac:dyDescent="0.25">
      <c r="A796" s="8"/>
      <c r="B796" s="8"/>
      <c r="C796" s="11">
        <f>IFERROR(LOOKUP(2,1/(($B$3:$B795=B796)*($A$3:$A795&lt;A796)),$G$3:$G795),IFERROR(VLOOKUP(B796,'Inventory Master'!$A$3:$L$300,6,FALSE),0))</f>
      </c>
      <c r="D796" s="11">
        <f>SUMIFS(Purchases!$D:$D,Purchases!$A:$A,$A796,Purchases!$C:$C,$B796)</f>
      </c>
      <c r="E796" s="11">
        <f>SUMIFS('Sales Log'!$D:$D,'Sales Log'!$A:$A,$A796,'Sales Log'!$C:$C,$B796)</f>
      </c>
      <c r="F796" s="8"/>
      <c r="G796" s="8"/>
      <c r="H796" s="11">
        <f>C796+D796-E796-F796</f>
      </c>
      <c r="I796" s="11">
        <f>H796-G796</f>
      </c>
    </row>
    <row r="797" ht="21" customHeight="1" spans="1:9" x14ac:dyDescent="0.25">
      <c r="A797" s="8"/>
      <c r="B797" s="8"/>
      <c r="C797" s="11">
        <f>IFERROR(LOOKUP(2,1/(($B$3:$B796=B797)*($A$3:$A796&lt;A797)),$G$3:$G796),IFERROR(VLOOKUP(B797,'Inventory Master'!$A$3:$L$300,6,FALSE),0))</f>
      </c>
      <c r="D797" s="11">
        <f>SUMIFS(Purchases!$D:$D,Purchases!$A:$A,$A797,Purchases!$C:$C,$B797)</f>
      </c>
      <c r="E797" s="11">
        <f>SUMIFS('Sales Log'!$D:$D,'Sales Log'!$A:$A,$A797,'Sales Log'!$C:$C,$B797)</f>
      </c>
      <c r="F797" s="8"/>
      <c r="G797" s="8"/>
      <c r="H797" s="11">
        <f>C797+D797-E797-F797</f>
      </c>
      <c r="I797" s="11">
        <f>H797-G797</f>
      </c>
    </row>
    <row r="798" ht="21" customHeight="1" spans="1:9" x14ac:dyDescent="0.25">
      <c r="A798" s="8"/>
      <c r="B798" s="8"/>
      <c r="C798" s="11">
        <f>IFERROR(LOOKUP(2,1/(($B$3:$B797=B798)*($A$3:$A797&lt;A798)),$G$3:$G797),IFERROR(VLOOKUP(B798,'Inventory Master'!$A$3:$L$300,6,FALSE),0))</f>
      </c>
      <c r="D798" s="11">
        <f>SUMIFS(Purchases!$D:$D,Purchases!$A:$A,$A798,Purchases!$C:$C,$B798)</f>
      </c>
      <c r="E798" s="11">
        <f>SUMIFS('Sales Log'!$D:$D,'Sales Log'!$A:$A,$A798,'Sales Log'!$C:$C,$B798)</f>
      </c>
      <c r="F798" s="8"/>
      <c r="G798" s="8"/>
      <c r="H798" s="11">
        <f>C798+D798-E798-F798</f>
      </c>
      <c r="I798" s="11">
        <f>H798-G798</f>
      </c>
    </row>
    <row r="799" ht="21" customHeight="1" spans="1:9" x14ac:dyDescent="0.25">
      <c r="A799" s="8"/>
      <c r="B799" s="8"/>
      <c r="C799" s="11">
        <f>IFERROR(LOOKUP(2,1/(($B$3:$B798=B799)*($A$3:$A798&lt;A799)),$G$3:$G798),IFERROR(VLOOKUP(B799,'Inventory Master'!$A$3:$L$300,6,FALSE),0))</f>
      </c>
      <c r="D799" s="11">
        <f>SUMIFS(Purchases!$D:$D,Purchases!$A:$A,$A799,Purchases!$C:$C,$B799)</f>
      </c>
      <c r="E799" s="11">
        <f>SUMIFS('Sales Log'!$D:$D,'Sales Log'!$A:$A,$A799,'Sales Log'!$C:$C,$B799)</f>
      </c>
      <c r="F799" s="8"/>
      <c r="G799" s="8"/>
      <c r="H799" s="11">
        <f>C799+D799-E799-F799</f>
      </c>
      <c r="I799" s="11">
        <f>H799-G799</f>
      </c>
    </row>
    <row r="800" ht="21" customHeight="1" spans="1:9" x14ac:dyDescent="0.25">
      <c r="A800" s="8"/>
      <c r="B800" s="8"/>
      <c r="C800" s="11">
        <f>IFERROR(LOOKUP(2,1/(($B$3:$B799=B800)*($A$3:$A799&lt;A800)),$G$3:$G799),IFERROR(VLOOKUP(B800,'Inventory Master'!$A$3:$L$300,6,FALSE),0))</f>
      </c>
      <c r="D800" s="11">
        <f>SUMIFS(Purchases!$D:$D,Purchases!$A:$A,$A800,Purchases!$C:$C,$B800)</f>
      </c>
      <c r="E800" s="11">
        <f>SUMIFS('Sales Log'!$D:$D,'Sales Log'!$A:$A,$A800,'Sales Log'!$C:$C,$B800)</f>
      </c>
      <c r="F800" s="8"/>
      <c r="G800" s="8"/>
      <c r="H800" s="11">
        <f>C800+D800-E800-F800</f>
      </c>
      <c r="I800" s="11">
        <f>H800-G800</f>
      </c>
    </row>
    <row r="801" ht="21" customHeight="1" spans="1:9" x14ac:dyDescent="0.25">
      <c r="A801" s="8"/>
      <c r="B801" s="8"/>
      <c r="C801" s="11">
        <f>IFERROR(LOOKUP(2,1/(($B$3:$B800=B801)*($A$3:$A800&lt;A801)),$G$3:$G800),IFERROR(VLOOKUP(B801,'Inventory Master'!$A$3:$L$300,6,FALSE),0))</f>
      </c>
      <c r="D801" s="11">
        <f>SUMIFS(Purchases!$D:$D,Purchases!$A:$A,$A801,Purchases!$C:$C,$B801)</f>
      </c>
      <c r="E801" s="11">
        <f>SUMIFS('Sales Log'!$D:$D,'Sales Log'!$A:$A,$A801,'Sales Log'!$C:$C,$B801)</f>
      </c>
      <c r="F801" s="8"/>
      <c r="G801" s="8"/>
      <c r="H801" s="11">
        <f>C801+D801-E801-F801</f>
      </c>
      <c r="I801" s="11">
        <f>H801-G801</f>
      </c>
    </row>
    <row r="802" ht="21" customHeight="1" spans="1:9" x14ac:dyDescent="0.25">
      <c r="A802" s="8"/>
      <c r="B802" s="8"/>
      <c r="C802" s="11">
        <f>IFERROR(LOOKUP(2,1/(($B$3:$B801=B802)*($A$3:$A801&lt;A802)),$G$3:$G801),IFERROR(VLOOKUP(B802,'Inventory Master'!$A$3:$L$300,6,FALSE),0))</f>
      </c>
      <c r="D802" s="11">
        <f>SUMIFS(Purchases!$D:$D,Purchases!$A:$A,$A802,Purchases!$C:$C,$B802)</f>
      </c>
      <c r="E802" s="11">
        <f>SUMIFS('Sales Log'!$D:$D,'Sales Log'!$A:$A,$A802,'Sales Log'!$C:$C,$B802)</f>
      </c>
      <c r="F802" s="8"/>
      <c r="G802" s="8"/>
      <c r="H802" s="11">
        <f>C802+D802-E802-F802</f>
      </c>
      <c r="I802" s="11">
        <f>H802-G802</f>
      </c>
    </row>
    <row r="803" ht="21" customHeight="1" spans="1:9" x14ac:dyDescent="0.25">
      <c r="A803" s="8"/>
      <c r="B803" s="8"/>
      <c r="C803" s="11">
        <f>IFERROR(LOOKUP(2,1/(($B$3:$B802=B803)*($A$3:$A802&lt;A803)),$G$3:$G802),IFERROR(VLOOKUP(B803,'Inventory Master'!$A$3:$L$300,6,FALSE),0))</f>
      </c>
      <c r="D803" s="11">
        <f>SUMIFS(Purchases!$D:$D,Purchases!$A:$A,$A803,Purchases!$C:$C,$B803)</f>
      </c>
      <c r="E803" s="11">
        <f>SUMIFS('Sales Log'!$D:$D,'Sales Log'!$A:$A,$A803,'Sales Log'!$C:$C,$B803)</f>
      </c>
      <c r="F803" s="8"/>
      <c r="G803" s="8"/>
      <c r="H803" s="11">
        <f>C803+D803-E803-F803</f>
      </c>
      <c r="I803" s="11">
        <f>H803-G803</f>
      </c>
    </row>
    <row r="804" ht="21" customHeight="1" spans="1:9" x14ac:dyDescent="0.25">
      <c r="A804" s="8"/>
      <c r="B804" s="8"/>
      <c r="C804" s="11">
        <f>IFERROR(LOOKUP(2,1/(($B$3:$B803=B804)*($A$3:$A803&lt;A804)),$G$3:$G803),IFERROR(VLOOKUP(B804,'Inventory Master'!$A$3:$L$300,6,FALSE),0))</f>
      </c>
      <c r="D804" s="11">
        <f>SUMIFS(Purchases!$D:$D,Purchases!$A:$A,$A804,Purchases!$C:$C,$B804)</f>
      </c>
      <c r="E804" s="11">
        <f>SUMIFS('Sales Log'!$D:$D,'Sales Log'!$A:$A,$A804,'Sales Log'!$C:$C,$B804)</f>
      </c>
      <c r="F804" s="8"/>
      <c r="G804" s="8"/>
      <c r="H804" s="11">
        <f>C804+D804-E804-F804</f>
      </c>
      <c r="I804" s="11">
        <f>H804-G804</f>
      </c>
    </row>
    <row r="805" ht="21" customHeight="1" spans="1:9" x14ac:dyDescent="0.25">
      <c r="A805" s="8"/>
      <c r="B805" s="8"/>
      <c r="C805" s="11">
        <f>IFERROR(LOOKUP(2,1/(($B$3:$B804=B805)*($A$3:$A804&lt;A805)),$G$3:$G804),IFERROR(VLOOKUP(B805,'Inventory Master'!$A$3:$L$300,6,FALSE),0))</f>
      </c>
      <c r="D805" s="11">
        <f>SUMIFS(Purchases!$D:$D,Purchases!$A:$A,$A805,Purchases!$C:$C,$B805)</f>
      </c>
      <c r="E805" s="11">
        <f>SUMIFS('Sales Log'!$D:$D,'Sales Log'!$A:$A,$A805,'Sales Log'!$C:$C,$B805)</f>
      </c>
      <c r="F805" s="8"/>
      <c r="G805" s="8"/>
      <c r="H805" s="11">
        <f>C805+D805-E805-F805</f>
      </c>
      <c r="I805" s="11">
        <f>H805-G805</f>
      </c>
    </row>
    <row r="806" ht="21" customHeight="1" spans="1:9" x14ac:dyDescent="0.25">
      <c r="A806" s="8"/>
      <c r="B806" s="8"/>
      <c r="C806" s="11">
        <f>IFERROR(LOOKUP(2,1/(($B$3:$B805=B806)*($A$3:$A805&lt;A806)),$G$3:$G805),IFERROR(VLOOKUP(B806,'Inventory Master'!$A$3:$L$300,6,FALSE),0))</f>
      </c>
      <c r="D806" s="11">
        <f>SUMIFS(Purchases!$D:$D,Purchases!$A:$A,$A806,Purchases!$C:$C,$B806)</f>
      </c>
      <c r="E806" s="11">
        <f>SUMIFS('Sales Log'!$D:$D,'Sales Log'!$A:$A,$A806,'Sales Log'!$C:$C,$B806)</f>
      </c>
      <c r="F806" s="8"/>
      <c r="G806" s="8"/>
      <c r="H806" s="11">
        <f>C806+D806-E806-F806</f>
      </c>
      <c r="I806" s="11">
        <f>H806-G806</f>
      </c>
    </row>
    <row r="807" ht="21" customHeight="1" spans="1:9" x14ac:dyDescent="0.25">
      <c r="A807" s="8"/>
      <c r="B807" s="8"/>
      <c r="C807" s="11">
        <f>IFERROR(LOOKUP(2,1/(($B$3:$B806=B807)*($A$3:$A806&lt;A807)),$G$3:$G806),IFERROR(VLOOKUP(B807,'Inventory Master'!$A$3:$L$300,6,FALSE),0))</f>
      </c>
      <c r="D807" s="11">
        <f>SUMIFS(Purchases!$D:$D,Purchases!$A:$A,$A807,Purchases!$C:$C,$B807)</f>
      </c>
      <c r="E807" s="11">
        <f>SUMIFS('Sales Log'!$D:$D,'Sales Log'!$A:$A,$A807,'Sales Log'!$C:$C,$B807)</f>
      </c>
      <c r="F807" s="8"/>
      <c r="G807" s="8"/>
      <c r="H807" s="11">
        <f>C807+D807-E807-F807</f>
      </c>
      <c r="I807" s="11">
        <f>H807-G807</f>
      </c>
    </row>
    <row r="808" ht="21" customHeight="1" spans="1:9" x14ac:dyDescent="0.25">
      <c r="A808" s="8"/>
      <c r="B808" s="8"/>
      <c r="C808" s="11">
        <f>IFERROR(LOOKUP(2,1/(($B$3:$B807=B808)*($A$3:$A807&lt;A808)),$G$3:$G807),IFERROR(VLOOKUP(B808,'Inventory Master'!$A$3:$L$300,6,FALSE),0))</f>
      </c>
      <c r="D808" s="11">
        <f>SUMIFS(Purchases!$D:$D,Purchases!$A:$A,$A808,Purchases!$C:$C,$B808)</f>
      </c>
      <c r="E808" s="11">
        <f>SUMIFS('Sales Log'!$D:$D,'Sales Log'!$A:$A,$A808,'Sales Log'!$C:$C,$B808)</f>
      </c>
      <c r="F808" s="8"/>
      <c r="G808" s="8"/>
      <c r="H808" s="11">
        <f>C808+D808-E808-F808</f>
      </c>
      <c r="I808" s="11">
        <f>H808-G808</f>
      </c>
    </row>
    <row r="809" ht="21" customHeight="1" spans="1:9" x14ac:dyDescent="0.25">
      <c r="A809" s="8"/>
      <c r="B809" s="8"/>
      <c r="C809" s="11">
        <f>IFERROR(LOOKUP(2,1/(($B$3:$B808=B809)*($A$3:$A808&lt;A809)),$G$3:$G808),IFERROR(VLOOKUP(B809,'Inventory Master'!$A$3:$L$300,6,FALSE),0))</f>
      </c>
      <c r="D809" s="11">
        <f>SUMIFS(Purchases!$D:$D,Purchases!$A:$A,$A809,Purchases!$C:$C,$B809)</f>
      </c>
      <c r="E809" s="11">
        <f>SUMIFS('Sales Log'!$D:$D,'Sales Log'!$A:$A,$A809,'Sales Log'!$C:$C,$B809)</f>
      </c>
      <c r="F809" s="8"/>
      <c r="G809" s="8"/>
      <c r="H809" s="11">
        <f>C809+D809-E809-F809</f>
      </c>
      <c r="I809" s="11">
        <f>H809-G809</f>
      </c>
    </row>
    <row r="810" ht="21" customHeight="1" spans="1:9" x14ac:dyDescent="0.25">
      <c r="A810" s="8"/>
      <c r="B810" s="8"/>
      <c r="C810" s="11">
        <f>IFERROR(LOOKUP(2,1/(($B$3:$B809=B810)*($A$3:$A809&lt;A810)),$G$3:$G809),IFERROR(VLOOKUP(B810,'Inventory Master'!$A$3:$L$300,6,FALSE),0))</f>
      </c>
      <c r="D810" s="11">
        <f>SUMIFS(Purchases!$D:$D,Purchases!$A:$A,$A810,Purchases!$C:$C,$B810)</f>
      </c>
      <c r="E810" s="11">
        <f>SUMIFS('Sales Log'!$D:$D,'Sales Log'!$A:$A,$A810,'Sales Log'!$C:$C,$B810)</f>
      </c>
      <c r="F810" s="8"/>
      <c r="G810" s="8"/>
      <c r="H810" s="11">
        <f>C810+D810-E810-F810</f>
      </c>
      <c r="I810" s="11">
        <f>H810-G810</f>
      </c>
    </row>
    <row r="811" ht="21" customHeight="1" spans="1:9" x14ac:dyDescent="0.25">
      <c r="A811" s="8"/>
      <c r="B811" s="8"/>
      <c r="C811" s="11">
        <f>IFERROR(LOOKUP(2,1/(($B$3:$B810=B811)*($A$3:$A810&lt;A811)),$G$3:$G810),IFERROR(VLOOKUP(B811,'Inventory Master'!$A$3:$L$300,6,FALSE),0))</f>
      </c>
      <c r="D811" s="11">
        <f>SUMIFS(Purchases!$D:$D,Purchases!$A:$A,$A811,Purchases!$C:$C,$B811)</f>
      </c>
      <c r="E811" s="11">
        <f>SUMIFS('Sales Log'!$D:$D,'Sales Log'!$A:$A,$A811,'Sales Log'!$C:$C,$B811)</f>
      </c>
      <c r="F811" s="8"/>
      <c r="G811" s="8"/>
      <c r="H811" s="11">
        <f>C811+D811-E811-F811</f>
      </c>
      <c r="I811" s="11">
        <f>H811-G811</f>
      </c>
    </row>
    <row r="812" ht="21" customHeight="1" spans="1:9" x14ac:dyDescent="0.25">
      <c r="A812" s="8"/>
      <c r="B812" s="8"/>
      <c r="C812" s="11">
        <f>IFERROR(LOOKUP(2,1/(($B$3:$B811=B812)*($A$3:$A811&lt;A812)),$G$3:$G811),IFERROR(VLOOKUP(B812,'Inventory Master'!$A$3:$L$300,6,FALSE),0))</f>
      </c>
      <c r="D812" s="11">
        <f>SUMIFS(Purchases!$D:$D,Purchases!$A:$A,$A812,Purchases!$C:$C,$B812)</f>
      </c>
      <c r="E812" s="11">
        <f>SUMIFS('Sales Log'!$D:$D,'Sales Log'!$A:$A,$A812,'Sales Log'!$C:$C,$B812)</f>
      </c>
      <c r="F812" s="8"/>
      <c r="G812" s="8"/>
      <c r="H812" s="11">
        <f>C812+D812-E812-F812</f>
      </c>
      <c r="I812" s="11">
        <f>H812-G812</f>
      </c>
    </row>
    <row r="813" ht="21" customHeight="1" spans="1:9" x14ac:dyDescent="0.25">
      <c r="A813" s="8"/>
      <c r="B813" s="8"/>
      <c r="C813" s="11">
        <f>IFERROR(LOOKUP(2,1/(($B$3:$B812=B813)*($A$3:$A812&lt;A813)),$G$3:$G812),IFERROR(VLOOKUP(B813,'Inventory Master'!$A$3:$L$300,6,FALSE),0))</f>
      </c>
      <c r="D813" s="11">
        <f>SUMIFS(Purchases!$D:$D,Purchases!$A:$A,$A813,Purchases!$C:$C,$B813)</f>
      </c>
      <c r="E813" s="11">
        <f>SUMIFS('Sales Log'!$D:$D,'Sales Log'!$A:$A,$A813,'Sales Log'!$C:$C,$B813)</f>
      </c>
      <c r="F813" s="8"/>
      <c r="G813" s="8"/>
      <c r="H813" s="11">
        <f>C813+D813-E813-F813</f>
      </c>
      <c r="I813" s="11">
        <f>H813-G813</f>
      </c>
    </row>
    <row r="814" ht="21" customHeight="1" spans="1:9" x14ac:dyDescent="0.25">
      <c r="A814" s="8"/>
      <c r="B814" s="8"/>
      <c r="C814" s="11">
        <f>IFERROR(LOOKUP(2,1/(($B$3:$B813=B814)*($A$3:$A813&lt;A814)),$G$3:$G813),IFERROR(VLOOKUP(B814,'Inventory Master'!$A$3:$L$300,6,FALSE),0))</f>
      </c>
      <c r="D814" s="11">
        <f>SUMIFS(Purchases!$D:$D,Purchases!$A:$A,$A814,Purchases!$C:$C,$B814)</f>
      </c>
      <c r="E814" s="11">
        <f>SUMIFS('Sales Log'!$D:$D,'Sales Log'!$A:$A,$A814,'Sales Log'!$C:$C,$B814)</f>
      </c>
      <c r="F814" s="8"/>
      <c r="G814" s="8"/>
      <c r="H814" s="11">
        <f>C814+D814-E814-F814</f>
      </c>
      <c r="I814" s="11">
        <f>H814-G814</f>
      </c>
    </row>
    <row r="815" ht="21" customHeight="1" spans="1:9" x14ac:dyDescent="0.25">
      <c r="A815" s="8"/>
      <c r="B815" s="8"/>
      <c r="C815" s="11">
        <f>IFERROR(LOOKUP(2,1/(($B$3:$B814=B815)*($A$3:$A814&lt;A815)),$G$3:$G814),IFERROR(VLOOKUP(B815,'Inventory Master'!$A$3:$L$300,6,FALSE),0))</f>
      </c>
      <c r="D815" s="11">
        <f>SUMIFS(Purchases!$D:$D,Purchases!$A:$A,$A815,Purchases!$C:$C,$B815)</f>
      </c>
      <c r="E815" s="11">
        <f>SUMIFS('Sales Log'!$D:$D,'Sales Log'!$A:$A,$A815,'Sales Log'!$C:$C,$B815)</f>
      </c>
      <c r="F815" s="8"/>
      <c r="G815" s="8"/>
      <c r="H815" s="11">
        <f>C815+D815-E815-F815</f>
      </c>
      <c r="I815" s="11">
        <f>H815-G815</f>
      </c>
    </row>
    <row r="816" ht="21" customHeight="1" spans="1:9" x14ac:dyDescent="0.25">
      <c r="A816" s="8"/>
      <c r="B816" s="8"/>
      <c r="C816" s="11">
        <f>IFERROR(LOOKUP(2,1/(($B$3:$B815=B816)*($A$3:$A815&lt;A816)),$G$3:$G815),IFERROR(VLOOKUP(B816,'Inventory Master'!$A$3:$L$300,6,FALSE),0))</f>
      </c>
      <c r="D816" s="11">
        <f>SUMIFS(Purchases!$D:$D,Purchases!$A:$A,$A816,Purchases!$C:$C,$B816)</f>
      </c>
      <c r="E816" s="11">
        <f>SUMIFS('Sales Log'!$D:$D,'Sales Log'!$A:$A,$A816,'Sales Log'!$C:$C,$B816)</f>
      </c>
      <c r="F816" s="8"/>
      <c r="G816" s="8"/>
      <c r="H816" s="11">
        <f>C816+D816-E816-F816</f>
      </c>
      <c r="I816" s="11">
        <f>H816-G816</f>
      </c>
    </row>
    <row r="817" ht="21" customHeight="1" spans="1:9" x14ac:dyDescent="0.25">
      <c r="A817" s="8"/>
      <c r="B817" s="8"/>
      <c r="C817" s="11">
        <f>IFERROR(LOOKUP(2,1/(($B$3:$B816=B817)*($A$3:$A816&lt;A817)),$G$3:$G816),IFERROR(VLOOKUP(B817,'Inventory Master'!$A$3:$L$300,6,FALSE),0))</f>
      </c>
      <c r="D817" s="11">
        <f>SUMIFS(Purchases!$D:$D,Purchases!$A:$A,$A817,Purchases!$C:$C,$B817)</f>
      </c>
      <c r="E817" s="11">
        <f>SUMIFS('Sales Log'!$D:$D,'Sales Log'!$A:$A,$A817,'Sales Log'!$C:$C,$B817)</f>
      </c>
      <c r="F817" s="8"/>
      <c r="G817" s="8"/>
      <c r="H817" s="11">
        <f>C817+D817-E817-F817</f>
      </c>
      <c r="I817" s="11">
        <f>H817-G817</f>
      </c>
    </row>
    <row r="818" ht="21" customHeight="1" spans="1:9" x14ac:dyDescent="0.25">
      <c r="A818" s="8"/>
      <c r="B818" s="8"/>
      <c r="C818" s="11">
        <f>IFERROR(LOOKUP(2,1/(($B$3:$B817=B818)*($A$3:$A817&lt;A818)),$G$3:$G817),IFERROR(VLOOKUP(B818,'Inventory Master'!$A$3:$L$300,6,FALSE),0))</f>
      </c>
      <c r="D818" s="11">
        <f>SUMIFS(Purchases!$D:$D,Purchases!$A:$A,$A818,Purchases!$C:$C,$B818)</f>
      </c>
      <c r="E818" s="11">
        <f>SUMIFS('Sales Log'!$D:$D,'Sales Log'!$A:$A,$A818,'Sales Log'!$C:$C,$B818)</f>
      </c>
      <c r="F818" s="8"/>
      <c r="G818" s="8"/>
      <c r="H818" s="11">
        <f>C818+D818-E818-F818</f>
      </c>
      <c r="I818" s="11">
        <f>H818-G818</f>
      </c>
    </row>
    <row r="819" ht="21" customHeight="1" spans="1:9" x14ac:dyDescent="0.25">
      <c r="A819" s="8"/>
      <c r="B819" s="8"/>
      <c r="C819" s="11">
        <f>IFERROR(LOOKUP(2,1/(($B$3:$B818=B819)*($A$3:$A818&lt;A819)),$G$3:$G818),IFERROR(VLOOKUP(B819,'Inventory Master'!$A$3:$L$300,6,FALSE),0))</f>
      </c>
      <c r="D819" s="11">
        <f>SUMIFS(Purchases!$D:$D,Purchases!$A:$A,$A819,Purchases!$C:$C,$B819)</f>
      </c>
      <c r="E819" s="11">
        <f>SUMIFS('Sales Log'!$D:$D,'Sales Log'!$A:$A,$A819,'Sales Log'!$C:$C,$B819)</f>
      </c>
      <c r="F819" s="8"/>
      <c r="G819" s="8"/>
      <c r="H819" s="11">
        <f>C819+D819-E819-F819</f>
      </c>
      <c r="I819" s="11">
        <f>H819-G819</f>
      </c>
    </row>
    <row r="820" ht="21" customHeight="1" spans="1:9" x14ac:dyDescent="0.25">
      <c r="A820" s="8"/>
      <c r="B820" s="8"/>
      <c r="C820" s="11">
        <f>IFERROR(LOOKUP(2,1/(($B$3:$B819=B820)*($A$3:$A819&lt;A820)),$G$3:$G819),IFERROR(VLOOKUP(B820,'Inventory Master'!$A$3:$L$300,6,FALSE),0))</f>
      </c>
      <c r="D820" s="11">
        <f>SUMIFS(Purchases!$D:$D,Purchases!$A:$A,$A820,Purchases!$C:$C,$B820)</f>
      </c>
      <c r="E820" s="11">
        <f>SUMIFS('Sales Log'!$D:$D,'Sales Log'!$A:$A,$A820,'Sales Log'!$C:$C,$B820)</f>
      </c>
      <c r="F820" s="8"/>
      <c r="G820" s="8"/>
      <c r="H820" s="11">
        <f>C820+D820-E820-F820</f>
      </c>
      <c r="I820" s="11">
        <f>H820-G820</f>
      </c>
    </row>
    <row r="821" ht="21" customHeight="1" spans="1:9" x14ac:dyDescent="0.25">
      <c r="A821" s="8"/>
      <c r="B821" s="8"/>
      <c r="C821" s="11">
        <f>IFERROR(LOOKUP(2,1/(($B$3:$B820=B821)*($A$3:$A820&lt;A821)),$G$3:$G820),IFERROR(VLOOKUP(B821,'Inventory Master'!$A$3:$L$300,6,FALSE),0))</f>
      </c>
      <c r="D821" s="11">
        <f>SUMIFS(Purchases!$D:$D,Purchases!$A:$A,$A821,Purchases!$C:$C,$B821)</f>
      </c>
      <c r="E821" s="11">
        <f>SUMIFS('Sales Log'!$D:$D,'Sales Log'!$A:$A,$A821,'Sales Log'!$C:$C,$B821)</f>
      </c>
      <c r="F821" s="8"/>
      <c r="G821" s="8"/>
      <c r="H821" s="11">
        <f>C821+D821-E821-F821</f>
      </c>
      <c r="I821" s="11">
        <f>H821-G821</f>
      </c>
    </row>
    <row r="822" ht="21" customHeight="1" spans="1:9" x14ac:dyDescent="0.25">
      <c r="A822" s="8"/>
      <c r="B822" s="8"/>
      <c r="C822" s="11">
        <f>IFERROR(LOOKUP(2,1/(($B$3:$B821=B822)*($A$3:$A821&lt;A822)),$G$3:$G821),IFERROR(VLOOKUP(B822,'Inventory Master'!$A$3:$L$300,6,FALSE),0))</f>
      </c>
      <c r="D822" s="11">
        <f>SUMIFS(Purchases!$D:$D,Purchases!$A:$A,$A822,Purchases!$C:$C,$B822)</f>
      </c>
      <c r="E822" s="11">
        <f>SUMIFS('Sales Log'!$D:$D,'Sales Log'!$A:$A,$A822,'Sales Log'!$C:$C,$B822)</f>
      </c>
      <c r="F822" s="8"/>
      <c r="G822" s="8"/>
      <c r="H822" s="11">
        <f>C822+D822-E822-F822</f>
      </c>
      <c r="I822" s="11">
        <f>H822-G822</f>
      </c>
    </row>
    <row r="823" ht="21" customHeight="1" spans="1:9" x14ac:dyDescent="0.25">
      <c r="A823" s="8"/>
      <c r="B823" s="8"/>
      <c r="C823" s="11">
        <f>IFERROR(LOOKUP(2,1/(($B$3:$B822=B823)*($A$3:$A822&lt;A823)),$G$3:$G822),IFERROR(VLOOKUP(B823,'Inventory Master'!$A$3:$L$300,6,FALSE),0))</f>
      </c>
      <c r="D823" s="11">
        <f>SUMIFS(Purchases!$D:$D,Purchases!$A:$A,$A823,Purchases!$C:$C,$B823)</f>
      </c>
      <c r="E823" s="11">
        <f>SUMIFS('Sales Log'!$D:$D,'Sales Log'!$A:$A,$A823,'Sales Log'!$C:$C,$B823)</f>
      </c>
      <c r="F823" s="8"/>
      <c r="G823" s="8"/>
      <c r="H823" s="11">
        <f>C823+D823-E823-F823</f>
      </c>
      <c r="I823" s="11">
        <f>H823-G823</f>
      </c>
    </row>
    <row r="824" ht="21" customHeight="1" spans="1:9" x14ac:dyDescent="0.25">
      <c r="A824" s="8"/>
      <c r="B824" s="8"/>
      <c r="C824" s="11">
        <f>IFERROR(LOOKUP(2,1/(($B$3:$B823=B824)*($A$3:$A823&lt;A824)),$G$3:$G823),IFERROR(VLOOKUP(B824,'Inventory Master'!$A$3:$L$300,6,FALSE),0))</f>
      </c>
      <c r="D824" s="11">
        <f>SUMIFS(Purchases!$D:$D,Purchases!$A:$A,$A824,Purchases!$C:$C,$B824)</f>
      </c>
      <c r="E824" s="11">
        <f>SUMIFS('Sales Log'!$D:$D,'Sales Log'!$A:$A,$A824,'Sales Log'!$C:$C,$B824)</f>
      </c>
      <c r="F824" s="8"/>
      <c r="G824" s="8"/>
      <c r="H824" s="11">
        <f>C824+D824-E824-F824</f>
      </c>
      <c r="I824" s="11">
        <f>H824-G824</f>
      </c>
    </row>
    <row r="825" ht="21" customHeight="1" spans="1:9" x14ac:dyDescent="0.25">
      <c r="A825" s="8"/>
      <c r="B825" s="8"/>
      <c r="C825" s="11">
        <f>IFERROR(LOOKUP(2,1/(($B$3:$B824=B825)*($A$3:$A824&lt;A825)),$G$3:$G824),IFERROR(VLOOKUP(B825,'Inventory Master'!$A$3:$L$300,6,FALSE),0))</f>
      </c>
      <c r="D825" s="11">
        <f>SUMIFS(Purchases!$D:$D,Purchases!$A:$A,$A825,Purchases!$C:$C,$B825)</f>
      </c>
      <c r="E825" s="11">
        <f>SUMIFS('Sales Log'!$D:$D,'Sales Log'!$A:$A,$A825,'Sales Log'!$C:$C,$B825)</f>
      </c>
      <c r="F825" s="8"/>
      <c r="G825" s="8"/>
      <c r="H825" s="11">
        <f>C825+D825-E825-F825</f>
      </c>
      <c r="I825" s="11">
        <f>H825-G825</f>
      </c>
    </row>
    <row r="826" ht="21" customHeight="1" spans="1:9" x14ac:dyDescent="0.25">
      <c r="A826" s="8"/>
      <c r="B826" s="8"/>
      <c r="C826" s="11">
        <f>IFERROR(LOOKUP(2,1/(($B$3:$B825=B826)*($A$3:$A825&lt;A826)),$G$3:$G825),IFERROR(VLOOKUP(B826,'Inventory Master'!$A$3:$L$300,6,FALSE),0))</f>
      </c>
      <c r="D826" s="11">
        <f>SUMIFS(Purchases!$D:$D,Purchases!$A:$A,$A826,Purchases!$C:$C,$B826)</f>
      </c>
      <c r="E826" s="11">
        <f>SUMIFS('Sales Log'!$D:$D,'Sales Log'!$A:$A,$A826,'Sales Log'!$C:$C,$B826)</f>
      </c>
      <c r="F826" s="8"/>
      <c r="G826" s="8"/>
      <c r="H826" s="11">
        <f>C826+D826-E826-F826</f>
      </c>
      <c r="I826" s="11">
        <f>H826-G826</f>
      </c>
    </row>
    <row r="827" ht="21" customHeight="1" spans="1:9" x14ac:dyDescent="0.25">
      <c r="A827" s="8"/>
      <c r="B827" s="8"/>
      <c r="C827" s="11">
        <f>IFERROR(LOOKUP(2,1/(($B$3:$B826=B827)*($A$3:$A826&lt;A827)),$G$3:$G826),IFERROR(VLOOKUP(B827,'Inventory Master'!$A$3:$L$300,6,FALSE),0))</f>
      </c>
      <c r="D827" s="11">
        <f>SUMIFS(Purchases!$D:$D,Purchases!$A:$A,$A827,Purchases!$C:$C,$B827)</f>
      </c>
      <c r="E827" s="11">
        <f>SUMIFS('Sales Log'!$D:$D,'Sales Log'!$A:$A,$A827,'Sales Log'!$C:$C,$B827)</f>
      </c>
      <c r="F827" s="8"/>
      <c r="G827" s="8"/>
      <c r="H827" s="11">
        <f>C827+D827-E827-F827</f>
      </c>
      <c r="I827" s="11">
        <f>H827-G827</f>
      </c>
    </row>
    <row r="828" ht="21" customHeight="1" spans="1:9" x14ac:dyDescent="0.25">
      <c r="A828" s="8"/>
      <c r="B828" s="8"/>
      <c r="C828" s="11">
        <f>IFERROR(LOOKUP(2,1/(($B$3:$B827=B828)*($A$3:$A827&lt;A828)),$G$3:$G827),IFERROR(VLOOKUP(B828,'Inventory Master'!$A$3:$L$300,6,FALSE),0))</f>
      </c>
      <c r="D828" s="11">
        <f>SUMIFS(Purchases!$D:$D,Purchases!$A:$A,$A828,Purchases!$C:$C,$B828)</f>
      </c>
      <c r="E828" s="11">
        <f>SUMIFS('Sales Log'!$D:$D,'Sales Log'!$A:$A,$A828,'Sales Log'!$C:$C,$B828)</f>
      </c>
      <c r="F828" s="8"/>
      <c r="G828" s="8"/>
      <c r="H828" s="11">
        <f>C828+D828-E828-F828</f>
      </c>
      <c r="I828" s="11">
        <f>H828-G828</f>
      </c>
    </row>
    <row r="829" ht="21" customHeight="1" spans="1:9" x14ac:dyDescent="0.25">
      <c r="A829" s="8"/>
      <c r="B829" s="8"/>
      <c r="C829" s="11">
        <f>IFERROR(LOOKUP(2,1/(($B$3:$B828=B829)*($A$3:$A828&lt;A829)),$G$3:$G828),IFERROR(VLOOKUP(B829,'Inventory Master'!$A$3:$L$300,6,FALSE),0))</f>
      </c>
      <c r="D829" s="11">
        <f>SUMIFS(Purchases!$D:$D,Purchases!$A:$A,$A829,Purchases!$C:$C,$B829)</f>
      </c>
      <c r="E829" s="11">
        <f>SUMIFS('Sales Log'!$D:$D,'Sales Log'!$A:$A,$A829,'Sales Log'!$C:$C,$B829)</f>
      </c>
      <c r="F829" s="8"/>
      <c r="G829" s="8"/>
      <c r="H829" s="11">
        <f>C829+D829-E829-F829</f>
      </c>
      <c r="I829" s="11">
        <f>H829-G829</f>
      </c>
    </row>
    <row r="830" ht="21" customHeight="1" spans="1:9" x14ac:dyDescent="0.25">
      <c r="A830" s="8"/>
      <c r="B830" s="8"/>
      <c r="C830" s="11">
        <f>IFERROR(LOOKUP(2,1/(($B$3:$B829=B830)*($A$3:$A829&lt;A830)),$G$3:$G829),IFERROR(VLOOKUP(B830,'Inventory Master'!$A$3:$L$300,6,FALSE),0))</f>
      </c>
      <c r="D830" s="11">
        <f>SUMIFS(Purchases!$D:$D,Purchases!$A:$A,$A830,Purchases!$C:$C,$B830)</f>
      </c>
      <c r="E830" s="11">
        <f>SUMIFS('Sales Log'!$D:$D,'Sales Log'!$A:$A,$A830,'Sales Log'!$C:$C,$B830)</f>
      </c>
      <c r="F830" s="8"/>
      <c r="G830" s="8"/>
      <c r="H830" s="11">
        <f>C830+D830-E830-F830</f>
      </c>
      <c r="I830" s="11">
        <f>H830-G830</f>
      </c>
    </row>
    <row r="831" ht="21" customHeight="1" spans="1:9" x14ac:dyDescent="0.25">
      <c r="A831" s="8"/>
      <c r="B831" s="8"/>
      <c r="C831" s="11">
        <f>IFERROR(LOOKUP(2,1/(($B$3:$B830=B831)*($A$3:$A830&lt;A831)),$G$3:$G830),IFERROR(VLOOKUP(B831,'Inventory Master'!$A$3:$L$300,6,FALSE),0))</f>
      </c>
      <c r="D831" s="11">
        <f>SUMIFS(Purchases!$D:$D,Purchases!$A:$A,$A831,Purchases!$C:$C,$B831)</f>
      </c>
      <c r="E831" s="11">
        <f>SUMIFS('Sales Log'!$D:$D,'Sales Log'!$A:$A,$A831,'Sales Log'!$C:$C,$B831)</f>
      </c>
      <c r="F831" s="8"/>
      <c r="G831" s="8"/>
      <c r="H831" s="11">
        <f>C831+D831-E831-F831</f>
      </c>
      <c r="I831" s="11">
        <f>H831-G831</f>
      </c>
    </row>
    <row r="832" ht="21" customHeight="1" spans="1:9" x14ac:dyDescent="0.25">
      <c r="A832" s="8"/>
      <c r="B832" s="8"/>
      <c r="C832" s="11">
        <f>IFERROR(LOOKUP(2,1/(($B$3:$B831=B832)*($A$3:$A831&lt;A832)),$G$3:$G831),IFERROR(VLOOKUP(B832,'Inventory Master'!$A$3:$L$300,6,FALSE),0))</f>
      </c>
      <c r="D832" s="11">
        <f>SUMIFS(Purchases!$D:$D,Purchases!$A:$A,$A832,Purchases!$C:$C,$B832)</f>
      </c>
      <c r="E832" s="11">
        <f>SUMIFS('Sales Log'!$D:$D,'Sales Log'!$A:$A,$A832,'Sales Log'!$C:$C,$B832)</f>
      </c>
      <c r="F832" s="8"/>
      <c r="G832" s="8"/>
      <c r="H832" s="11">
        <f>C832+D832-E832-F832</f>
      </c>
      <c r="I832" s="11">
        <f>H832-G832</f>
      </c>
    </row>
    <row r="833" ht="21" customHeight="1" spans="1:9" x14ac:dyDescent="0.25">
      <c r="A833" s="8"/>
      <c r="B833" s="8"/>
      <c r="C833" s="11">
        <f>IFERROR(LOOKUP(2,1/(($B$3:$B832=B833)*($A$3:$A832&lt;A833)),$G$3:$G832),IFERROR(VLOOKUP(B833,'Inventory Master'!$A$3:$L$300,6,FALSE),0))</f>
      </c>
      <c r="D833" s="11">
        <f>SUMIFS(Purchases!$D:$D,Purchases!$A:$A,$A833,Purchases!$C:$C,$B833)</f>
      </c>
      <c r="E833" s="11">
        <f>SUMIFS('Sales Log'!$D:$D,'Sales Log'!$A:$A,$A833,'Sales Log'!$C:$C,$B833)</f>
      </c>
      <c r="F833" s="8"/>
      <c r="G833" s="8"/>
      <c r="H833" s="11">
        <f>C833+D833-E833-F833</f>
      </c>
      <c r="I833" s="11">
        <f>H833-G833</f>
      </c>
    </row>
    <row r="834" ht="21" customHeight="1" spans="1:9" x14ac:dyDescent="0.25">
      <c r="A834" s="8"/>
      <c r="B834" s="8"/>
      <c r="C834" s="11">
        <f>IFERROR(LOOKUP(2,1/(($B$3:$B833=B834)*($A$3:$A833&lt;A834)),$G$3:$G833),IFERROR(VLOOKUP(B834,'Inventory Master'!$A$3:$L$300,6,FALSE),0))</f>
      </c>
      <c r="D834" s="11">
        <f>SUMIFS(Purchases!$D:$D,Purchases!$A:$A,$A834,Purchases!$C:$C,$B834)</f>
      </c>
      <c r="E834" s="11">
        <f>SUMIFS('Sales Log'!$D:$D,'Sales Log'!$A:$A,$A834,'Sales Log'!$C:$C,$B834)</f>
      </c>
      <c r="F834" s="8"/>
      <c r="G834" s="8"/>
      <c r="H834" s="11">
        <f>C834+D834-E834-F834</f>
      </c>
      <c r="I834" s="11">
        <f>H834-G834</f>
      </c>
    </row>
    <row r="835" ht="21" customHeight="1" spans="1:9" x14ac:dyDescent="0.25">
      <c r="A835" s="8"/>
      <c r="B835" s="8"/>
      <c r="C835" s="11">
        <f>IFERROR(LOOKUP(2,1/(($B$3:$B834=B835)*($A$3:$A834&lt;A835)),$G$3:$G834),IFERROR(VLOOKUP(B835,'Inventory Master'!$A$3:$L$300,6,FALSE),0))</f>
      </c>
      <c r="D835" s="11">
        <f>SUMIFS(Purchases!$D:$D,Purchases!$A:$A,$A835,Purchases!$C:$C,$B835)</f>
      </c>
      <c r="E835" s="11">
        <f>SUMIFS('Sales Log'!$D:$D,'Sales Log'!$A:$A,$A835,'Sales Log'!$C:$C,$B835)</f>
      </c>
      <c r="F835" s="8"/>
      <c r="G835" s="8"/>
      <c r="H835" s="11">
        <f>C835+D835-E835-F835</f>
      </c>
      <c r="I835" s="11">
        <f>H835-G835</f>
      </c>
    </row>
    <row r="836" ht="21" customHeight="1" spans="1:9" x14ac:dyDescent="0.25">
      <c r="A836" s="8"/>
      <c r="B836" s="8"/>
      <c r="C836" s="11">
        <f>IFERROR(LOOKUP(2,1/(($B$3:$B835=B836)*($A$3:$A835&lt;A836)),$G$3:$G835),IFERROR(VLOOKUP(B836,'Inventory Master'!$A$3:$L$300,6,FALSE),0))</f>
      </c>
      <c r="D836" s="11">
        <f>SUMIFS(Purchases!$D:$D,Purchases!$A:$A,$A836,Purchases!$C:$C,$B836)</f>
      </c>
      <c r="E836" s="11">
        <f>SUMIFS('Sales Log'!$D:$D,'Sales Log'!$A:$A,$A836,'Sales Log'!$C:$C,$B836)</f>
      </c>
      <c r="F836" s="8"/>
      <c r="G836" s="8"/>
      <c r="H836" s="11">
        <f>C836+D836-E836-F836</f>
      </c>
      <c r="I836" s="11">
        <f>H836-G836</f>
      </c>
    </row>
    <row r="837" ht="21" customHeight="1" spans="1:9" x14ac:dyDescent="0.25">
      <c r="A837" s="8"/>
      <c r="B837" s="8"/>
      <c r="C837" s="11">
        <f>IFERROR(LOOKUP(2,1/(($B$3:$B836=B837)*($A$3:$A836&lt;A837)),$G$3:$G836),IFERROR(VLOOKUP(B837,'Inventory Master'!$A$3:$L$300,6,FALSE),0))</f>
      </c>
      <c r="D837" s="11">
        <f>SUMIFS(Purchases!$D:$D,Purchases!$A:$A,$A837,Purchases!$C:$C,$B837)</f>
      </c>
      <c r="E837" s="11">
        <f>SUMIFS('Sales Log'!$D:$D,'Sales Log'!$A:$A,$A837,'Sales Log'!$C:$C,$B837)</f>
      </c>
      <c r="F837" s="8"/>
      <c r="G837" s="8"/>
      <c r="H837" s="11">
        <f>C837+D837-E837-F837</f>
      </c>
      <c r="I837" s="11">
        <f>H837-G837</f>
      </c>
    </row>
    <row r="838" ht="21" customHeight="1" spans="1:9" x14ac:dyDescent="0.25">
      <c r="A838" s="8"/>
      <c r="B838" s="8"/>
      <c r="C838" s="11">
        <f>IFERROR(LOOKUP(2,1/(($B$3:$B837=B838)*($A$3:$A837&lt;A838)),$G$3:$G837),IFERROR(VLOOKUP(B838,'Inventory Master'!$A$3:$L$300,6,FALSE),0))</f>
      </c>
      <c r="D838" s="11">
        <f>SUMIFS(Purchases!$D:$D,Purchases!$A:$A,$A838,Purchases!$C:$C,$B838)</f>
      </c>
      <c r="E838" s="11">
        <f>SUMIFS('Sales Log'!$D:$D,'Sales Log'!$A:$A,$A838,'Sales Log'!$C:$C,$B838)</f>
      </c>
      <c r="F838" s="8"/>
      <c r="G838" s="8"/>
      <c r="H838" s="11">
        <f>C838+D838-E838-F838</f>
      </c>
      <c r="I838" s="11">
        <f>H838-G838</f>
      </c>
    </row>
    <row r="839" ht="21" customHeight="1" spans="1:9" x14ac:dyDescent="0.25">
      <c r="A839" s="8"/>
      <c r="B839" s="8"/>
      <c r="C839" s="11">
        <f>IFERROR(LOOKUP(2,1/(($B$3:$B838=B839)*($A$3:$A838&lt;A839)),$G$3:$G838),IFERROR(VLOOKUP(B839,'Inventory Master'!$A$3:$L$300,6,FALSE),0))</f>
      </c>
      <c r="D839" s="11">
        <f>SUMIFS(Purchases!$D:$D,Purchases!$A:$A,$A839,Purchases!$C:$C,$B839)</f>
      </c>
      <c r="E839" s="11">
        <f>SUMIFS('Sales Log'!$D:$D,'Sales Log'!$A:$A,$A839,'Sales Log'!$C:$C,$B839)</f>
      </c>
      <c r="F839" s="8"/>
      <c r="G839" s="8"/>
      <c r="H839" s="11">
        <f>C839+D839-E839-F839</f>
      </c>
      <c r="I839" s="11">
        <f>H839-G839</f>
      </c>
    </row>
    <row r="840" ht="21" customHeight="1" spans="1:9" x14ac:dyDescent="0.25">
      <c r="A840" s="8"/>
      <c r="B840" s="8"/>
      <c r="C840" s="11">
        <f>IFERROR(LOOKUP(2,1/(($B$3:$B839=B840)*($A$3:$A839&lt;A840)),$G$3:$G839),IFERROR(VLOOKUP(B840,'Inventory Master'!$A$3:$L$300,6,FALSE),0))</f>
      </c>
      <c r="D840" s="11">
        <f>SUMIFS(Purchases!$D:$D,Purchases!$A:$A,$A840,Purchases!$C:$C,$B840)</f>
      </c>
      <c r="E840" s="11">
        <f>SUMIFS('Sales Log'!$D:$D,'Sales Log'!$A:$A,$A840,'Sales Log'!$C:$C,$B840)</f>
      </c>
      <c r="F840" s="8"/>
      <c r="G840" s="8"/>
      <c r="H840" s="11">
        <f>C840+D840-E840-F840</f>
      </c>
      <c r="I840" s="11">
        <f>H840-G840</f>
      </c>
    </row>
    <row r="841" ht="21" customHeight="1" spans="1:9" x14ac:dyDescent="0.25">
      <c r="A841" s="8"/>
      <c r="B841" s="8"/>
      <c r="C841" s="11">
        <f>IFERROR(LOOKUP(2,1/(($B$3:$B840=B841)*($A$3:$A840&lt;A841)),$G$3:$G840),IFERROR(VLOOKUP(B841,'Inventory Master'!$A$3:$L$300,6,FALSE),0))</f>
      </c>
      <c r="D841" s="11">
        <f>SUMIFS(Purchases!$D:$D,Purchases!$A:$A,$A841,Purchases!$C:$C,$B841)</f>
      </c>
      <c r="E841" s="11">
        <f>SUMIFS('Sales Log'!$D:$D,'Sales Log'!$A:$A,$A841,'Sales Log'!$C:$C,$B841)</f>
      </c>
      <c r="F841" s="8"/>
      <c r="G841" s="8"/>
      <c r="H841" s="11">
        <f>C841+D841-E841-F841</f>
      </c>
      <c r="I841" s="11">
        <f>H841-G841</f>
      </c>
    </row>
    <row r="842" ht="21" customHeight="1" spans="1:9" x14ac:dyDescent="0.25">
      <c r="A842" s="8"/>
      <c r="B842" s="8"/>
      <c r="C842" s="11">
        <f>IFERROR(LOOKUP(2,1/(($B$3:$B841=B842)*($A$3:$A841&lt;A842)),$G$3:$G841),IFERROR(VLOOKUP(B842,'Inventory Master'!$A$3:$L$300,6,FALSE),0))</f>
      </c>
      <c r="D842" s="11">
        <f>SUMIFS(Purchases!$D:$D,Purchases!$A:$A,$A842,Purchases!$C:$C,$B842)</f>
      </c>
      <c r="E842" s="11">
        <f>SUMIFS('Sales Log'!$D:$D,'Sales Log'!$A:$A,$A842,'Sales Log'!$C:$C,$B842)</f>
      </c>
      <c r="F842" s="8"/>
      <c r="G842" s="8"/>
      <c r="H842" s="11">
        <f>C842+D842-E842-F842</f>
      </c>
      <c r="I842" s="11">
        <f>H842-G842</f>
      </c>
    </row>
    <row r="843" ht="21" customHeight="1" spans="1:9" x14ac:dyDescent="0.25">
      <c r="A843" s="8"/>
      <c r="B843" s="8"/>
      <c r="C843" s="11">
        <f>IFERROR(LOOKUP(2,1/(($B$3:$B842=B843)*($A$3:$A842&lt;A843)),$G$3:$G842),IFERROR(VLOOKUP(B843,'Inventory Master'!$A$3:$L$300,6,FALSE),0))</f>
      </c>
      <c r="D843" s="11">
        <f>SUMIFS(Purchases!$D:$D,Purchases!$A:$A,$A843,Purchases!$C:$C,$B843)</f>
      </c>
      <c r="E843" s="11">
        <f>SUMIFS('Sales Log'!$D:$D,'Sales Log'!$A:$A,$A843,'Sales Log'!$C:$C,$B843)</f>
      </c>
      <c r="F843" s="8"/>
      <c r="G843" s="8"/>
      <c r="H843" s="11">
        <f>C843+D843-E843-F843</f>
      </c>
      <c r="I843" s="11">
        <f>H843-G843</f>
      </c>
    </row>
    <row r="844" ht="21" customHeight="1" spans="1:9" x14ac:dyDescent="0.25">
      <c r="A844" s="8"/>
      <c r="B844" s="8"/>
      <c r="C844" s="11">
        <f>IFERROR(LOOKUP(2,1/(($B$3:$B843=B844)*($A$3:$A843&lt;A844)),$G$3:$G843),IFERROR(VLOOKUP(B844,'Inventory Master'!$A$3:$L$300,6,FALSE),0))</f>
      </c>
      <c r="D844" s="11">
        <f>SUMIFS(Purchases!$D:$D,Purchases!$A:$A,$A844,Purchases!$C:$C,$B844)</f>
      </c>
      <c r="E844" s="11">
        <f>SUMIFS('Sales Log'!$D:$D,'Sales Log'!$A:$A,$A844,'Sales Log'!$C:$C,$B844)</f>
      </c>
      <c r="F844" s="8"/>
      <c r="G844" s="8"/>
      <c r="H844" s="11">
        <f>C844+D844-E844-F844</f>
      </c>
      <c r="I844" s="11">
        <f>H844-G844</f>
      </c>
    </row>
    <row r="845" ht="21" customHeight="1" spans="1:9" x14ac:dyDescent="0.25">
      <c r="A845" s="8"/>
      <c r="B845" s="8"/>
      <c r="C845" s="11">
        <f>IFERROR(LOOKUP(2,1/(($B$3:$B844=B845)*($A$3:$A844&lt;A845)),$G$3:$G844),IFERROR(VLOOKUP(B845,'Inventory Master'!$A$3:$L$300,6,FALSE),0))</f>
      </c>
      <c r="D845" s="11">
        <f>SUMIFS(Purchases!$D:$D,Purchases!$A:$A,$A845,Purchases!$C:$C,$B845)</f>
      </c>
      <c r="E845" s="11">
        <f>SUMIFS('Sales Log'!$D:$D,'Sales Log'!$A:$A,$A845,'Sales Log'!$C:$C,$B845)</f>
      </c>
      <c r="F845" s="8"/>
      <c r="G845" s="8"/>
      <c r="H845" s="11">
        <f>C845+D845-E845-F845</f>
      </c>
      <c r="I845" s="11">
        <f>H845-G845</f>
      </c>
    </row>
    <row r="846" ht="21" customHeight="1" spans="1:9" x14ac:dyDescent="0.25">
      <c r="A846" s="8"/>
      <c r="B846" s="8"/>
      <c r="C846" s="11">
        <f>IFERROR(LOOKUP(2,1/(($B$3:$B845=B846)*($A$3:$A845&lt;A846)),$G$3:$G845),IFERROR(VLOOKUP(B846,'Inventory Master'!$A$3:$L$300,6,FALSE),0))</f>
      </c>
      <c r="D846" s="11">
        <f>SUMIFS(Purchases!$D:$D,Purchases!$A:$A,$A846,Purchases!$C:$C,$B846)</f>
      </c>
      <c r="E846" s="11">
        <f>SUMIFS('Sales Log'!$D:$D,'Sales Log'!$A:$A,$A846,'Sales Log'!$C:$C,$B846)</f>
      </c>
      <c r="F846" s="8"/>
      <c r="G846" s="8"/>
      <c r="H846" s="11">
        <f>C846+D846-E846-F846</f>
      </c>
      <c r="I846" s="11">
        <f>H846-G846</f>
      </c>
    </row>
    <row r="847" ht="21" customHeight="1" spans="1:9" x14ac:dyDescent="0.25">
      <c r="A847" s="8"/>
      <c r="B847" s="8"/>
      <c r="C847" s="11">
        <f>IFERROR(LOOKUP(2,1/(($B$3:$B846=B847)*($A$3:$A846&lt;A847)),$G$3:$G846),IFERROR(VLOOKUP(B847,'Inventory Master'!$A$3:$L$300,6,FALSE),0))</f>
      </c>
      <c r="D847" s="11">
        <f>SUMIFS(Purchases!$D:$D,Purchases!$A:$A,$A847,Purchases!$C:$C,$B847)</f>
      </c>
      <c r="E847" s="11">
        <f>SUMIFS('Sales Log'!$D:$D,'Sales Log'!$A:$A,$A847,'Sales Log'!$C:$C,$B847)</f>
      </c>
      <c r="F847" s="8"/>
      <c r="G847" s="8"/>
      <c r="H847" s="11">
        <f>C847+D847-E847-F847</f>
      </c>
      <c r="I847" s="11">
        <f>H847-G847</f>
      </c>
    </row>
    <row r="848" ht="21" customHeight="1" spans="1:9" x14ac:dyDescent="0.25">
      <c r="A848" s="8"/>
      <c r="B848" s="8"/>
      <c r="C848" s="11">
        <f>IFERROR(LOOKUP(2,1/(($B$3:$B847=B848)*($A$3:$A847&lt;A848)),$G$3:$G847),IFERROR(VLOOKUP(B848,'Inventory Master'!$A$3:$L$300,6,FALSE),0))</f>
      </c>
      <c r="D848" s="11">
        <f>SUMIFS(Purchases!$D:$D,Purchases!$A:$A,$A848,Purchases!$C:$C,$B848)</f>
      </c>
      <c r="E848" s="11">
        <f>SUMIFS('Sales Log'!$D:$D,'Sales Log'!$A:$A,$A848,'Sales Log'!$C:$C,$B848)</f>
      </c>
      <c r="F848" s="8"/>
      <c r="G848" s="8"/>
      <c r="H848" s="11">
        <f>C848+D848-E848-F848</f>
      </c>
      <c r="I848" s="11">
        <f>H848-G848</f>
      </c>
    </row>
    <row r="849" ht="21" customHeight="1" spans="1:9" x14ac:dyDescent="0.25">
      <c r="A849" s="8"/>
      <c r="B849" s="8"/>
      <c r="C849" s="11">
        <f>IFERROR(LOOKUP(2,1/(($B$3:$B848=B849)*($A$3:$A848&lt;A849)),$G$3:$G848),IFERROR(VLOOKUP(B849,'Inventory Master'!$A$3:$L$300,6,FALSE),0))</f>
      </c>
      <c r="D849" s="11">
        <f>SUMIFS(Purchases!$D:$D,Purchases!$A:$A,$A849,Purchases!$C:$C,$B849)</f>
      </c>
      <c r="E849" s="11">
        <f>SUMIFS('Sales Log'!$D:$D,'Sales Log'!$A:$A,$A849,'Sales Log'!$C:$C,$B849)</f>
      </c>
      <c r="F849" s="8"/>
      <c r="G849" s="8"/>
      <c r="H849" s="11">
        <f>C849+D849-E849-F849</f>
      </c>
      <c r="I849" s="11">
        <f>H849-G849</f>
      </c>
    </row>
    <row r="850" ht="21" customHeight="1" spans="1:9" x14ac:dyDescent="0.25">
      <c r="A850" s="8"/>
      <c r="B850" s="8"/>
      <c r="C850" s="11">
        <f>IFERROR(LOOKUP(2,1/(($B$3:$B849=B850)*($A$3:$A849&lt;A850)),$G$3:$G849),IFERROR(VLOOKUP(B850,'Inventory Master'!$A$3:$L$300,6,FALSE),0))</f>
      </c>
      <c r="D850" s="11">
        <f>SUMIFS(Purchases!$D:$D,Purchases!$A:$A,$A850,Purchases!$C:$C,$B850)</f>
      </c>
      <c r="E850" s="11">
        <f>SUMIFS('Sales Log'!$D:$D,'Sales Log'!$A:$A,$A850,'Sales Log'!$C:$C,$B850)</f>
      </c>
      <c r="F850" s="8"/>
      <c r="G850" s="8"/>
      <c r="H850" s="11">
        <f>C850+D850-E850-F850</f>
      </c>
      <c r="I850" s="11">
        <f>H850-G850</f>
      </c>
    </row>
    <row r="851" ht="21" customHeight="1" spans="1:9" x14ac:dyDescent="0.25">
      <c r="A851" s="8"/>
      <c r="B851" s="8"/>
      <c r="C851" s="11">
        <f>IFERROR(LOOKUP(2,1/(($B$3:$B850=B851)*($A$3:$A850&lt;A851)),$G$3:$G850),IFERROR(VLOOKUP(B851,'Inventory Master'!$A$3:$L$300,6,FALSE),0))</f>
      </c>
      <c r="D851" s="11">
        <f>SUMIFS(Purchases!$D:$D,Purchases!$A:$A,$A851,Purchases!$C:$C,$B851)</f>
      </c>
      <c r="E851" s="11">
        <f>SUMIFS('Sales Log'!$D:$D,'Sales Log'!$A:$A,$A851,'Sales Log'!$C:$C,$B851)</f>
      </c>
      <c r="F851" s="8"/>
      <c r="G851" s="8"/>
      <c r="H851" s="11">
        <f>C851+D851-E851-F851</f>
      </c>
      <c r="I851" s="11">
        <f>H851-G851</f>
      </c>
    </row>
    <row r="852" ht="21" customHeight="1" spans="1:9" x14ac:dyDescent="0.25">
      <c r="A852" s="8"/>
      <c r="B852" s="8"/>
      <c r="C852" s="11">
        <f>IFERROR(LOOKUP(2,1/(($B$3:$B851=B852)*($A$3:$A851&lt;A852)),$G$3:$G851),IFERROR(VLOOKUP(B852,'Inventory Master'!$A$3:$L$300,6,FALSE),0))</f>
      </c>
      <c r="D852" s="11">
        <f>SUMIFS(Purchases!$D:$D,Purchases!$A:$A,$A852,Purchases!$C:$C,$B852)</f>
      </c>
      <c r="E852" s="11">
        <f>SUMIFS('Sales Log'!$D:$D,'Sales Log'!$A:$A,$A852,'Sales Log'!$C:$C,$B852)</f>
      </c>
      <c r="F852" s="8"/>
      <c r="G852" s="8"/>
      <c r="H852" s="11">
        <f>C852+D852-E852-F852</f>
      </c>
      <c r="I852" s="11">
        <f>H852-G852</f>
      </c>
    </row>
    <row r="853" ht="21" customHeight="1" spans="1:9" x14ac:dyDescent="0.25">
      <c r="A853" s="8"/>
      <c r="B853" s="8"/>
      <c r="C853" s="11">
        <f>IFERROR(LOOKUP(2,1/(($B$3:$B852=B853)*($A$3:$A852&lt;A853)),$G$3:$G852),IFERROR(VLOOKUP(B853,'Inventory Master'!$A$3:$L$300,6,FALSE),0))</f>
      </c>
      <c r="D853" s="11">
        <f>SUMIFS(Purchases!$D:$D,Purchases!$A:$A,$A853,Purchases!$C:$C,$B853)</f>
      </c>
      <c r="E853" s="11">
        <f>SUMIFS('Sales Log'!$D:$D,'Sales Log'!$A:$A,$A853,'Sales Log'!$C:$C,$B853)</f>
      </c>
      <c r="F853" s="8"/>
      <c r="G853" s="8"/>
      <c r="H853" s="11">
        <f>C853+D853-E853-F853</f>
      </c>
      <c r="I853" s="11">
        <f>H853-G853</f>
      </c>
    </row>
    <row r="854" ht="21" customHeight="1" spans="1:9" x14ac:dyDescent="0.25">
      <c r="A854" s="8"/>
      <c r="B854" s="8"/>
      <c r="C854" s="11">
        <f>IFERROR(LOOKUP(2,1/(($B$3:$B853=B854)*($A$3:$A853&lt;A854)),$G$3:$G853),IFERROR(VLOOKUP(B854,'Inventory Master'!$A$3:$L$300,6,FALSE),0))</f>
      </c>
      <c r="D854" s="11">
        <f>SUMIFS(Purchases!$D:$D,Purchases!$A:$A,$A854,Purchases!$C:$C,$B854)</f>
      </c>
      <c r="E854" s="11">
        <f>SUMIFS('Sales Log'!$D:$D,'Sales Log'!$A:$A,$A854,'Sales Log'!$C:$C,$B854)</f>
      </c>
      <c r="F854" s="8"/>
      <c r="G854" s="8"/>
      <c r="H854" s="11">
        <f>C854+D854-E854-F854</f>
      </c>
      <c r="I854" s="11">
        <f>H854-G854</f>
      </c>
    </row>
    <row r="855" ht="21" customHeight="1" spans="1:9" x14ac:dyDescent="0.25">
      <c r="A855" s="8"/>
      <c r="B855" s="8"/>
      <c r="C855" s="11">
        <f>IFERROR(LOOKUP(2,1/(($B$3:$B854=B855)*($A$3:$A854&lt;A855)),$G$3:$G854),IFERROR(VLOOKUP(B855,'Inventory Master'!$A$3:$L$300,6,FALSE),0))</f>
      </c>
      <c r="D855" s="11">
        <f>SUMIFS(Purchases!$D:$D,Purchases!$A:$A,$A855,Purchases!$C:$C,$B855)</f>
      </c>
      <c r="E855" s="11">
        <f>SUMIFS('Sales Log'!$D:$D,'Sales Log'!$A:$A,$A855,'Sales Log'!$C:$C,$B855)</f>
      </c>
      <c r="F855" s="8"/>
      <c r="G855" s="8"/>
      <c r="H855" s="11">
        <f>C855+D855-E855-F855</f>
      </c>
      <c r="I855" s="11">
        <f>H855-G855</f>
      </c>
    </row>
    <row r="856" ht="21" customHeight="1" spans="1:9" x14ac:dyDescent="0.25">
      <c r="A856" s="8"/>
      <c r="B856" s="8"/>
      <c r="C856" s="11">
        <f>IFERROR(LOOKUP(2,1/(($B$3:$B855=B856)*($A$3:$A855&lt;A856)),$G$3:$G855),IFERROR(VLOOKUP(B856,'Inventory Master'!$A$3:$L$300,6,FALSE),0))</f>
      </c>
      <c r="D856" s="11">
        <f>SUMIFS(Purchases!$D:$D,Purchases!$A:$A,$A856,Purchases!$C:$C,$B856)</f>
      </c>
      <c r="E856" s="11">
        <f>SUMIFS('Sales Log'!$D:$D,'Sales Log'!$A:$A,$A856,'Sales Log'!$C:$C,$B856)</f>
      </c>
      <c r="F856" s="8"/>
      <c r="G856" s="8"/>
      <c r="H856" s="11">
        <f>C856+D856-E856-F856</f>
      </c>
      <c r="I856" s="11">
        <f>H856-G856</f>
      </c>
    </row>
    <row r="857" ht="21" customHeight="1" spans="1:9" x14ac:dyDescent="0.25">
      <c r="A857" s="8"/>
      <c r="B857" s="8"/>
      <c r="C857" s="11">
        <f>IFERROR(LOOKUP(2,1/(($B$3:$B856=B857)*($A$3:$A856&lt;A857)),$G$3:$G856),IFERROR(VLOOKUP(B857,'Inventory Master'!$A$3:$L$300,6,FALSE),0))</f>
      </c>
      <c r="D857" s="11">
        <f>SUMIFS(Purchases!$D:$D,Purchases!$A:$A,$A857,Purchases!$C:$C,$B857)</f>
      </c>
      <c r="E857" s="11">
        <f>SUMIFS('Sales Log'!$D:$D,'Sales Log'!$A:$A,$A857,'Sales Log'!$C:$C,$B857)</f>
      </c>
      <c r="F857" s="8"/>
      <c r="G857" s="8"/>
      <c r="H857" s="11">
        <f>C857+D857-E857-F857</f>
      </c>
      <c r="I857" s="11">
        <f>H857-G857</f>
      </c>
    </row>
    <row r="858" ht="21" customHeight="1" spans="1:9" x14ac:dyDescent="0.25">
      <c r="A858" s="8"/>
      <c r="B858" s="8"/>
      <c r="C858" s="11">
        <f>IFERROR(LOOKUP(2,1/(($B$3:$B857=B858)*($A$3:$A857&lt;A858)),$G$3:$G857),IFERROR(VLOOKUP(B858,'Inventory Master'!$A$3:$L$300,6,FALSE),0))</f>
      </c>
      <c r="D858" s="11">
        <f>SUMIFS(Purchases!$D:$D,Purchases!$A:$A,$A858,Purchases!$C:$C,$B858)</f>
      </c>
      <c r="E858" s="11">
        <f>SUMIFS('Sales Log'!$D:$D,'Sales Log'!$A:$A,$A858,'Sales Log'!$C:$C,$B858)</f>
      </c>
      <c r="F858" s="8"/>
      <c r="G858" s="8"/>
      <c r="H858" s="11">
        <f>C858+D858-E858-F858</f>
      </c>
      <c r="I858" s="11">
        <f>H858-G858</f>
      </c>
    </row>
    <row r="859" ht="21" customHeight="1" spans="1:9" x14ac:dyDescent="0.25">
      <c r="A859" s="8"/>
      <c r="B859" s="8"/>
      <c r="C859" s="11">
        <f>IFERROR(LOOKUP(2,1/(($B$3:$B858=B859)*($A$3:$A858&lt;A859)),$G$3:$G858),IFERROR(VLOOKUP(B859,'Inventory Master'!$A$3:$L$300,6,FALSE),0))</f>
      </c>
      <c r="D859" s="11">
        <f>SUMIFS(Purchases!$D:$D,Purchases!$A:$A,$A859,Purchases!$C:$C,$B859)</f>
      </c>
      <c r="E859" s="11">
        <f>SUMIFS('Sales Log'!$D:$D,'Sales Log'!$A:$A,$A859,'Sales Log'!$C:$C,$B859)</f>
      </c>
      <c r="F859" s="8"/>
      <c r="G859" s="8"/>
      <c r="H859" s="11">
        <f>C859+D859-E859-F859</f>
      </c>
      <c r="I859" s="11">
        <f>H859-G859</f>
      </c>
    </row>
    <row r="860" ht="21" customHeight="1" spans="1:9" x14ac:dyDescent="0.25">
      <c r="A860" s="8"/>
      <c r="B860" s="8"/>
      <c r="C860" s="11">
        <f>IFERROR(LOOKUP(2,1/(($B$3:$B859=B860)*($A$3:$A859&lt;A860)),$G$3:$G859),IFERROR(VLOOKUP(B860,'Inventory Master'!$A$3:$L$300,6,FALSE),0))</f>
      </c>
      <c r="D860" s="11">
        <f>SUMIFS(Purchases!$D:$D,Purchases!$A:$A,$A860,Purchases!$C:$C,$B860)</f>
      </c>
      <c r="E860" s="11">
        <f>SUMIFS('Sales Log'!$D:$D,'Sales Log'!$A:$A,$A860,'Sales Log'!$C:$C,$B860)</f>
      </c>
      <c r="F860" s="8"/>
      <c r="G860" s="8"/>
      <c r="H860" s="11">
        <f>C860+D860-E860-F860</f>
      </c>
      <c r="I860" s="11">
        <f>H860-G860</f>
      </c>
    </row>
    <row r="861" ht="21" customHeight="1" spans="1:9" x14ac:dyDescent="0.25">
      <c r="A861" s="8"/>
      <c r="B861" s="8"/>
      <c r="C861" s="11">
        <f>IFERROR(LOOKUP(2,1/(($B$3:$B860=B861)*($A$3:$A860&lt;A861)),$G$3:$G860),IFERROR(VLOOKUP(B861,'Inventory Master'!$A$3:$L$300,6,FALSE),0))</f>
      </c>
      <c r="D861" s="11">
        <f>SUMIFS(Purchases!$D:$D,Purchases!$A:$A,$A861,Purchases!$C:$C,$B861)</f>
      </c>
      <c r="E861" s="11">
        <f>SUMIFS('Sales Log'!$D:$D,'Sales Log'!$A:$A,$A861,'Sales Log'!$C:$C,$B861)</f>
      </c>
      <c r="F861" s="8"/>
      <c r="G861" s="8"/>
      <c r="H861" s="11">
        <f>C861+D861-E861-F861</f>
      </c>
      <c r="I861" s="11">
        <f>H861-G861</f>
      </c>
    </row>
    <row r="862" ht="21" customHeight="1" spans="1:9" x14ac:dyDescent="0.25">
      <c r="A862" s="8"/>
      <c r="B862" s="8"/>
      <c r="C862" s="11">
        <f>IFERROR(LOOKUP(2,1/(($B$3:$B861=B862)*($A$3:$A861&lt;A862)),$G$3:$G861),IFERROR(VLOOKUP(B862,'Inventory Master'!$A$3:$L$300,6,FALSE),0))</f>
      </c>
      <c r="D862" s="11">
        <f>SUMIFS(Purchases!$D:$D,Purchases!$A:$A,$A862,Purchases!$C:$C,$B862)</f>
      </c>
      <c r="E862" s="11">
        <f>SUMIFS('Sales Log'!$D:$D,'Sales Log'!$A:$A,$A862,'Sales Log'!$C:$C,$B862)</f>
      </c>
      <c r="F862" s="8"/>
      <c r="G862" s="8"/>
      <c r="H862" s="11">
        <f>C862+D862-E862-F862</f>
      </c>
      <c r="I862" s="11">
        <f>H862-G862</f>
      </c>
    </row>
    <row r="863" ht="21" customHeight="1" spans="1:9" x14ac:dyDescent="0.25">
      <c r="A863" s="8"/>
      <c r="B863" s="8"/>
      <c r="C863" s="11">
        <f>IFERROR(LOOKUP(2,1/(($B$3:$B862=B863)*($A$3:$A862&lt;A863)),$G$3:$G862),IFERROR(VLOOKUP(B863,'Inventory Master'!$A$3:$L$300,6,FALSE),0))</f>
      </c>
      <c r="D863" s="11">
        <f>SUMIFS(Purchases!$D:$D,Purchases!$A:$A,$A863,Purchases!$C:$C,$B863)</f>
      </c>
      <c r="E863" s="11">
        <f>SUMIFS('Sales Log'!$D:$D,'Sales Log'!$A:$A,$A863,'Sales Log'!$C:$C,$B863)</f>
      </c>
      <c r="F863" s="8"/>
      <c r="G863" s="8"/>
      <c r="H863" s="11">
        <f>C863+D863-E863-F863</f>
      </c>
      <c r="I863" s="11">
        <f>H863-G863</f>
      </c>
    </row>
    <row r="864" ht="21" customHeight="1" spans="1:9" x14ac:dyDescent="0.25">
      <c r="A864" s="8"/>
      <c r="B864" s="8"/>
      <c r="C864" s="11">
        <f>IFERROR(LOOKUP(2,1/(($B$3:$B863=B864)*($A$3:$A863&lt;A864)),$G$3:$G863),IFERROR(VLOOKUP(B864,'Inventory Master'!$A$3:$L$300,6,FALSE),0))</f>
      </c>
      <c r="D864" s="11">
        <f>SUMIFS(Purchases!$D:$D,Purchases!$A:$A,$A864,Purchases!$C:$C,$B864)</f>
      </c>
      <c r="E864" s="11">
        <f>SUMIFS('Sales Log'!$D:$D,'Sales Log'!$A:$A,$A864,'Sales Log'!$C:$C,$B864)</f>
      </c>
      <c r="F864" s="8"/>
      <c r="G864" s="8"/>
      <c r="H864" s="11">
        <f>C864+D864-E864-F864</f>
      </c>
      <c r="I864" s="11">
        <f>H864-G864</f>
      </c>
    </row>
    <row r="865" ht="21" customHeight="1" spans="1:9" x14ac:dyDescent="0.25">
      <c r="A865" s="8"/>
      <c r="B865" s="8"/>
      <c r="C865" s="11">
        <f>IFERROR(LOOKUP(2,1/(($B$3:$B864=B865)*($A$3:$A864&lt;A865)),$G$3:$G864),IFERROR(VLOOKUP(B865,'Inventory Master'!$A$3:$L$300,6,FALSE),0))</f>
      </c>
      <c r="D865" s="11">
        <f>SUMIFS(Purchases!$D:$D,Purchases!$A:$A,$A865,Purchases!$C:$C,$B865)</f>
      </c>
      <c r="E865" s="11">
        <f>SUMIFS('Sales Log'!$D:$D,'Sales Log'!$A:$A,$A865,'Sales Log'!$C:$C,$B865)</f>
      </c>
      <c r="F865" s="8"/>
      <c r="G865" s="8"/>
      <c r="H865" s="11">
        <f>C865+D865-E865-F865</f>
      </c>
      <c r="I865" s="11">
        <f>H865-G865</f>
      </c>
    </row>
    <row r="866" ht="21" customHeight="1" spans="1:9" x14ac:dyDescent="0.25">
      <c r="A866" s="8"/>
      <c r="B866" s="8"/>
      <c r="C866" s="11">
        <f>IFERROR(LOOKUP(2,1/(($B$3:$B865=B866)*($A$3:$A865&lt;A866)),$G$3:$G865),IFERROR(VLOOKUP(B866,'Inventory Master'!$A$3:$L$300,6,FALSE),0))</f>
      </c>
      <c r="D866" s="11">
        <f>SUMIFS(Purchases!$D:$D,Purchases!$A:$A,$A866,Purchases!$C:$C,$B866)</f>
      </c>
      <c r="E866" s="11">
        <f>SUMIFS('Sales Log'!$D:$D,'Sales Log'!$A:$A,$A866,'Sales Log'!$C:$C,$B866)</f>
      </c>
      <c r="F866" s="8"/>
      <c r="G866" s="8"/>
      <c r="H866" s="11">
        <f>C866+D866-E866-F866</f>
      </c>
      <c r="I866" s="11">
        <f>H866-G866</f>
      </c>
    </row>
    <row r="867" ht="21" customHeight="1" spans="1:9" x14ac:dyDescent="0.25">
      <c r="A867" s="8"/>
      <c r="B867" s="8"/>
      <c r="C867" s="11">
        <f>IFERROR(LOOKUP(2,1/(($B$3:$B866=B867)*($A$3:$A866&lt;A867)),$G$3:$G866),IFERROR(VLOOKUP(B867,'Inventory Master'!$A$3:$L$300,6,FALSE),0))</f>
      </c>
      <c r="D867" s="11">
        <f>SUMIFS(Purchases!$D:$D,Purchases!$A:$A,$A867,Purchases!$C:$C,$B867)</f>
      </c>
      <c r="E867" s="11">
        <f>SUMIFS('Sales Log'!$D:$D,'Sales Log'!$A:$A,$A867,'Sales Log'!$C:$C,$B867)</f>
      </c>
      <c r="F867" s="8"/>
      <c r="G867" s="8"/>
      <c r="H867" s="11">
        <f>C867+D867-E867-F867</f>
      </c>
      <c r="I867" s="11">
        <f>H867-G867</f>
      </c>
    </row>
    <row r="868" ht="21" customHeight="1" spans="1:9" x14ac:dyDescent="0.25">
      <c r="A868" s="8"/>
      <c r="B868" s="8"/>
      <c r="C868" s="11">
        <f>IFERROR(LOOKUP(2,1/(($B$3:$B867=B868)*($A$3:$A867&lt;A868)),$G$3:$G867),IFERROR(VLOOKUP(B868,'Inventory Master'!$A$3:$L$300,6,FALSE),0))</f>
      </c>
      <c r="D868" s="11">
        <f>SUMIFS(Purchases!$D:$D,Purchases!$A:$A,$A868,Purchases!$C:$C,$B868)</f>
      </c>
      <c r="E868" s="11">
        <f>SUMIFS('Sales Log'!$D:$D,'Sales Log'!$A:$A,$A868,'Sales Log'!$C:$C,$B868)</f>
      </c>
      <c r="F868" s="8"/>
      <c r="G868" s="8"/>
      <c r="H868" s="11">
        <f>C868+D868-E868-F868</f>
      </c>
      <c r="I868" s="11">
        <f>H868-G868</f>
      </c>
    </row>
    <row r="869" ht="21" customHeight="1" spans="1:9" x14ac:dyDescent="0.25">
      <c r="A869" s="8"/>
      <c r="B869" s="8"/>
      <c r="C869" s="11">
        <f>IFERROR(LOOKUP(2,1/(($B$3:$B868=B869)*($A$3:$A868&lt;A869)),$G$3:$G868),IFERROR(VLOOKUP(B869,'Inventory Master'!$A$3:$L$300,6,FALSE),0))</f>
      </c>
      <c r="D869" s="11">
        <f>SUMIFS(Purchases!$D:$D,Purchases!$A:$A,$A869,Purchases!$C:$C,$B869)</f>
      </c>
      <c r="E869" s="11">
        <f>SUMIFS('Sales Log'!$D:$D,'Sales Log'!$A:$A,$A869,'Sales Log'!$C:$C,$B869)</f>
      </c>
      <c r="F869" s="8"/>
      <c r="G869" s="8"/>
      <c r="H869" s="11">
        <f>C869+D869-E869-F869</f>
      </c>
      <c r="I869" s="11">
        <f>H869-G869</f>
      </c>
    </row>
    <row r="870" ht="21" customHeight="1" spans="1:9" x14ac:dyDescent="0.25">
      <c r="A870" s="8"/>
      <c r="B870" s="8"/>
      <c r="C870" s="11">
        <f>IFERROR(LOOKUP(2,1/(($B$3:$B869=B870)*($A$3:$A869&lt;A870)),$G$3:$G869),IFERROR(VLOOKUP(B870,'Inventory Master'!$A$3:$L$300,6,FALSE),0))</f>
      </c>
      <c r="D870" s="11">
        <f>SUMIFS(Purchases!$D:$D,Purchases!$A:$A,$A870,Purchases!$C:$C,$B870)</f>
      </c>
      <c r="E870" s="11">
        <f>SUMIFS('Sales Log'!$D:$D,'Sales Log'!$A:$A,$A870,'Sales Log'!$C:$C,$B870)</f>
      </c>
      <c r="F870" s="8"/>
      <c r="G870" s="8"/>
      <c r="H870" s="11">
        <f>C870+D870-E870-F870</f>
      </c>
      <c r="I870" s="11">
        <f>H870-G870</f>
      </c>
    </row>
    <row r="871" ht="21" customHeight="1" spans="1:9" x14ac:dyDescent="0.25">
      <c r="A871" s="8"/>
      <c r="B871" s="8"/>
      <c r="C871" s="11">
        <f>IFERROR(LOOKUP(2,1/(($B$3:$B870=B871)*($A$3:$A870&lt;A871)),$G$3:$G870),IFERROR(VLOOKUP(B871,'Inventory Master'!$A$3:$L$300,6,FALSE),0))</f>
      </c>
      <c r="D871" s="11">
        <f>SUMIFS(Purchases!$D:$D,Purchases!$A:$A,$A871,Purchases!$C:$C,$B871)</f>
      </c>
      <c r="E871" s="11">
        <f>SUMIFS('Sales Log'!$D:$D,'Sales Log'!$A:$A,$A871,'Sales Log'!$C:$C,$B871)</f>
      </c>
      <c r="F871" s="8"/>
      <c r="G871" s="8"/>
      <c r="H871" s="11">
        <f>C871+D871-E871-F871</f>
      </c>
      <c r="I871" s="11">
        <f>H871-G871</f>
      </c>
    </row>
    <row r="872" ht="21" customHeight="1" spans="1:9" x14ac:dyDescent="0.25">
      <c r="A872" s="8"/>
      <c r="B872" s="8"/>
      <c r="C872" s="11">
        <f>IFERROR(LOOKUP(2,1/(($B$3:$B871=B872)*($A$3:$A871&lt;A872)),$G$3:$G871),IFERROR(VLOOKUP(B872,'Inventory Master'!$A$3:$L$300,6,FALSE),0))</f>
      </c>
      <c r="D872" s="11">
        <f>SUMIFS(Purchases!$D:$D,Purchases!$A:$A,$A872,Purchases!$C:$C,$B872)</f>
      </c>
      <c r="E872" s="11">
        <f>SUMIFS('Sales Log'!$D:$D,'Sales Log'!$A:$A,$A872,'Sales Log'!$C:$C,$B872)</f>
      </c>
      <c r="F872" s="8"/>
      <c r="G872" s="8"/>
      <c r="H872" s="11">
        <f>C872+D872-E872-F872</f>
      </c>
      <c r="I872" s="11">
        <f>H872-G872</f>
      </c>
    </row>
    <row r="873" ht="21" customHeight="1" spans="1:9" x14ac:dyDescent="0.25">
      <c r="A873" s="8"/>
      <c r="B873" s="8"/>
      <c r="C873" s="11">
        <f>IFERROR(LOOKUP(2,1/(($B$3:$B872=B873)*($A$3:$A872&lt;A873)),$G$3:$G872),IFERROR(VLOOKUP(B873,'Inventory Master'!$A$3:$L$300,6,FALSE),0))</f>
      </c>
      <c r="D873" s="11">
        <f>SUMIFS(Purchases!$D:$D,Purchases!$A:$A,$A873,Purchases!$C:$C,$B873)</f>
      </c>
      <c r="E873" s="11">
        <f>SUMIFS('Sales Log'!$D:$D,'Sales Log'!$A:$A,$A873,'Sales Log'!$C:$C,$B873)</f>
      </c>
      <c r="F873" s="8"/>
      <c r="G873" s="8"/>
      <c r="H873" s="11">
        <f>C873+D873-E873-F873</f>
      </c>
      <c r="I873" s="11">
        <f>H873-G873</f>
      </c>
    </row>
    <row r="874" ht="21" customHeight="1" spans="1:9" x14ac:dyDescent="0.25">
      <c r="A874" s="8"/>
      <c r="B874" s="8"/>
      <c r="C874" s="11">
        <f>IFERROR(LOOKUP(2,1/(($B$3:$B873=B874)*($A$3:$A873&lt;A874)),$G$3:$G873),IFERROR(VLOOKUP(B874,'Inventory Master'!$A$3:$L$300,6,FALSE),0))</f>
      </c>
      <c r="D874" s="11">
        <f>SUMIFS(Purchases!$D:$D,Purchases!$A:$A,$A874,Purchases!$C:$C,$B874)</f>
      </c>
      <c r="E874" s="11">
        <f>SUMIFS('Sales Log'!$D:$D,'Sales Log'!$A:$A,$A874,'Sales Log'!$C:$C,$B874)</f>
      </c>
      <c r="F874" s="8"/>
      <c r="G874" s="8"/>
      <c r="H874" s="11">
        <f>C874+D874-E874-F874</f>
      </c>
      <c r="I874" s="11">
        <f>H874-G874</f>
      </c>
    </row>
    <row r="875" ht="21" customHeight="1" spans="1:9" x14ac:dyDescent="0.25">
      <c r="A875" s="8"/>
      <c r="B875" s="8"/>
      <c r="C875" s="11">
        <f>IFERROR(LOOKUP(2,1/(($B$3:$B874=B875)*($A$3:$A874&lt;A875)),$G$3:$G874),IFERROR(VLOOKUP(B875,'Inventory Master'!$A$3:$L$300,6,FALSE),0))</f>
      </c>
      <c r="D875" s="11">
        <f>SUMIFS(Purchases!$D:$D,Purchases!$A:$A,$A875,Purchases!$C:$C,$B875)</f>
      </c>
      <c r="E875" s="11">
        <f>SUMIFS('Sales Log'!$D:$D,'Sales Log'!$A:$A,$A875,'Sales Log'!$C:$C,$B875)</f>
      </c>
      <c r="F875" s="8"/>
      <c r="G875" s="8"/>
      <c r="H875" s="11">
        <f>C875+D875-E875-F875</f>
      </c>
      <c r="I875" s="11">
        <f>H875-G875</f>
      </c>
    </row>
    <row r="876" ht="21" customHeight="1" spans="1:9" x14ac:dyDescent="0.25">
      <c r="A876" s="8"/>
      <c r="B876" s="8"/>
      <c r="C876" s="11">
        <f>IFERROR(LOOKUP(2,1/(($B$3:$B875=B876)*($A$3:$A875&lt;A876)),$G$3:$G875),IFERROR(VLOOKUP(B876,'Inventory Master'!$A$3:$L$300,6,FALSE),0))</f>
      </c>
      <c r="D876" s="11">
        <f>SUMIFS(Purchases!$D:$D,Purchases!$A:$A,$A876,Purchases!$C:$C,$B876)</f>
      </c>
      <c r="E876" s="11">
        <f>SUMIFS('Sales Log'!$D:$D,'Sales Log'!$A:$A,$A876,'Sales Log'!$C:$C,$B876)</f>
      </c>
      <c r="F876" s="8"/>
      <c r="G876" s="8"/>
      <c r="H876" s="11">
        <f>C876+D876-E876-F876</f>
      </c>
      <c r="I876" s="11">
        <f>H876-G876</f>
      </c>
    </row>
    <row r="877" ht="21" customHeight="1" spans="1:9" x14ac:dyDescent="0.25">
      <c r="A877" s="8"/>
      <c r="B877" s="8"/>
      <c r="C877" s="11">
        <f>IFERROR(LOOKUP(2,1/(($B$3:$B876=B877)*($A$3:$A876&lt;A877)),$G$3:$G876),IFERROR(VLOOKUP(B877,'Inventory Master'!$A$3:$L$300,6,FALSE),0))</f>
      </c>
      <c r="D877" s="11">
        <f>SUMIFS(Purchases!$D:$D,Purchases!$A:$A,$A877,Purchases!$C:$C,$B877)</f>
      </c>
      <c r="E877" s="11">
        <f>SUMIFS('Sales Log'!$D:$D,'Sales Log'!$A:$A,$A877,'Sales Log'!$C:$C,$B877)</f>
      </c>
      <c r="F877" s="8"/>
      <c r="G877" s="8"/>
      <c r="H877" s="11">
        <f>C877+D877-E877-F877</f>
      </c>
      <c r="I877" s="11">
        <f>H877-G877</f>
      </c>
    </row>
    <row r="878" ht="21" customHeight="1" spans="1:9" x14ac:dyDescent="0.25">
      <c r="A878" s="8"/>
      <c r="B878" s="8"/>
      <c r="C878" s="11">
        <f>IFERROR(LOOKUP(2,1/(($B$3:$B877=B878)*($A$3:$A877&lt;A878)),$G$3:$G877),IFERROR(VLOOKUP(B878,'Inventory Master'!$A$3:$L$300,6,FALSE),0))</f>
      </c>
      <c r="D878" s="11">
        <f>SUMIFS(Purchases!$D:$D,Purchases!$A:$A,$A878,Purchases!$C:$C,$B878)</f>
      </c>
      <c r="E878" s="11">
        <f>SUMIFS('Sales Log'!$D:$D,'Sales Log'!$A:$A,$A878,'Sales Log'!$C:$C,$B878)</f>
      </c>
      <c r="F878" s="8"/>
      <c r="G878" s="8"/>
      <c r="H878" s="11">
        <f>C878+D878-E878-F878</f>
      </c>
      <c r="I878" s="11">
        <f>H878-G878</f>
      </c>
    </row>
    <row r="879" ht="21" customHeight="1" spans="1:9" x14ac:dyDescent="0.25">
      <c r="A879" s="8"/>
      <c r="B879" s="8"/>
      <c r="C879" s="11">
        <f>IFERROR(LOOKUP(2,1/(($B$3:$B878=B879)*($A$3:$A878&lt;A879)),$G$3:$G878),IFERROR(VLOOKUP(B879,'Inventory Master'!$A$3:$L$300,6,FALSE),0))</f>
      </c>
      <c r="D879" s="11">
        <f>SUMIFS(Purchases!$D:$D,Purchases!$A:$A,$A879,Purchases!$C:$C,$B879)</f>
      </c>
      <c r="E879" s="11">
        <f>SUMIFS('Sales Log'!$D:$D,'Sales Log'!$A:$A,$A879,'Sales Log'!$C:$C,$B879)</f>
      </c>
      <c r="F879" s="8"/>
      <c r="G879" s="8"/>
      <c r="H879" s="11">
        <f>C879+D879-E879-F879</f>
      </c>
      <c r="I879" s="11">
        <f>H879-G879</f>
      </c>
    </row>
    <row r="880" ht="21" customHeight="1" spans="1:9" x14ac:dyDescent="0.25">
      <c r="A880" s="8"/>
      <c r="B880" s="8"/>
      <c r="C880" s="11">
        <f>IFERROR(LOOKUP(2,1/(($B$3:$B879=B880)*($A$3:$A879&lt;A880)),$G$3:$G879),IFERROR(VLOOKUP(B880,'Inventory Master'!$A$3:$L$300,6,FALSE),0))</f>
      </c>
      <c r="D880" s="11">
        <f>SUMIFS(Purchases!$D:$D,Purchases!$A:$A,$A880,Purchases!$C:$C,$B880)</f>
      </c>
      <c r="E880" s="11">
        <f>SUMIFS('Sales Log'!$D:$D,'Sales Log'!$A:$A,$A880,'Sales Log'!$C:$C,$B880)</f>
      </c>
      <c r="F880" s="8"/>
      <c r="G880" s="8"/>
      <c r="H880" s="11">
        <f>C880+D880-E880-F880</f>
      </c>
      <c r="I880" s="11">
        <f>H880-G880</f>
      </c>
    </row>
    <row r="881" ht="21" customHeight="1" spans="1:9" x14ac:dyDescent="0.25">
      <c r="A881" s="8"/>
      <c r="B881" s="8"/>
      <c r="C881" s="11">
        <f>IFERROR(LOOKUP(2,1/(($B$3:$B880=B881)*($A$3:$A880&lt;A881)),$G$3:$G880),IFERROR(VLOOKUP(B881,'Inventory Master'!$A$3:$L$300,6,FALSE),0))</f>
      </c>
      <c r="D881" s="11">
        <f>SUMIFS(Purchases!$D:$D,Purchases!$A:$A,$A881,Purchases!$C:$C,$B881)</f>
      </c>
      <c r="E881" s="11">
        <f>SUMIFS('Sales Log'!$D:$D,'Sales Log'!$A:$A,$A881,'Sales Log'!$C:$C,$B881)</f>
      </c>
      <c r="F881" s="8"/>
      <c r="G881" s="8"/>
      <c r="H881" s="11">
        <f>C881+D881-E881-F881</f>
      </c>
      <c r="I881" s="11">
        <f>H881-G881</f>
      </c>
    </row>
    <row r="882" ht="21" customHeight="1" spans="1:9" x14ac:dyDescent="0.25">
      <c r="A882" s="8"/>
      <c r="B882" s="8"/>
      <c r="C882" s="11">
        <f>IFERROR(LOOKUP(2,1/(($B$3:$B881=B882)*($A$3:$A881&lt;A882)),$G$3:$G881),IFERROR(VLOOKUP(B882,'Inventory Master'!$A$3:$L$300,6,FALSE),0))</f>
      </c>
      <c r="D882" s="11">
        <f>SUMIFS(Purchases!$D:$D,Purchases!$A:$A,$A882,Purchases!$C:$C,$B882)</f>
      </c>
      <c r="E882" s="11">
        <f>SUMIFS('Sales Log'!$D:$D,'Sales Log'!$A:$A,$A882,'Sales Log'!$C:$C,$B882)</f>
      </c>
      <c r="F882" s="8"/>
      <c r="G882" s="8"/>
      <c r="H882" s="11">
        <f>C882+D882-E882-F882</f>
      </c>
      <c r="I882" s="11">
        <f>H882-G882</f>
      </c>
    </row>
    <row r="883" ht="21" customHeight="1" spans="1:9" x14ac:dyDescent="0.25">
      <c r="A883" s="8"/>
      <c r="B883" s="8"/>
      <c r="C883" s="11">
        <f>IFERROR(LOOKUP(2,1/(($B$3:$B882=B883)*($A$3:$A882&lt;A883)),$G$3:$G882),IFERROR(VLOOKUP(B883,'Inventory Master'!$A$3:$L$300,6,FALSE),0))</f>
      </c>
      <c r="D883" s="11">
        <f>SUMIFS(Purchases!$D:$D,Purchases!$A:$A,$A883,Purchases!$C:$C,$B883)</f>
      </c>
      <c r="E883" s="11">
        <f>SUMIFS('Sales Log'!$D:$D,'Sales Log'!$A:$A,$A883,'Sales Log'!$C:$C,$B883)</f>
      </c>
      <c r="F883" s="8"/>
      <c r="G883" s="8"/>
      <c r="H883" s="11">
        <f>C883+D883-E883-F883</f>
      </c>
      <c r="I883" s="11">
        <f>H883-G883</f>
      </c>
    </row>
    <row r="884" ht="21" customHeight="1" spans="1:9" x14ac:dyDescent="0.25">
      <c r="A884" s="8"/>
      <c r="B884" s="8"/>
      <c r="C884" s="11">
        <f>IFERROR(LOOKUP(2,1/(($B$3:$B883=B884)*($A$3:$A883&lt;A884)),$G$3:$G883),IFERROR(VLOOKUP(B884,'Inventory Master'!$A$3:$L$300,6,FALSE),0))</f>
      </c>
      <c r="D884" s="11">
        <f>SUMIFS(Purchases!$D:$D,Purchases!$A:$A,$A884,Purchases!$C:$C,$B884)</f>
      </c>
      <c r="E884" s="11">
        <f>SUMIFS('Sales Log'!$D:$D,'Sales Log'!$A:$A,$A884,'Sales Log'!$C:$C,$B884)</f>
      </c>
      <c r="F884" s="8"/>
      <c r="G884" s="8"/>
      <c r="H884" s="11">
        <f>C884+D884-E884-F884</f>
      </c>
      <c r="I884" s="11">
        <f>H884-G884</f>
      </c>
    </row>
    <row r="885" ht="21" customHeight="1" spans="1:9" x14ac:dyDescent="0.25">
      <c r="A885" s="8"/>
      <c r="B885" s="8"/>
      <c r="C885" s="11">
        <f>IFERROR(LOOKUP(2,1/(($B$3:$B884=B885)*($A$3:$A884&lt;A885)),$G$3:$G884),IFERROR(VLOOKUP(B885,'Inventory Master'!$A$3:$L$300,6,FALSE),0))</f>
      </c>
      <c r="D885" s="11">
        <f>SUMIFS(Purchases!$D:$D,Purchases!$A:$A,$A885,Purchases!$C:$C,$B885)</f>
      </c>
      <c r="E885" s="11">
        <f>SUMIFS('Sales Log'!$D:$D,'Sales Log'!$A:$A,$A885,'Sales Log'!$C:$C,$B885)</f>
      </c>
      <c r="F885" s="8"/>
      <c r="G885" s="8"/>
      <c r="H885" s="11">
        <f>C885+D885-E885-F885</f>
      </c>
      <c r="I885" s="11">
        <f>H885-G885</f>
      </c>
    </row>
    <row r="886" ht="21" customHeight="1" spans="1:9" x14ac:dyDescent="0.25">
      <c r="A886" s="8"/>
      <c r="B886" s="8"/>
      <c r="C886" s="11">
        <f>IFERROR(LOOKUP(2,1/(($B$3:$B885=B886)*($A$3:$A885&lt;A886)),$G$3:$G885),IFERROR(VLOOKUP(B886,'Inventory Master'!$A$3:$L$300,6,FALSE),0))</f>
      </c>
      <c r="D886" s="11">
        <f>SUMIFS(Purchases!$D:$D,Purchases!$A:$A,$A886,Purchases!$C:$C,$B886)</f>
      </c>
      <c r="E886" s="11">
        <f>SUMIFS('Sales Log'!$D:$D,'Sales Log'!$A:$A,$A886,'Sales Log'!$C:$C,$B886)</f>
      </c>
      <c r="F886" s="8"/>
      <c r="G886" s="8"/>
      <c r="H886" s="11">
        <f>C886+D886-E886-F886</f>
      </c>
      <c r="I886" s="11">
        <f>H886-G886</f>
      </c>
    </row>
    <row r="887" ht="21" customHeight="1" spans="1:9" x14ac:dyDescent="0.25">
      <c r="A887" s="8"/>
      <c r="B887" s="8"/>
      <c r="C887" s="11">
        <f>IFERROR(LOOKUP(2,1/(($B$3:$B886=B887)*($A$3:$A886&lt;A887)),$G$3:$G886),IFERROR(VLOOKUP(B887,'Inventory Master'!$A$3:$L$300,6,FALSE),0))</f>
      </c>
      <c r="D887" s="11">
        <f>SUMIFS(Purchases!$D:$D,Purchases!$A:$A,$A887,Purchases!$C:$C,$B887)</f>
      </c>
      <c r="E887" s="11">
        <f>SUMIFS('Sales Log'!$D:$D,'Sales Log'!$A:$A,$A887,'Sales Log'!$C:$C,$B887)</f>
      </c>
      <c r="F887" s="8"/>
      <c r="G887" s="8"/>
      <c r="H887" s="11">
        <f>C887+D887-E887-F887</f>
      </c>
      <c r="I887" s="11">
        <f>H887-G887</f>
      </c>
    </row>
    <row r="888" ht="21" customHeight="1" spans="1:9" x14ac:dyDescent="0.25">
      <c r="A888" s="8"/>
      <c r="B888" s="8"/>
      <c r="C888" s="11">
        <f>IFERROR(LOOKUP(2,1/(($B$3:$B887=B888)*($A$3:$A887&lt;A888)),$G$3:$G887),IFERROR(VLOOKUP(B888,'Inventory Master'!$A$3:$L$300,6,FALSE),0))</f>
      </c>
      <c r="D888" s="11">
        <f>SUMIFS(Purchases!$D:$D,Purchases!$A:$A,$A888,Purchases!$C:$C,$B888)</f>
      </c>
      <c r="E888" s="11">
        <f>SUMIFS('Sales Log'!$D:$D,'Sales Log'!$A:$A,$A888,'Sales Log'!$C:$C,$B888)</f>
      </c>
      <c r="F888" s="8"/>
      <c r="G888" s="8"/>
      <c r="H888" s="11">
        <f>C888+D888-E888-F888</f>
      </c>
      <c r="I888" s="11">
        <f>H888-G888</f>
      </c>
    </row>
    <row r="889" ht="21" customHeight="1" spans="1:9" x14ac:dyDescent="0.25">
      <c r="A889" s="8"/>
      <c r="B889" s="8"/>
      <c r="C889" s="11">
        <f>IFERROR(LOOKUP(2,1/(($B$3:$B888=B889)*($A$3:$A888&lt;A889)),$G$3:$G888),IFERROR(VLOOKUP(B889,'Inventory Master'!$A$3:$L$300,6,FALSE),0))</f>
      </c>
      <c r="D889" s="11">
        <f>SUMIFS(Purchases!$D:$D,Purchases!$A:$A,$A889,Purchases!$C:$C,$B889)</f>
      </c>
      <c r="E889" s="11">
        <f>SUMIFS('Sales Log'!$D:$D,'Sales Log'!$A:$A,$A889,'Sales Log'!$C:$C,$B889)</f>
      </c>
      <c r="F889" s="8"/>
      <c r="G889" s="8"/>
      <c r="H889" s="11">
        <f>C889+D889-E889-F889</f>
      </c>
      <c r="I889" s="11">
        <f>H889-G889</f>
      </c>
    </row>
    <row r="890" ht="21" customHeight="1" spans="1:9" x14ac:dyDescent="0.25">
      <c r="A890" s="8"/>
      <c r="B890" s="8"/>
      <c r="C890" s="11">
        <f>IFERROR(LOOKUP(2,1/(($B$3:$B889=B890)*($A$3:$A889&lt;A890)),$G$3:$G889),IFERROR(VLOOKUP(B890,'Inventory Master'!$A$3:$L$300,6,FALSE),0))</f>
      </c>
      <c r="D890" s="11">
        <f>SUMIFS(Purchases!$D:$D,Purchases!$A:$A,$A890,Purchases!$C:$C,$B890)</f>
      </c>
      <c r="E890" s="11">
        <f>SUMIFS('Sales Log'!$D:$D,'Sales Log'!$A:$A,$A890,'Sales Log'!$C:$C,$B890)</f>
      </c>
      <c r="F890" s="8"/>
      <c r="G890" s="8"/>
      <c r="H890" s="11">
        <f>C890+D890-E890-F890</f>
      </c>
      <c r="I890" s="11">
        <f>H890-G890</f>
      </c>
    </row>
    <row r="891" ht="21" customHeight="1" spans="1:9" x14ac:dyDescent="0.25">
      <c r="A891" s="8"/>
      <c r="B891" s="8"/>
      <c r="C891" s="11">
        <f>IFERROR(LOOKUP(2,1/(($B$3:$B890=B891)*($A$3:$A890&lt;A891)),$G$3:$G890),IFERROR(VLOOKUP(B891,'Inventory Master'!$A$3:$L$300,6,FALSE),0))</f>
      </c>
      <c r="D891" s="11">
        <f>SUMIFS(Purchases!$D:$D,Purchases!$A:$A,$A891,Purchases!$C:$C,$B891)</f>
      </c>
      <c r="E891" s="11">
        <f>SUMIFS('Sales Log'!$D:$D,'Sales Log'!$A:$A,$A891,'Sales Log'!$C:$C,$B891)</f>
      </c>
      <c r="F891" s="8"/>
      <c r="G891" s="8"/>
      <c r="H891" s="11">
        <f>C891+D891-E891-F891</f>
      </c>
      <c r="I891" s="11">
        <f>H891-G891</f>
      </c>
    </row>
    <row r="892" ht="21" customHeight="1" spans="1:9" x14ac:dyDescent="0.25">
      <c r="A892" s="8"/>
      <c r="B892" s="8"/>
      <c r="C892" s="11">
        <f>IFERROR(LOOKUP(2,1/(($B$3:$B891=B892)*($A$3:$A891&lt;A892)),$G$3:$G891),IFERROR(VLOOKUP(B892,'Inventory Master'!$A$3:$L$300,6,FALSE),0))</f>
      </c>
      <c r="D892" s="11">
        <f>SUMIFS(Purchases!$D:$D,Purchases!$A:$A,$A892,Purchases!$C:$C,$B892)</f>
      </c>
      <c r="E892" s="11">
        <f>SUMIFS('Sales Log'!$D:$D,'Sales Log'!$A:$A,$A892,'Sales Log'!$C:$C,$B892)</f>
      </c>
      <c r="F892" s="8"/>
      <c r="G892" s="8"/>
      <c r="H892" s="11">
        <f>C892+D892-E892-F892</f>
      </c>
      <c r="I892" s="11">
        <f>H892-G892</f>
      </c>
    </row>
    <row r="893" ht="21" customHeight="1" spans="1:9" x14ac:dyDescent="0.25">
      <c r="A893" s="8"/>
      <c r="B893" s="8"/>
      <c r="C893" s="11">
        <f>IFERROR(LOOKUP(2,1/(($B$3:$B892=B893)*($A$3:$A892&lt;A893)),$G$3:$G892),IFERROR(VLOOKUP(B893,'Inventory Master'!$A$3:$L$300,6,FALSE),0))</f>
      </c>
      <c r="D893" s="11">
        <f>SUMIFS(Purchases!$D:$D,Purchases!$A:$A,$A893,Purchases!$C:$C,$B893)</f>
      </c>
      <c r="E893" s="11">
        <f>SUMIFS('Sales Log'!$D:$D,'Sales Log'!$A:$A,$A893,'Sales Log'!$C:$C,$B893)</f>
      </c>
      <c r="F893" s="8"/>
      <c r="G893" s="8"/>
      <c r="H893" s="11">
        <f>C893+D893-E893-F893</f>
      </c>
      <c r="I893" s="11">
        <f>H893-G893</f>
      </c>
    </row>
    <row r="894" ht="21" customHeight="1" spans="1:9" x14ac:dyDescent="0.25">
      <c r="A894" s="8"/>
      <c r="B894" s="8"/>
      <c r="C894" s="11">
        <f>IFERROR(LOOKUP(2,1/(($B$3:$B893=B894)*($A$3:$A893&lt;A894)),$G$3:$G893),IFERROR(VLOOKUP(B894,'Inventory Master'!$A$3:$L$300,6,FALSE),0))</f>
      </c>
      <c r="D894" s="11">
        <f>SUMIFS(Purchases!$D:$D,Purchases!$A:$A,$A894,Purchases!$C:$C,$B894)</f>
      </c>
      <c r="E894" s="11">
        <f>SUMIFS('Sales Log'!$D:$D,'Sales Log'!$A:$A,$A894,'Sales Log'!$C:$C,$B894)</f>
      </c>
      <c r="F894" s="8"/>
      <c r="G894" s="8"/>
      <c r="H894" s="11">
        <f>C894+D894-E894-F894</f>
      </c>
      <c r="I894" s="11">
        <f>H894-G894</f>
      </c>
    </row>
    <row r="895" ht="21" customHeight="1" spans="1:9" x14ac:dyDescent="0.25">
      <c r="A895" s="8"/>
      <c r="B895" s="8"/>
      <c r="C895" s="11">
        <f>IFERROR(LOOKUP(2,1/(($B$3:$B894=B895)*($A$3:$A894&lt;A895)),$G$3:$G894),IFERROR(VLOOKUP(B895,'Inventory Master'!$A$3:$L$300,6,FALSE),0))</f>
      </c>
      <c r="D895" s="11">
        <f>SUMIFS(Purchases!$D:$D,Purchases!$A:$A,$A895,Purchases!$C:$C,$B895)</f>
      </c>
      <c r="E895" s="11">
        <f>SUMIFS('Sales Log'!$D:$D,'Sales Log'!$A:$A,$A895,'Sales Log'!$C:$C,$B895)</f>
      </c>
      <c r="F895" s="8"/>
      <c r="G895" s="8"/>
      <c r="H895" s="11">
        <f>C895+D895-E895-F895</f>
      </c>
      <c r="I895" s="11">
        <f>H895-G895</f>
      </c>
    </row>
    <row r="896" ht="21" customHeight="1" spans="1:9" x14ac:dyDescent="0.25">
      <c r="A896" s="8"/>
      <c r="B896" s="8"/>
      <c r="C896" s="11">
        <f>IFERROR(LOOKUP(2,1/(($B$3:$B895=B896)*($A$3:$A895&lt;A896)),$G$3:$G895),IFERROR(VLOOKUP(B896,'Inventory Master'!$A$3:$L$300,6,FALSE),0))</f>
      </c>
      <c r="D896" s="11">
        <f>SUMIFS(Purchases!$D:$D,Purchases!$A:$A,$A896,Purchases!$C:$C,$B896)</f>
      </c>
      <c r="E896" s="11">
        <f>SUMIFS('Sales Log'!$D:$D,'Sales Log'!$A:$A,$A896,'Sales Log'!$C:$C,$B896)</f>
      </c>
      <c r="F896" s="8"/>
      <c r="G896" s="8"/>
      <c r="H896" s="11">
        <f>C896+D896-E896-F896</f>
      </c>
      <c r="I896" s="11">
        <f>H896-G896</f>
      </c>
    </row>
    <row r="897" ht="21" customHeight="1" spans="1:9" x14ac:dyDescent="0.25">
      <c r="A897" s="8"/>
      <c r="B897" s="8"/>
      <c r="C897" s="11">
        <f>IFERROR(LOOKUP(2,1/(($B$3:$B896=B897)*($A$3:$A896&lt;A897)),$G$3:$G896),IFERROR(VLOOKUP(B897,'Inventory Master'!$A$3:$L$300,6,FALSE),0))</f>
      </c>
      <c r="D897" s="11">
        <f>SUMIFS(Purchases!$D:$D,Purchases!$A:$A,$A897,Purchases!$C:$C,$B897)</f>
      </c>
      <c r="E897" s="11">
        <f>SUMIFS('Sales Log'!$D:$D,'Sales Log'!$A:$A,$A897,'Sales Log'!$C:$C,$B897)</f>
      </c>
      <c r="F897" s="8"/>
      <c r="G897" s="8"/>
      <c r="H897" s="11">
        <f>C897+D897-E897-F897</f>
      </c>
      <c r="I897" s="11">
        <f>H897-G897</f>
      </c>
    </row>
    <row r="898" ht="21" customHeight="1" spans="1:9" x14ac:dyDescent="0.25">
      <c r="A898" s="8"/>
      <c r="B898" s="8"/>
      <c r="C898" s="11">
        <f>IFERROR(LOOKUP(2,1/(($B$3:$B897=B898)*($A$3:$A897&lt;A898)),$G$3:$G897),IFERROR(VLOOKUP(B898,'Inventory Master'!$A$3:$L$300,6,FALSE),0))</f>
      </c>
      <c r="D898" s="11">
        <f>SUMIFS(Purchases!$D:$D,Purchases!$A:$A,$A898,Purchases!$C:$C,$B898)</f>
      </c>
      <c r="E898" s="11">
        <f>SUMIFS('Sales Log'!$D:$D,'Sales Log'!$A:$A,$A898,'Sales Log'!$C:$C,$B898)</f>
      </c>
      <c r="F898" s="8"/>
      <c r="G898" s="8"/>
      <c r="H898" s="11">
        <f>C898+D898-E898-F898</f>
      </c>
      <c r="I898" s="11">
        <f>H898-G898</f>
      </c>
    </row>
    <row r="899" ht="21" customHeight="1" spans="1:9" x14ac:dyDescent="0.25">
      <c r="A899" s="8"/>
      <c r="B899" s="8"/>
      <c r="C899" s="11">
        <f>IFERROR(LOOKUP(2,1/(($B$3:$B898=B899)*($A$3:$A898&lt;A899)),$G$3:$G898),IFERROR(VLOOKUP(B899,'Inventory Master'!$A$3:$L$300,6,FALSE),0))</f>
      </c>
      <c r="D899" s="11">
        <f>SUMIFS(Purchases!$D:$D,Purchases!$A:$A,$A899,Purchases!$C:$C,$B899)</f>
      </c>
      <c r="E899" s="11">
        <f>SUMIFS('Sales Log'!$D:$D,'Sales Log'!$A:$A,$A899,'Sales Log'!$C:$C,$B899)</f>
      </c>
      <c r="F899" s="8"/>
      <c r="G899" s="8"/>
      <c r="H899" s="11">
        <f>C899+D899-E899-F899</f>
      </c>
      <c r="I899" s="11">
        <f>H899-G899</f>
      </c>
    </row>
    <row r="900" ht="21" customHeight="1" spans="1:9" x14ac:dyDescent="0.25">
      <c r="A900" s="8"/>
      <c r="B900" s="8"/>
      <c r="C900" s="11">
        <f>IFERROR(LOOKUP(2,1/(($B$3:$B899=B900)*($A$3:$A899&lt;A900)),$G$3:$G899),IFERROR(VLOOKUP(B900,'Inventory Master'!$A$3:$L$300,6,FALSE),0))</f>
      </c>
      <c r="D900" s="11">
        <f>SUMIFS(Purchases!$D:$D,Purchases!$A:$A,$A900,Purchases!$C:$C,$B900)</f>
      </c>
      <c r="E900" s="11">
        <f>SUMIFS('Sales Log'!$D:$D,'Sales Log'!$A:$A,$A900,'Sales Log'!$C:$C,$B900)</f>
      </c>
      <c r="F900" s="8"/>
      <c r="G900" s="8"/>
      <c r="H900" s="11">
        <f>C900+D900-E900-F900</f>
      </c>
      <c r="I900" s="11">
        <f>H900-G900</f>
      </c>
    </row>
    <row r="901" ht="21" customHeight="1" spans="1:9" x14ac:dyDescent="0.25">
      <c r="A901" s="8"/>
      <c r="B901" s="8"/>
      <c r="C901" s="11">
        <f>IFERROR(LOOKUP(2,1/(($B$3:$B900=B901)*($A$3:$A900&lt;A901)),$G$3:$G900),IFERROR(VLOOKUP(B901,'Inventory Master'!$A$3:$L$300,6,FALSE),0))</f>
      </c>
      <c r="D901" s="11">
        <f>SUMIFS(Purchases!$D:$D,Purchases!$A:$A,$A901,Purchases!$C:$C,$B901)</f>
      </c>
      <c r="E901" s="11">
        <f>SUMIFS('Sales Log'!$D:$D,'Sales Log'!$A:$A,$A901,'Sales Log'!$C:$C,$B901)</f>
      </c>
      <c r="F901" s="8"/>
      <c r="G901" s="8"/>
      <c r="H901" s="11">
        <f>C901+D901-E901-F901</f>
      </c>
      <c r="I901" s="11">
        <f>H901-G901</f>
      </c>
    </row>
    <row r="902" ht="21" customHeight="1" spans="1:9" x14ac:dyDescent="0.25">
      <c r="A902" s="8"/>
      <c r="B902" s="8"/>
      <c r="C902" s="11">
        <f>IFERROR(LOOKUP(2,1/(($B$3:$B901=B902)*($A$3:$A901&lt;A902)),$G$3:$G901),IFERROR(VLOOKUP(B902,'Inventory Master'!$A$3:$L$300,6,FALSE),0))</f>
      </c>
      <c r="D902" s="11">
        <f>SUMIFS(Purchases!$D:$D,Purchases!$A:$A,$A902,Purchases!$C:$C,$B902)</f>
      </c>
      <c r="E902" s="11">
        <f>SUMIFS('Sales Log'!$D:$D,'Sales Log'!$A:$A,$A902,'Sales Log'!$C:$C,$B902)</f>
      </c>
      <c r="F902" s="8"/>
      <c r="G902" s="8"/>
      <c r="H902" s="11">
        <f>C902+D902-E902-F902</f>
      </c>
      <c r="I902" s="11">
        <f>H902-G902</f>
      </c>
    </row>
    <row r="903" ht="21" customHeight="1" spans="1:9" x14ac:dyDescent="0.25">
      <c r="A903" s="8"/>
      <c r="B903" s="8"/>
      <c r="C903" s="11">
        <f>IFERROR(LOOKUP(2,1/(($B$3:$B902=B903)*($A$3:$A902&lt;A903)),$G$3:$G902),IFERROR(VLOOKUP(B903,'Inventory Master'!$A$3:$L$300,6,FALSE),0))</f>
      </c>
      <c r="D903" s="11">
        <f>SUMIFS(Purchases!$D:$D,Purchases!$A:$A,$A903,Purchases!$C:$C,$B903)</f>
      </c>
      <c r="E903" s="11">
        <f>SUMIFS('Sales Log'!$D:$D,'Sales Log'!$A:$A,$A903,'Sales Log'!$C:$C,$B903)</f>
      </c>
      <c r="F903" s="8"/>
      <c r="G903" s="8"/>
      <c r="H903" s="11">
        <f>C903+D903-E903-F903</f>
      </c>
      <c r="I903" s="11">
        <f>H903-G903</f>
      </c>
    </row>
    <row r="904" ht="21" customHeight="1" spans="1:9" x14ac:dyDescent="0.25">
      <c r="A904" s="8"/>
      <c r="B904" s="8"/>
      <c r="C904" s="11">
        <f>IFERROR(LOOKUP(2,1/(($B$3:$B903=B904)*($A$3:$A903&lt;A904)),$G$3:$G903),IFERROR(VLOOKUP(B904,'Inventory Master'!$A$3:$L$300,6,FALSE),0))</f>
      </c>
      <c r="D904" s="11">
        <f>SUMIFS(Purchases!$D:$D,Purchases!$A:$A,$A904,Purchases!$C:$C,$B904)</f>
      </c>
      <c r="E904" s="11">
        <f>SUMIFS('Sales Log'!$D:$D,'Sales Log'!$A:$A,$A904,'Sales Log'!$C:$C,$B904)</f>
      </c>
      <c r="F904" s="8"/>
      <c r="G904" s="8"/>
      <c r="H904" s="11">
        <f>C904+D904-E904-F904</f>
      </c>
      <c r="I904" s="11">
        <f>H904-G904</f>
      </c>
    </row>
    <row r="905" ht="21" customHeight="1" spans="1:9" x14ac:dyDescent="0.25">
      <c r="A905" s="8"/>
      <c r="B905" s="8"/>
      <c r="C905" s="11">
        <f>IFERROR(LOOKUP(2,1/(($B$3:$B904=B905)*($A$3:$A904&lt;A905)),$G$3:$G904),IFERROR(VLOOKUP(B905,'Inventory Master'!$A$3:$L$300,6,FALSE),0))</f>
      </c>
      <c r="D905" s="11">
        <f>SUMIFS(Purchases!$D:$D,Purchases!$A:$A,$A905,Purchases!$C:$C,$B905)</f>
      </c>
      <c r="E905" s="11">
        <f>SUMIFS('Sales Log'!$D:$D,'Sales Log'!$A:$A,$A905,'Sales Log'!$C:$C,$B905)</f>
      </c>
      <c r="F905" s="8"/>
      <c r="G905" s="8"/>
      <c r="H905" s="11">
        <f>C905+D905-E905-F905</f>
      </c>
      <c r="I905" s="11">
        <f>H905-G905</f>
      </c>
    </row>
    <row r="906" ht="21" customHeight="1" spans="1:9" x14ac:dyDescent="0.25">
      <c r="A906" s="8"/>
      <c r="B906" s="8"/>
      <c r="C906" s="11">
        <f>IFERROR(LOOKUP(2,1/(($B$3:$B905=B906)*($A$3:$A905&lt;A906)),$G$3:$G905),IFERROR(VLOOKUP(B906,'Inventory Master'!$A$3:$L$300,6,FALSE),0))</f>
      </c>
      <c r="D906" s="11">
        <f>SUMIFS(Purchases!$D:$D,Purchases!$A:$A,$A906,Purchases!$C:$C,$B906)</f>
      </c>
      <c r="E906" s="11">
        <f>SUMIFS('Sales Log'!$D:$D,'Sales Log'!$A:$A,$A906,'Sales Log'!$C:$C,$B906)</f>
      </c>
      <c r="F906" s="8"/>
      <c r="G906" s="8"/>
      <c r="H906" s="11">
        <f>C906+D906-E906-F906</f>
      </c>
      <c r="I906" s="11">
        <f>H906-G906</f>
      </c>
    </row>
    <row r="907" ht="21" customHeight="1" spans="1:9" x14ac:dyDescent="0.25">
      <c r="A907" s="8"/>
      <c r="B907" s="8"/>
      <c r="C907" s="11">
        <f>IFERROR(LOOKUP(2,1/(($B$3:$B906=B907)*($A$3:$A906&lt;A907)),$G$3:$G906),IFERROR(VLOOKUP(B907,'Inventory Master'!$A$3:$L$300,6,FALSE),0))</f>
      </c>
      <c r="D907" s="11">
        <f>SUMIFS(Purchases!$D:$D,Purchases!$A:$A,$A907,Purchases!$C:$C,$B907)</f>
      </c>
      <c r="E907" s="11">
        <f>SUMIFS('Sales Log'!$D:$D,'Sales Log'!$A:$A,$A907,'Sales Log'!$C:$C,$B907)</f>
      </c>
      <c r="F907" s="8"/>
      <c r="G907" s="8"/>
      <c r="H907" s="11">
        <f>C907+D907-E907-F907</f>
      </c>
      <c r="I907" s="11">
        <f>H907-G907</f>
      </c>
    </row>
    <row r="908" ht="21" customHeight="1" spans="1:9" x14ac:dyDescent="0.25">
      <c r="A908" s="8"/>
      <c r="B908" s="8"/>
      <c r="C908" s="11">
        <f>IFERROR(LOOKUP(2,1/(($B$3:$B907=B908)*($A$3:$A907&lt;A908)),$G$3:$G907),IFERROR(VLOOKUP(B908,'Inventory Master'!$A$3:$L$300,6,FALSE),0))</f>
      </c>
      <c r="D908" s="11">
        <f>SUMIFS(Purchases!$D:$D,Purchases!$A:$A,$A908,Purchases!$C:$C,$B908)</f>
      </c>
      <c r="E908" s="11">
        <f>SUMIFS('Sales Log'!$D:$D,'Sales Log'!$A:$A,$A908,'Sales Log'!$C:$C,$B908)</f>
      </c>
      <c r="F908" s="8"/>
      <c r="G908" s="8"/>
      <c r="H908" s="11">
        <f>C908+D908-E908-F908</f>
      </c>
      <c r="I908" s="11">
        <f>H908-G908</f>
      </c>
    </row>
    <row r="909" ht="21" customHeight="1" spans="1:9" x14ac:dyDescent="0.25">
      <c r="A909" s="8"/>
      <c r="B909" s="8"/>
      <c r="C909" s="11">
        <f>IFERROR(LOOKUP(2,1/(($B$3:$B908=B909)*($A$3:$A908&lt;A909)),$G$3:$G908),IFERROR(VLOOKUP(B909,'Inventory Master'!$A$3:$L$300,6,FALSE),0))</f>
      </c>
      <c r="D909" s="11">
        <f>SUMIFS(Purchases!$D:$D,Purchases!$A:$A,$A909,Purchases!$C:$C,$B909)</f>
      </c>
      <c r="E909" s="11">
        <f>SUMIFS('Sales Log'!$D:$D,'Sales Log'!$A:$A,$A909,'Sales Log'!$C:$C,$B909)</f>
      </c>
      <c r="F909" s="8"/>
      <c r="G909" s="8"/>
      <c r="H909" s="11">
        <f>C909+D909-E909-F909</f>
      </c>
      <c r="I909" s="11">
        <f>H909-G909</f>
      </c>
    </row>
    <row r="910" ht="21" customHeight="1" spans="1:9" x14ac:dyDescent="0.25">
      <c r="A910" s="8"/>
      <c r="B910" s="8"/>
      <c r="C910" s="11">
        <f>IFERROR(LOOKUP(2,1/(($B$3:$B909=B910)*($A$3:$A909&lt;A910)),$G$3:$G909),IFERROR(VLOOKUP(B910,'Inventory Master'!$A$3:$L$300,6,FALSE),0))</f>
      </c>
      <c r="D910" s="11">
        <f>SUMIFS(Purchases!$D:$D,Purchases!$A:$A,$A910,Purchases!$C:$C,$B910)</f>
      </c>
      <c r="E910" s="11">
        <f>SUMIFS('Sales Log'!$D:$D,'Sales Log'!$A:$A,$A910,'Sales Log'!$C:$C,$B910)</f>
      </c>
      <c r="F910" s="8"/>
      <c r="G910" s="8"/>
      <c r="H910" s="11">
        <f>C910+D910-E910-F910</f>
      </c>
      <c r="I910" s="11">
        <f>H910-G910</f>
      </c>
    </row>
    <row r="911" ht="21" customHeight="1" spans="1:9" x14ac:dyDescent="0.25">
      <c r="A911" s="8"/>
      <c r="B911" s="8"/>
      <c r="C911" s="11">
        <f>IFERROR(LOOKUP(2,1/(($B$3:$B910=B911)*($A$3:$A910&lt;A911)),$G$3:$G910),IFERROR(VLOOKUP(B911,'Inventory Master'!$A$3:$L$300,6,FALSE),0))</f>
      </c>
      <c r="D911" s="11">
        <f>SUMIFS(Purchases!$D:$D,Purchases!$A:$A,$A911,Purchases!$C:$C,$B911)</f>
      </c>
      <c r="E911" s="11">
        <f>SUMIFS('Sales Log'!$D:$D,'Sales Log'!$A:$A,$A911,'Sales Log'!$C:$C,$B911)</f>
      </c>
      <c r="F911" s="8"/>
      <c r="G911" s="8"/>
      <c r="H911" s="11">
        <f>C911+D911-E911-F911</f>
      </c>
      <c r="I911" s="11">
        <f>H911-G911</f>
      </c>
    </row>
    <row r="912" ht="21" customHeight="1" spans="1:9" x14ac:dyDescent="0.25">
      <c r="A912" s="8"/>
      <c r="B912" s="8"/>
      <c r="C912" s="11">
        <f>IFERROR(LOOKUP(2,1/(($B$3:$B911=B912)*($A$3:$A911&lt;A912)),$G$3:$G911),IFERROR(VLOOKUP(B912,'Inventory Master'!$A$3:$L$300,6,FALSE),0))</f>
      </c>
      <c r="D912" s="11">
        <f>SUMIFS(Purchases!$D:$D,Purchases!$A:$A,$A912,Purchases!$C:$C,$B912)</f>
      </c>
      <c r="E912" s="11">
        <f>SUMIFS('Sales Log'!$D:$D,'Sales Log'!$A:$A,$A912,'Sales Log'!$C:$C,$B912)</f>
      </c>
      <c r="F912" s="8"/>
      <c r="G912" s="8"/>
      <c r="H912" s="11">
        <f>C912+D912-E912-F912</f>
      </c>
      <c r="I912" s="11">
        <f>H912-G912</f>
      </c>
    </row>
    <row r="913" ht="21" customHeight="1" spans="1:9" x14ac:dyDescent="0.25">
      <c r="A913" s="8"/>
      <c r="B913" s="8"/>
      <c r="C913" s="11">
        <f>IFERROR(LOOKUP(2,1/(($B$3:$B912=B913)*($A$3:$A912&lt;A913)),$G$3:$G912),IFERROR(VLOOKUP(B913,'Inventory Master'!$A$3:$L$300,6,FALSE),0))</f>
      </c>
      <c r="D913" s="11">
        <f>SUMIFS(Purchases!$D:$D,Purchases!$A:$A,$A913,Purchases!$C:$C,$B913)</f>
      </c>
      <c r="E913" s="11">
        <f>SUMIFS('Sales Log'!$D:$D,'Sales Log'!$A:$A,$A913,'Sales Log'!$C:$C,$B913)</f>
      </c>
      <c r="F913" s="8"/>
      <c r="G913" s="8"/>
      <c r="H913" s="11">
        <f>C913+D913-E913-F913</f>
      </c>
      <c r="I913" s="11">
        <f>H913-G913</f>
      </c>
    </row>
    <row r="914" ht="21" customHeight="1" spans="1:9" x14ac:dyDescent="0.25">
      <c r="A914" s="8"/>
      <c r="B914" s="8"/>
      <c r="C914" s="11">
        <f>IFERROR(LOOKUP(2,1/(($B$3:$B913=B914)*($A$3:$A913&lt;A914)),$G$3:$G913),IFERROR(VLOOKUP(B914,'Inventory Master'!$A$3:$L$300,6,FALSE),0))</f>
      </c>
      <c r="D914" s="11">
        <f>SUMIFS(Purchases!$D:$D,Purchases!$A:$A,$A914,Purchases!$C:$C,$B914)</f>
      </c>
      <c r="E914" s="11">
        <f>SUMIFS('Sales Log'!$D:$D,'Sales Log'!$A:$A,$A914,'Sales Log'!$C:$C,$B914)</f>
      </c>
      <c r="F914" s="8"/>
      <c r="G914" s="8"/>
      <c r="H914" s="11">
        <f>C914+D914-E914-F914</f>
      </c>
      <c r="I914" s="11">
        <f>H914-G914</f>
      </c>
    </row>
    <row r="915" ht="21" customHeight="1" spans="1:9" x14ac:dyDescent="0.25">
      <c r="A915" s="8"/>
      <c r="B915" s="8"/>
      <c r="C915" s="11">
        <f>IFERROR(LOOKUP(2,1/(($B$3:$B914=B915)*($A$3:$A914&lt;A915)),$G$3:$G914),IFERROR(VLOOKUP(B915,'Inventory Master'!$A$3:$L$300,6,FALSE),0))</f>
      </c>
      <c r="D915" s="11">
        <f>SUMIFS(Purchases!$D:$D,Purchases!$A:$A,$A915,Purchases!$C:$C,$B915)</f>
      </c>
      <c r="E915" s="11">
        <f>SUMIFS('Sales Log'!$D:$D,'Sales Log'!$A:$A,$A915,'Sales Log'!$C:$C,$B915)</f>
      </c>
      <c r="F915" s="8"/>
      <c r="G915" s="8"/>
      <c r="H915" s="11">
        <f>C915+D915-E915-F915</f>
      </c>
      <c r="I915" s="11">
        <f>H915-G915</f>
      </c>
    </row>
    <row r="916" ht="21" customHeight="1" spans="1:9" x14ac:dyDescent="0.25">
      <c r="A916" s="8"/>
      <c r="B916" s="8"/>
      <c r="C916" s="11">
        <f>IFERROR(LOOKUP(2,1/(($B$3:$B915=B916)*($A$3:$A915&lt;A916)),$G$3:$G915),IFERROR(VLOOKUP(B916,'Inventory Master'!$A$3:$L$300,6,FALSE),0))</f>
      </c>
      <c r="D916" s="11">
        <f>SUMIFS(Purchases!$D:$D,Purchases!$A:$A,$A916,Purchases!$C:$C,$B916)</f>
      </c>
      <c r="E916" s="11">
        <f>SUMIFS('Sales Log'!$D:$D,'Sales Log'!$A:$A,$A916,'Sales Log'!$C:$C,$B916)</f>
      </c>
      <c r="F916" s="8"/>
      <c r="G916" s="8"/>
      <c r="H916" s="11">
        <f>C916+D916-E916-F916</f>
      </c>
      <c r="I916" s="11">
        <f>H916-G916</f>
      </c>
    </row>
    <row r="917" ht="21" customHeight="1" spans="1:9" x14ac:dyDescent="0.25">
      <c r="A917" s="8"/>
      <c r="B917" s="8"/>
      <c r="C917" s="11">
        <f>IFERROR(LOOKUP(2,1/(($B$3:$B916=B917)*($A$3:$A916&lt;A917)),$G$3:$G916),IFERROR(VLOOKUP(B917,'Inventory Master'!$A$3:$L$300,6,FALSE),0))</f>
      </c>
      <c r="D917" s="11">
        <f>SUMIFS(Purchases!$D:$D,Purchases!$A:$A,$A917,Purchases!$C:$C,$B917)</f>
      </c>
      <c r="E917" s="11">
        <f>SUMIFS('Sales Log'!$D:$D,'Sales Log'!$A:$A,$A917,'Sales Log'!$C:$C,$B917)</f>
      </c>
      <c r="F917" s="8"/>
      <c r="G917" s="8"/>
      <c r="H917" s="11">
        <f>C917+D917-E917-F917</f>
      </c>
      <c r="I917" s="11">
        <f>H917-G917</f>
      </c>
    </row>
    <row r="918" ht="21" customHeight="1" spans="1:9" x14ac:dyDescent="0.25">
      <c r="A918" s="8"/>
      <c r="B918" s="8"/>
      <c r="C918" s="11">
        <f>IFERROR(LOOKUP(2,1/(($B$3:$B917=B918)*($A$3:$A917&lt;A918)),$G$3:$G917),IFERROR(VLOOKUP(B918,'Inventory Master'!$A$3:$L$300,6,FALSE),0))</f>
      </c>
      <c r="D918" s="11">
        <f>SUMIFS(Purchases!$D:$D,Purchases!$A:$A,$A918,Purchases!$C:$C,$B918)</f>
      </c>
      <c r="E918" s="11">
        <f>SUMIFS('Sales Log'!$D:$D,'Sales Log'!$A:$A,$A918,'Sales Log'!$C:$C,$B918)</f>
      </c>
      <c r="F918" s="8"/>
      <c r="G918" s="8"/>
      <c r="H918" s="11">
        <f>C918+D918-E918-F918</f>
      </c>
      <c r="I918" s="11">
        <f>H918-G918</f>
      </c>
    </row>
    <row r="919" ht="21" customHeight="1" spans="1:9" x14ac:dyDescent="0.25">
      <c r="A919" s="8"/>
      <c r="B919" s="8"/>
      <c r="C919" s="11">
        <f>IFERROR(LOOKUP(2,1/(($B$3:$B918=B919)*($A$3:$A918&lt;A919)),$G$3:$G918),IFERROR(VLOOKUP(B919,'Inventory Master'!$A$3:$L$300,6,FALSE),0))</f>
      </c>
      <c r="D919" s="11">
        <f>SUMIFS(Purchases!$D:$D,Purchases!$A:$A,$A919,Purchases!$C:$C,$B919)</f>
      </c>
      <c r="E919" s="11">
        <f>SUMIFS('Sales Log'!$D:$D,'Sales Log'!$A:$A,$A919,'Sales Log'!$C:$C,$B919)</f>
      </c>
      <c r="F919" s="8"/>
      <c r="G919" s="8"/>
      <c r="H919" s="11">
        <f>C919+D919-E919-F919</f>
      </c>
      <c r="I919" s="11">
        <f>H919-G919</f>
      </c>
    </row>
    <row r="920" ht="21" customHeight="1" spans="1:9" x14ac:dyDescent="0.25">
      <c r="A920" s="8"/>
      <c r="B920" s="8"/>
      <c r="C920" s="11">
        <f>IFERROR(LOOKUP(2,1/(($B$3:$B919=B920)*($A$3:$A919&lt;A920)),$G$3:$G919),IFERROR(VLOOKUP(B920,'Inventory Master'!$A$3:$L$300,6,FALSE),0))</f>
      </c>
      <c r="D920" s="11">
        <f>SUMIFS(Purchases!$D:$D,Purchases!$A:$A,$A920,Purchases!$C:$C,$B920)</f>
      </c>
      <c r="E920" s="11">
        <f>SUMIFS('Sales Log'!$D:$D,'Sales Log'!$A:$A,$A920,'Sales Log'!$C:$C,$B920)</f>
      </c>
      <c r="F920" s="8"/>
      <c r="G920" s="8"/>
      <c r="H920" s="11">
        <f>C920+D920-E920-F920</f>
      </c>
      <c r="I920" s="11">
        <f>H920-G920</f>
      </c>
    </row>
    <row r="921" ht="21" customHeight="1" spans="1:9" x14ac:dyDescent="0.25">
      <c r="A921" s="8"/>
      <c r="B921" s="8"/>
      <c r="C921" s="11">
        <f>IFERROR(LOOKUP(2,1/(($B$3:$B920=B921)*($A$3:$A920&lt;A921)),$G$3:$G920),IFERROR(VLOOKUP(B921,'Inventory Master'!$A$3:$L$300,6,FALSE),0))</f>
      </c>
      <c r="D921" s="11">
        <f>SUMIFS(Purchases!$D:$D,Purchases!$A:$A,$A921,Purchases!$C:$C,$B921)</f>
      </c>
      <c r="E921" s="11">
        <f>SUMIFS('Sales Log'!$D:$D,'Sales Log'!$A:$A,$A921,'Sales Log'!$C:$C,$B921)</f>
      </c>
      <c r="F921" s="8"/>
      <c r="G921" s="8"/>
      <c r="H921" s="11">
        <f>C921+D921-E921-F921</f>
      </c>
      <c r="I921" s="11">
        <f>H921-G921</f>
      </c>
    </row>
    <row r="922" ht="21" customHeight="1" spans="1:9" x14ac:dyDescent="0.25">
      <c r="A922" s="8"/>
      <c r="B922" s="8"/>
      <c r="C922" s="11">
        <f>IFERROR(LOOKUP(2,1/(($B$3:$B921=B922)*($A$3:$A921&lt;A922)),$G$3:$G921),IFERROR(VLOOKUP(B922,'Inventory Master'!$A$3:$L$300,6,FALSE),0))</f>
      </c>
      <c r="D922" s="11">
        <f>SUMIFS(Purchases!$D:$D,Purchases!$A:$A,$A922,Purchases!$C:$C,$B922)</f>
      </c>
      <c r="E922" s="11">
        <f>SUMIFS('Sales Log'!$D:$D,'Sales Log'!$A:$A,$A922,'Sales Log'!$C:$C,$B922)</f>
      </c>
      <c r="F922" s="8"/>
      <c r="G922" s="8"/>
      <c r="H922" s="11">
        <f>C922+D922-E922-F922</f>
      </c>
      <c r="I922" s="11">
        <f>H922-G922</f>
      </c>
    </row>
    <row r="923" ht="21" customHeight="1" spans="1:9" x14ac:dyDescent="0.25">
      <c r="A923" s="8"/>
      <c r="B923" s="8"/>
      <c r="C923" s="11">
        <f>IFERROR(LOOKUP(2,1/(($B$3:$B922=B923)*($A$3:$A922&lt;A923)),$G$3:$G922),IFERROR(VLOOKUP(B923,'Inventory Master'!$A$3:$L$300,6,FALSE),0))</f>
      </c>
      <c r="D923" s="11">
        <f>SUMIFS(Purchases!$D:$D,Purchases!$A:$A,$A923,Purchases!$C:$C,$B923)</f>
      </c>
      <c r="E923" s="11">
        <f>SUMIFS('Sales Log'!$D:$D,'Sales Log'!$A:$A,$A923,'Sales Log'!$C:$C,$B923)</f>
      </c>
      <c r="F923" s="8"/>
      <c r="G923" s="8"/>
      <c r="H923" s="11">
        <f>C923+D923-E923-F923</f>
      </c>
      <c r="I923" s="11">
        <f>H923-G923</f>
      </c>
    </row>
    <row r="924" ht="21" customHeight="1" spans="1:9" x14ac:dyDescent="0.25">
      <c r="A924" s="8"/>
      <c r="B924" s="8"/>
      <c r="C924" s="11">
        <f>IFERROR(LOOKUP(2,1/(($B$3:$B923=B924)*($A$3:$A923&lt;A924)),$G$3:$G923),IFERROR(VLOOKUP(B924,'Inventory Master'!$A$3:$L$300,6,FALSE),0))</f>
      </c>
      <c r="D924" s="11">
        <f>SUMIFS(Purchases!$D:$D,Purchases!$A:$A,$A924,Purchases!$C:$C,$B924)</f>
      </c>
      <c r="E924" s="11">
        <f>SUMIFS('Sales Log'!$D:$D,'Sales Log'!$A:$A,$A924,'Sales Log'!$C:$C,$B924)</f>
      </c>
      <c r="F924" s="8"/>
      <c r="G924" s="8"/>
      <c r="H924" s="11">
        <f>C924+D924-E924-F924</f>
      </c>
      <c r="I924" s="11">
        <f>H924-G924</f>
      </c>
    </row>
    <row r="925" ht="21" customHeight="1" spans="1:9" x14ac:dyDescent="0.25">
      <c r="A925" s="8"/>
      <c r="B925" s="8"/>
      <c r="C925" s="11">
        <f>IFERROR(LOOKUP(2,1/(($B$3:$B924=B925)*($A$3:$A924&lt;A925)),$G$3:$G924),IFERROR(VLOOKUP(B925,'Inventory Master'!$A$3:$L$300,6,FALSE),0))</f>
      </c>
      <c r="D925" s="11">
        <f>SUMIFS(Purchases!$D:$D,Purchases!$A:$A,$A925,Purchases!$C:$C,$B925)</f>
      </c>
      <c r="E925" s="11">
        <f>SUMIFS('Sales Log'!$D:$D,'Sales Log'!$A:$A,$A925,'Sales Log'!$C:$C,$B925)</f>
      </c>
      <c r="F925" s="8"/>
      <c r="G925" s="8"/>
      <c r="H925" s="11">
        <f>C925+D925-E925-F925</f>
      </c>
      <c r="I925" s="11">
        <f>H925-G925</f>
      </c>
    </row>
    <row r="926" ht="21" customHeight="1" spans="1:9" x14ac:dyDescent="0.25">
      <c r="A926" s="8"/>
      <c r="B926" s="8"/>
      <c r="C926" s="11">
        <f>IFERROR(LOOKUP(2,1/(($B$3:$B925=B926)*($A$3:$A925&lt;A926)),$G$3:$G925),IFERROR(VLOOKUP(B926,'Inventory Master'!$A$3:$L$300,6,FALSE),0))</f>
      </c>
      <c r="D926" s="11">
        <f>SUMIFS(Purchases!$D:$D,Purchases!$A:$A,$A926,Purchases!$C:$C,$B926)</f>
      </c>
      <c r="E926" s="11">
        <f>SUMIFS('Sales Log'!$D:$D,'Sales Log'!$A:$A,$A926,'Sales Log'!$C:$C,$B926)</f>
      </c>
      <c r="F926" s="8"/>
      <c r="G926" s="8"/>
      <c r="H926" s="11">
        <f>C926+D926-E926-F926</f>
      </c>
      <c r="I926" s="11">
        <f>H926-G926</f>
      </c>
    </row>
    <row r="927" ht="21" customHeight="1" spans="1:9" x14ac:dyDescent="0.25">
      <c r="A927" s="8"/>
      <c r="B927" s="8"/>
      <c r="C927" s="11">
        <f>IFERROR(LOOKUP(2,1/(($B$3:$B926=B927)*($A$3:$A926&lt;A927)),$G$3:$G926),IFERROR(VLOOKUP(B927,'Inventory Master'!$A$3:$L$300,6,FALSE),0))</f>
      </c>
      <c r="D927" s="11">
        <f>SUMIFS(Purchases!$D:$D,Purchases!$A:$A,$A927,Purchases!$C:$C,$B927)</f>
      </c>
      <c r="E927" s="11">
        <f>SUMIFS('Sales Log'!$D:$D,'Sales Log'!$A:$A,$A927,'Sales Log'!$C:$C,$B927)</f>
      </c>
      <c r="F927" s="8"/>
      <c r="G927" s="8"/>
      <c r="H927" s="11">
        <f>C927+D927-E927-F927</f>
      </c>
      <c r="I927" s="11">
        <f>H927-G927</f>
      </c>
    </row>
    <row r="928" ht="21" customHeight="1" spans="1:9" x14ac:dyDescent="0.25">
      <c r="A928" s="8"/>
      <c r="B928" s="8"/>
      <c r="C928" s="11">
        <f>IFERROR(LOOKUP(2,1/(($B$3:$B927=B928)*($A$3:$A927&lt;A928)),$G$3:$G927),IFERROR(VLOOKUP(B928,'Inventory Master'!$A$3:$L$300,6,FALSE),0))</f>
      </c>
      <c r="D928" s="11">
        <f>SUMIFS(Purchases!$D:$D,Purchases!$A:$A,$A928,Purchases!$C:$C,$B928)</f>
      </c>
      <c r="E928" s="11">
        <f>SUMIFS('Sales Log'!$D:$D,'Sales Log'!$A:$A,$A928,'Sales Log'!$C:$C,$B928)</f>
      </c>
      <c r="F928" s="8"/>
      <c r="G928" s="8"/>
      <c r="H928" s="11">
        <f>C928+D928-E928-F928</f>
      </c>
      <c r="I928" s="11">
        <f>H928-G928</f>
      </c>
    </row>
    <row r="929" ht="21" customHeight="1" spans="1:9" x14ac:dyDescent="0.25">
      <c r="A929" s="8"/>
      <c r="B929" s="8"/>
      <c r="C929" s="11">
        <f>IFERROR(LOOKUP(2,1/(($B$3:$B928=B929)*($A$3:$A928&lt;A929)),$G$3:$G928),IFERROR(VLOOKUP(B929,'Inventory Master'!$A$3:$L$300,6,FALSE),0))</f>
      </c>
      <c r="D929" s="11">
        <f>SUMIFS(Purchases!$D:$D,Purchases!$A:$A,$A929,Purchases!$C:$C,$B929)</f>
      </c>
      <c r="E929" s="11">
        <f>SUMIFS('Sales Log'!$D:$D,'Sales Log'!$A:$A,$A929,'Sales Log'!$C:$C,$B929)</f>
      </c>
      <c r="F929" s="8"/>
      <c r="G929" s="8"/>
      <c r="H929" s="11">
        <f>C929+D929-E929-F929</f>
      </c>
      <c r="I929" s="11">
        <f>H929-G929</f>
      </c>
    </row>
    <row r="930" ht="21" customHeight="1" spans="1:9" x14ac:dyDescent="0.25">
      <c r="A930" s="8"/>
      <c r="B930" s="8"/>
      <c r="C930" s="11">
        <f>IFERROR(LOOKUP(2,1/(($B$3:$B929=B930)*($A$3:$A929&lt;A930)),$G$3:$G929),IFERROR(VLOOKUP(B930,'Inventory Master'!$A$3:$L$300,6,FALSE),0))</f>
      </c>
      <c r="D930" s="11">
        <f>SUMIFS(Purchases!$D:$D,Purchases!$A:$A,$A930,Purchases!$C:$C,$B930)</f>
      </c>
      <c r="E930" s="11">
        <f>SUMIFS('Sales Log'!$D:$D,'Sales Log'!$A:$A,$A930,'Sales Log'!$C:$C,$B930)</f>
      </c>
      <c r="F930" s="8"/>
      <c r="G930" s="8"/>
      <c r="H930" s="11">
        <f>C930+D930-E930-F930</f>
      </c>
      <c r="I930" s="11">
        <f>H930-G930</f>
      </c>
    </row>
    <row r="931" ht="21" customHeight="1" spans="1:9" x14ac:dyDescent="0.25">
      <c r="A931" s="8"/>
      <c r="B931" s="8"/>
      <c r="C931" s="11">
        <f>IFERROR(LOOKUP(2,1/(($B$3:$B930=B931)*($A$3:$A930&lt;A931)),$G$3:$G930),IFERROR(VLOOKUP(B931,'Inventory Master'!$A$3:$L$300,6,FALSE),0))</f>
      </c>
      <c r="D931" s="11">
        <f>SUMIFS(Purchases!$D:$D,Purchases!$A:$A,$A931,Purchases!$C:$C,$B931)</f>
      </c>
      <c r="E931" s="11">
        <f>SUMIFS('Sales Log'!$D:$D,'Sales Log'!$A:$A,$A931,'Sales Log'!$C:$C,$B931)</f>
      </c>
      <c r="F931" s="8"/>
      <c r="G931" s="8"/>
      <c r="H931" s="11">
        <f>C931+D931-E931-F931</f>
      </c>
      <c r="I931" s="11">
        <f>H931-G931</f>
      </c>
    </row>
    <row r="932" ht="21" customHeight="1" spans="1:9" x14ac:dyDescent="0.25">
      <c r="A932" s="8"/>
      <c r="B932" s="8"/>
      <c r="C932" s="11">
        <f>IFERROR(LOOKUP(2,1/(($B$3:$B931=B932)*($A$3:$A931&lt;A932)),$G$3:$G931),IFERROR(VLOOKUP(B932,'Inventory Master'!$A$3:$L$300,6,FALSE),0))</f>
      </c>
      <c r="D932" s="11">
        <f>SUMIFS(Purchases!$D:$D,Purchases!$A:$A,$A932,Purchases!$C:$C,$B932)</f>
      </c>
      <c r="E932" s="11">
        <f>SUMIFS('Sales Log'!$D:$D,'Sales Log'!$A:$A,$A932,'Sales Log'!$C:$C,$B932)</f>
      </c>
      <c r="F932" s="8"/>
      <c r="G932" s="8"/>
      <c r="H932" s="11">
        <f>C932+D932-E932-F932</f>
      </c>
      <c r="I932" s="11">
        <f>H932-G932</f>
      </c>
    </row>
    <row r="933" ht="21" customHeight="1" spans="1:9" x14ac:dyDescent="0.25">
      <c r="A933" s="8"/>
      <c r="B933" s="8"/>
      <c r="C933" s="11">
        <f>IFERROR(LOOKUP(2,1/(($B$3:$B932=B933)*($A$3:$A932&lt;A933)),$G$3:$G932),IFERROR(VLOOKUP(B933,'Inventory Master'!$A$3:$L$300,6,FALSE),0))</f>
      </c>
      <c r="D933" s="11">
        <f>SUMIFS(Purchases!$D:$D,Purchases!$A:$A,$A933,Purchases!$C:$C,$B933)</f>
      </c>
      <c r="E933" s="11">
        <f>SUMIFS('Sales Log'!$D:$D,'Sales Log'!$A:$A,$A933,'Sales Log'!$C:$C,$B933)</f>
      </c>
      <c r="F933" s="8"/>
      <c r="G933" s="8"/>
      <c r="H933" s="11">
        <f>C933+D933-E933-F933</f>
      </c>
      <c r="I933" s="11">
        <f>H933-G933</f>
      </c>
    </row>
    <row r="934" ht="21" customHeight="1" spans="1:9" x14ac:dyDescent="0.25">
      <c r="A934" s="8"/>
      <c r="B934" s="8"/>
      <c r="C934" s="11">
        <f>IFERROR(LOOKUP(2,1/(($B$3:$B933=B934)*($A$3:$A933&lt;A934)),$G$3:$G933),IFERROR(VLOOKUP(B934,'Inventory Master'!$A$3:$L$300,6,FALSE),0))</f>
      </c>
      <c r="D934" s="11">
        <f>SUMIFS(Purchases!$D:$D,Purchases!$A:$A,$A934,Purchases!$C:$C,$B934)</f>
      </c>
      <c r="E934" s="11">
        <f>SUMIFS('Sales Log'!$D:$D,'Sales Log'!$A:$A,$A934,'Sales Log'!$C:$C,$B934)</f>
      </c>
      <c r="F934" s="8"/>
      <c r="G934" s="8"/>
      <c r="H934" s="11">
        <f>C934+D934-E934-F934</f>
      </c>
      <c r="I934" s="11">
        <f>H934-G934</f>
      </c>
    </row>
    <row r="935" ht="21" customHeight="1" spans="1:9" x14ac:dyDescent="0.25">
      <c r="A935" s="8"/>
      <c r="B935" s="8"/>
      <c r="C935" s="11">
        <f>IFERROR(LOOKUP(2,1/(($B$3:$B934=B935)*($A$3:$A934&lt;A935)),$G$3:$G934),IFERROR(VLOOKUP(B935,'Inventory Master'!$A$3:$L$300,6,FALSE),0))</f>
      </c>
      <c r="D935" s="11">
        <f>SUMIFS(Purchases!$D:$D,Purchases!$A:$A,$A935,Purchases!$C:$C,$B935)</f>
      </c>
      <c r="E935" s="11">
        <f>SUMIFS('Sales Log'!$D:$D,'Sales Log'!$A:$A,$A935,'Sales Log'!$C:$C,$B935)</f>
      </c>
      <c r="F935" s="8"/>
      <c r="G935" s="8"/>
      <c r="H935" s="11">
        <f>C935+D935-E935-F935</f>
      </c>
      <c r="I935" s="11">
        <f>H935-G935</f>
      </c>
    </row>
    <row r="936" ht="21" customHeight="1" spans="1:9" x14ac:dyDescent="0.25">
      <c r="A936" s="8"/>
      <c r="B936" s="8"/>
      <c r="C936" s="11">
        <f>IFERROR(LOOKUP(2,1/(($B$3:$B935=B936)*($A$3:$A935&lt;A936)),$G$3:$G935),IFERROR(VLOOKUP(B936,'Inventory Master'!$A$3:$L$300,6,FALSE),0))</f>
      </c>
      <c r="D936" s="11">
        <f>SUMIFS(Purchases!$D:$D,Purchases!$A:$A,$A936,Purchases!$C:$C,$B936)</f>
      </c>
      <c r="E936" s="11">
        <f>SUMIFS('Sales Log'!$D:$D,'Sales Log'!$A:$A,$A936,'Sales Log'!$C:$C,$B936)</f>
      </c>
      <c r="F936" s="8"/>
      <c r="G936" s="8"/>
      <c r="H936" s="11">
        <f>C936+D936-E936-F936</f>
      </c>
      <c r="I936" s="11">
        <f>H936-G936</f>
      </c>
    </row>
    <row r="937" ht="21" customHeight="1" spans="1:9" x14ac:dyDescent="0.25">
      <c r="A937" s="8"/>
      <c r="B937" s="8"/>
      <c r="C937" s="11">
        <f>IFERROR(LOOKUP(2,1/(($B$3:$B936=B937)*($A$3:$A936&lt;A937)),$G$3:$G936),IFERROR(VLOOKUP(B937,'Inventory Master'!$A$3:$L$300,6,FALSE),0))</f>
      </c>
      <c r="D937" s="11">
        <f>SUMIFS(Purchases!$D:$D,Purchases!$A:$A,$A937,Purchases!$C:$C,$B937)</f>
      </c>
      <c r="E937" s="11">
        <f>SUMIFS('Sales Log'!$D:$D,'Sales Log'!$A:$A,$A937,'Sales Log'!$C:$C,$B937)</f>
      </c>
      <c r="F937" s="8"/>
      <c r="G937" s="8"/>
      <c r="H937" s="11">
        <f>C937+D937-E937-F937</f>
      </c>
      <c r="I937" s="11">
        <f>H937-G937</f>
      </c>
    </row>
    <row r="938" ht="21" customHeight="1" spans="1:9" x14ac:dyDescent="0.25">
      <c r="A938" s="8"/>
      <c r="B938" s="8"/>
      <c r="C938" s="11">
        <f>IFERROR(LOOKUP(2,1/(($B$3:$B937=B938)*($A$3:$A937&lt;A938)),$G$3:$G937),IFERROR(VLOOKUP(B938,'Inventory Master'!$A$3:$L$300,6,FALSE),0))</f>
      </c>
      <c r="D938" s="11">
        <f>SUMIFS(Purchases!$D:$D,Purchases!$A:$A,$A938,Purchases!$C:$C,$B938)</f>
      </c>
      <c r="E938" s="11">
        <f>SUMIFS('Sales Log'!$D:$D,'Sales Log'!$A:$A,$A938,'Sales Log'!$C:$C,$B938)</f>
      </c>
      <c r="F938" s="8"/>
      <c r="G938" s="8"/>
      <c r="H938" s="11">
        <f>C938+D938-E938-F938</f>
      </c>
      <c r="I938" s="11">
        <f>H938-G938</f>
      </c>
    </row>
    <row r="939" ht="21" customHeight="1" spans="1:9" x14ac:dyDescent="0.25">
      <c r="A939" s="8"/>
      <c r="B939" s="8"/>
      <c r="C939" s="11">
        <f>IFERROR(LOOKUP(2,1/(($B$3:$B938=B939)*($A$3:$A938&lt;A939)),$G$3:$G938),IFERROR(VLOOKUP(B939,'Inventory Master'!$A$3:$L$300,6,FALSE),0))</f>
      </c>
      <c r="D939" s="11">
        <f>SUMIFS(Purchases!$D:$D,Purchases!$A:$A,$A939,Purchases!$C:$C,$B939)</f>
      </c>
      <c r="E939" s="11">
        <f>SUMIFS('Sales Log'!$D:$D,'Sales Log'!$A:$A,$A939,'Sales Log'!$C:$C,$B939)</f>
      </c>
      <c r="F939" s="8"/>
      <c r="G939" s="8"/>
      <c r="H939" s="11">
        <f>C939+D939-E939-F939</f>
      </c>
      <c r="I939" s="11">
        <f>H939-G939</f>
      </c>
    </row>
    <row r="940" ht="21" customHeight="1" spans="1:9" x14ac:dyDescent="0.25">
      <c r="A940" s="8"/>
      <c r="B940" s="8"/>
      <c r="C940" s="11">
        <f>IFERROR(LOOKUP(2,1/(($B$3:$B939=B940)*($A$3:$A939&lt;A940)),$G$3:$G939),IFERROR(VLOOKUP(B940,'Inventory Master'!$A$3:$L$300,6,FALSE),0))</f>
      </c>
      <c r="D940" s="11">
        <f>SUMIFS(Purchases!$D:$D,Purchases!$A:$A,$A940,Purchases!$C:$C,$B940)</f>
      </c>
      <c r="E940" s="11">
        <f>SUMIFS('Sales Log'!$D:$D,'Sales Log'!$A:$A,$A940,'Sales Log'!$C:$C,$B940)</f>
      </c>
      <c r="F940" s="8"/>
      <c r="G940" s="8"/>
      <c r="H940" s="11">
        <f>C940+D940-E940-F940</f>
      </c>
      <c r="I940" s="11">
        <f>H940-G940</f>
      </c>
    </row>
    <row r="941" ht="21" customHeight="1" spans="1:9" x14ac:dyDescent="0.25">
      <c r="A941" s="8"/>
      <c r="B941" s="8"/>
      <c r="C941" s="11">
        <f>IFERROR(LOOKUP(2,1/(($B$3:$B940=B941)*($A$3:$A940&lt;A941)),$G$3:$G940),IFERROR(VLOOKUP(B941,'Inventory Master'!$A$3:$L$300,6,FALSE),0))</f>
      </c>
      <c r="D941" s="11">
        <f>SUMIFS(Purchases!$D:$D,Purchases!$A:$A,$A941,Purchases!$C:$C,$B941)</f>
      </c>
      <c r="E941" s="11">
        <f>SUMIFS('Sales Log'!$D:$D,'Sales Log'!$A:$A,$A941,'Sales Log'!$C:$C,$B941)</f>
      </c>
      <c r="F941" s="8"/>
      <c r="G941" s="8"/>
      <c r="H941" s="11">
        <f>C941+D941-E941-F941</f>
      </c>
      <c r="I941" s="11">
        <f>H941-G941</f>
      </c>
    </row>
    <row r="942" ht="21" customHeight="1" spans="1:9" x14ac:dyDescent="0.25">
      <c r="A942" s="8"/>
      <c r="B942" s="8"/>
      <c r="C942" s="11">
        <f>IFERROR(LOOKUP(2,1/(($B$3:$B941=B942)*($A$3:$A941&lt;A942)),$G$3:$G941),IFERROR(VLOOKUP(B942,'Inventory Master'!$A$3:$L$300,6,FALSE),0))</f>
      </c>
      <c r="D942" s="11">
        <f>SUMIFS(Purchases!$D:$D,Purchases!$A:$A,$A942,Purchases!$C:$C,$B942)</f>
      </c>
      <c r="E942" s="11">
        <f>SUMIFS('Sales Log'!$D:$D,'Sales Log'!$A:$A,$A942,'Sales Log'!$C:$C,$B942)</f>
      </c>
      <c r="F942" s="8"/>
      <c r="G942" s="8"/>
      <c r="H942" s="11">
        <f>C942+D942-E942-F942</f>
      </c>
      <c r="I942" s="11">
        <f>H942-G942</f>
      </c>
    </row>
    <row r="943" ht="21" customHeight="1" spans="1:9" x14ac:dyDescent="0.25">
      <c r="A943" s="8"/>
      <c r="B943" s="8"/>
      <c r="C943" s="11">
        <f>IFERROR(LOOKUP(2,1/(($B$3:$B942=B943)*($A$3:$A942&lt;A943)),$G$3:$G942),IFERROR(VLOOKUP(B943,'Inventory Master'!$A$3:$L$300,6,FALSE),0))</f>
      </c>
      <c r="D943" s="11">
        <f>SUMIFS(Purchases!$D:$D,Purchases!$A:$A,$A943,Purchases!$C:$C,$B943)</f>
      </c>
      <c r="E943" s="11">
        <f>SUMIFS('Sales Log'!$D:$D,'Sales Log'!$A:$A,$A943,'Sales Log'!$C:$C,$B943)</f>
      </c>
      <c r="F943" s="8"/>
      <c r="G943" s="8"/>
      <c r="H943" s="11">
        <f>C943+D943-E943-F943</f>
      </c>
      <c r="I943" s="11">
        <f>H943-G943</f>
      </c>
    </row>
    <row r="944" ht="21" customHeight="1" spans="1:9" x14ac:dyDescent="0.25">
      <c r="A944" s="8"/>
      <c r="B944" s="8"/>
      <c r="C944" s="11">
        <f>IFERROR(LOOKUP(2,1/(($B$3:$B943=B944)*($A$3:$A943&lt;A944)),$G$3:$G943),IFERROR(VLOOKUP(B944,'Inventory Master'!$A$3:$L$300,6,FALSE),0))</f>
      </c>
      <c r="D944" s="11">
        <f>SUMIFS(Purchases!$D:$D,Purchases!$A:$A,$A944,Purchases!$C:$C,$B944)</f>
      </c>
      <c r="E944" s="11">
        <f>SUMIFS('Sales Log'!$D:$D,'Sales Log'!$A:$A,$A944,'Sales Log'!$C:$C,$B944)</f>
      </c>
      <c r="F944" s="8"/>
      <c r="G944" s="8"/>
      <c r="H944" s="11">
        <f>C944+D944-E944-F944</f>
      </c>
      <c r="I944" s="11">
        <f>H944-G944</f>
      </c>
    </row>
    <row r="945" ht="21" customHeight="1" spans="1:9" x14ac:dyDescent="0.25">
      <c r="A945" s="8"/>
      <c r="B945" s="8"/>
      <c r="C945" s="11">
        <f>IFERROR(LOOKUP(2,1/(($B$3:$B944=B945)*($A$3:$A944&lt;A945)),$G$3:$G944),IFERROR(VLOOKUP(B945,'Inventory Master'!$A$3:$L$300,6,FALSE),0))</f>
      </c>
      <c r="D945" s="11">
        <f>SUMIFS(Purchases!$D:$D,Purchases!$A:$A,$A945,Purchases!$C:$C,$B945)</f>
      </c>
      <c r="E945" s="11">
        <f>SUMIFS('Sales Log'!$D:$D,'Sales Log'!$A:$A,$A945,'Sales Log'!$C:$C,$B945)</f>
      </c>
      <c r="F945" s="8"/>
      <c r="G945" s="8"/>
      <c r="H945" s="11">
        <f>C945+D945-E945-F945</f>
      </c>
      <c r="I945" s="11">
        <f>H945-G945</f>
      </c>
    </row>
    <row r="946" ht="21" customHeight="1" spans="1:9" x14ac:dyDescent="0.25">
      <c r="A946" s="8"/>
      <c r="B946" s="8"/>
      <c r="C946" s="11">
        <f>IFERROR(LOOKUP(2,1/(($B$3:$B945=B946)*($A$3:$A945&lt;A946)),$G$3:$G945),IFERROR(VLOOKUP(B946,'Inventory Master'!$A$3:$L$300,6,FALSE),0))</f>
      </c>
      <c r="D946" s="11">
        <f>SUMIFS(Purchases!$D:$D,Purchases!$A:$A,$A946,Purchases!$C:$C,$B946)</f>
      </c>
      <c r="E946" s="11">
        <f>SUMIFS('Sales Log'!$D:$D,'Sales Log'!$A:$A,$A946,'Sales Log'!$C:$C,$B946)</f>
      </c>
      <c r="F946" s="8"/>
      <c r="G946" s="8"/>
      <c r="H946" s="11">
        <f>C946+D946-E946-F946</f>
      </c>
      <c r="I946" s="11">
        <f>H946-G946</f>
      </c>
    </row>
    <row r="947" ht="21" customHeight="1" spans="1:9" x14ac:dyDescent="0.25">
      <c r="A947" s="8"/>
      <c r="B947" s="8"/>
      <c r="C947" s="11">
        <f>IFERROR(LOOKUP(2,1/(($B$3:$B946=B947)*($A$3:$A946&lt;A947)),$G$3:$G946),IFERROR(VLOOKUP(B947,'Inventory Master'!$A$3:$L$300,6,FALSE),0))</f>
      </c>
      <c r="D947" s="11">
        <f>SUMIFS(Purchases!$D:$D,Purchases!$A:$A,$A947,Purchases!$C:$C,$B947)</f>
      </c>
      <c r="E947" s="11">
        <f>SUMIFS('Sales Log'!$D:$D,'Sales Log'!$A:$A,$A947,'Sales Log'!$C:$C,$B947)</f>
      </c>
      <c r="F947" s="8"/>
      <c r="G947" s="8"/>
      <c r="H947" s="11">
        <f>C947+D947-E947-F947</f>
      </c>
      <c r="I947" s="11">
        <f>H947-G947</f>
      </c>
    </row>
    <row r="948" ht="21" customHeight="1" spans="1:9" x14ac:dyDescent="0.25">
      <c r="A948" s="8"/>
      <c r="B948" s="8"/>
      <c r="C948" s="11">
        <f>IFERROR(LOOKUP(2,1/(($B$3:$B947=B948)*($A$3:$A947&lt;A948)),$G$3:$G947),IFERROR(VLOOKUP(B948,'Inventory Master'!$A$3:$L$300,6,FALSE),0))</f>
      </c>
      <c r="D948" s="11">
        <f>SUMIFS(Purchases!$D:$D,Purchases!$A:$A,$A948,Purchases!$C:$C,$B948)</f>
      </c>
      <c r="E948" s="11">
        <f>SUMIFS('Sales Log'!$D:$D,'Sales Log'!$A:$A,$A948,'Sales Log'!$C:$C,$B948)</f>
      </c>
      <c r="F948" s="8"/>
      <c r="G948" s="8"/>
      <c r="H948" s="11">
        <f>C948+D948-E948-F948</f>
      </c>
      <c r="I948" s="11">
        <f>H948-G948</f>
      </c>
    </row>
    <row r="949" ht="21" customHeight="1" spans="1:9" x14ac:dyDescent="0.25">
      <c r="A949" s="8"/>
      <c r="B949" s="8"/>
      <c r="C949" s="11">
        <f>IFERROR(LOOKUP(2,1/(($B$3:$B948=B949)*($A$3:$A948&lt;A949)),$G$3:$G948),IFERROR(VLOOKUP(B949,'Inventory Master'!$A$3:$L$300,6,FALSE),0))</f>
      </c>
      <c r="D949" s="11">
        <f>SUMIFS(Purchases!$D:$D,Purchases!$A:$A,$A949,Purchases!$C:$C,$B949)</f>
      </c>
      <c r="E949" s="11">
        <f>SUMIFS('Sales Log'!$D:$D,'Sales Log'!$A:$A,$A949,'Sales Log'!$C:$C,$B949)</f>
      </c>
      <c r="F949" s="8"/>
      <c r="G949" s="8"/>
      <c r="H949" s="11">
        <f>C949+D949-E949-F949</f>
      </c>
      <c r="I949" s="11">
        <f>H949-G949</f>
      </c>
    </row>
    <row r="950" ht="21" customHeight="1" spans="1:9" x14ac:dyDescent="0.25">
      <c r="A950" s="8"/>
      <c r="B950" s="8"/>
      <c r="C950" s="11">
        <f>IFERROR(LOOKUP(2,1/(($B$3:$B949=B950)*($A$3:$A949&lt;A950)),$G$3:$G949),IFERROR(VLOOKUP(B950,'Inventory Master'!$A$3:$L$300,6,FALSE),0))</f>
      </c>
      <c r="D950" s="11">
        <f>SUMIFS(Purchases!$D:$D,Purchases!$A:$A,$A950,Purchases!$C:$C,$B950)</f>
      </c>
      <c r="E950" s="11">
        <f>SUMIFS('Sales Log'!$D:$D,'Sales Log'!$A:$A,$A950,'Sales Log'!$C:$C,$B950)</f>
      </c>
      <c r="F950" s="8"/>
      <c r="G950" s="8"/>
      <c r="H950" s="11">
        <f>C950+D950-E950-F950</f>
      </c>
      <c r="I950" s="11">
        <f>H950-G950</f>
      </c>
    </row>
    <row r="951" ht="21" customHeight="1" spans="1:9" x14ac:dyDescent="0.25">
      <c r="A951" s="8"/>
      <c r="B951" s="8"/>
      <c r="C951" s="11">
        <f>IFERROR(LOOKUP(2,1/(($B$3:$B950=B951)*($A$3:$A950&lt;A951)),$G$3:$G950),IFERROR(VLOOKUP(B951,'Inventory Master'!$A$3:$L$300,6,FALSE),0))</f>
      </c>
      <c r="D951" s="11">
        <f>SUMIFS(Purchases!$D:$D,Purchases!$A:$A,$A951,Purchases!$C:$C,$B951)</f>
      </c>
      <c r="E951" s="11">
        <f>SUMIFS('Sales Log'!$D:$D,'Sales Log'!$A:$A,$A951,'Sales Log'!$C:$C,$B951)</f>
      </c>
      <c r="F951" s="8"/>
      <c r="G951" s="8"/>
      <c r="H951" s="11">
        <f>C951+D951-E951-F951</f>
      </c>
      <c r="I951" s="11">
        <f>H951-G951</f>
      </c>
    </row>
    <row r="952" ht="21" customHeight="1" spans="1:9" x14ac:dyDescent="0.25">
      <c r="A952" s="8"/>
      <c r="B952" s="8"/>
      <c r="C952" s="11">
        <f>IFERROR(LOOKUP(2,1/(($B$3:$B951=B952)*($A$3:$A951&lt;A952)),$G$3:$G951),IFERROR(VLOOKUP(B952,'Inventory Master'!$A$3:$L$300,6,FALSE),0))</f>
      </c>
      <c r="D952" s="11">
        <f>SUMIFS(Purchases!$D:$D,Purchases!$A:$A,$A952,Purchases!$C:$C,$B952)</f>
      </c>
      <c r="E952" s="11">
        <f>SUMIFS('Sales Log'!$D:$D,'Sales Log'!$A:$A,$A952,'Sales Log'!$C:$C,$B952)</f>
      </c>
      <c r="F952" s="8"/>
      <c r="G952" s="8"/>
      <c r="H952" s="11">
        <f>C952+D952-E952-F952</f>
      </c>
      <c r="I952" s="11">
        <f>H952-G952</f>
      </c>
    </row>
    <row r="953" ht="21" customHeight="1" spans="1:9" x14ac:dyDescent="0.25">
      <c r="A953" s="8"/>
      <c r="B953" s="8"/>
      <c r="C953" s="11">
        <f>IFERROR(LOOKUP(2,1/(($B$3:$B952=B953)*($A$3:$A952&lt;A953)),$G$3:$G952),IFERROR(VLOOKUP(B953,'Inventory Master'!$A$3:$L$300,6,FALSE),0))</f>
      </c>
      <c r="D953" s="11">
        <f>SUMIFS(Purchases!$D:$D,Purchases!$A:$A,$A953,Purchases!$C:$C,$B953)</f>
      </c>
      <c r="E953" s="11">
        <f>SUMIFS('Sales Log'!$D:$D,'Sales Log'!$A:$A,$A953,'Sales Log'!$C:$C,$B953)</f>
      </c>
      <c r="F953" s="8"/>
      <c r="G953" s="8"/>
      <c r="H953" s="11">
        <f>C953+D953-E953-F953</f>
      </c>
      <c r="I953" s="11">
        <f>H953-G953</f>
      </c>
    </row>
    <row r="954" ht="21" customHeight="1" spans="1:9" x14ac:dyDescent="0.25">
      <c r="A954" s="8"/>
      <c r="B954" s="8"/>
      <c r="C954" s="11">
        <f>IFERROR(LOOKUP(2,1/(($B$3:$B953=B954)*($A$3:$A953&lt;A954)),$G$3:$G953),IFERROR(VLOOKUP(B954,'Inventory Master'!$A$3:$L$300,6,FALSE),0))</f>
      </c>
      <c r="D954" s="11">
        <f>SUMIFS(Purchases!$D:$D,Purchases!$A:$A,$A954,Purchases!$C:$C,$B954)</f>
      </c>
      <c r="E954" s="11">
        <f>SUMIFS('Sales Log'!$D:$D,'Sales Log'!$A:$A,$A954,'Sales Log'!$C:$C,$B954)</f>
      </c>
      <c r="F954" s="8"/>
      <c r="G954" s="8"/>
      <c r="H954" s="11">
        <f>C954+D954-E954-F954</f>
      </c>
      <c r="I954" s="11">
        <f>H954-G954</f>
      </c>
    </row>
    <row r="955" ht="21" customHeight="1" spans="1:9" x14ac:dyDescent="0.25">
      <c r="A955" s="8"/>
      <c r="B955" s="8"/>
      <c r="C955" s="11">
        <f>IFERROR(LOOKUP(2,1/(($B$3:$B954=B955)*($A$3:$A954&lt;A955)),$G$3:$G954),IFERROR(VLOOKUP(B955,'Inventory Master'!$A$3:$L$300,6,FALSE),0))</f>
      </c>
      <c r="D955" s="11">
        <f>SUMIFS(Purchases!$D:$D,Purchases!$A:$A,$A955,Purchases!$C:$C,$B955)</f>
      </c>
      <c r="E955" s="11">
        <f>SUMIFS('Sales Log'!$D:$D,'Sales Log'!$A:$A,$A955,'Sales Log'!$C:$C,$B955)</f>
      </c>
      <c r="F955" s="8"/>
      <c r="G955" s="8"/>
      <c r="H955" s="11">
        <f>C955+D955-E955-F955</f>
      </c>
      <c r="I955" s="11">
        <f>H955-G955</f>
      </c>
    </row>
    <row r="956" ht="21" customHeight="1" spans="1:9" x14ac:dyDescent="0.25">
      <c r="A956" s="8"/>
      <c r="B956" s="8"/>
      <c r="C956" s="11">
        <f>IFERROR(LOOKUP(2,1/(($B$3:$B955=B956)*($A$3:$A955&lt;A956)),$G$3:$G955),IFERROR(VLOOKUP(B956,'Inventory Master'!$A$3:$L$300,6,FALSE),0))</f>
      </c>
      <c r="D956" s="11">
        <f>SUMIFS(Purchases!$D:$D,Purchases!$A:$A,$A956,Purchases!$C:$C,$B956)</f>
      </c>
      <c r="E956" s="11">
        <f>SUMIFS('Sales Log'!$D:$D,'Sales Log'!$A:$A,$A956,'Sales Log'!$C:$C,$B956)</f>
      </c>
      <c r="F956" s="8"/>
      <c r="G956" s="8"/>
      <c r="H956" s="11">
        <f>C956+D956-E956-F956</f>
      </c>
      <c r="I956" s="11">
        <f>H956-G956</f>
      </c>
    </row>
    <row r="957" ht="21" customHeight="1" spans="1:9" x14ac:dyDescent="0.25">
      <c r="A957" s="8"/>
      <c r="B957" s="8"/>
      <c r="C957" s="11">
        <f>IFERROR(LOOKUP(2,1/(($B$3:$B956=B957)*($A$3:$A956&lt;A957)),$G$3:$G956),IFERROR(VLOOKUP(B957,'Inventory Master'!$A$3:$L$300,6,FALSE),0))</f>
      </c>
      <c r="D957" s="11">
        <f>SUMIFS(Purchases!$D:$D,Purchases!$A:$A,$A957,Purchases!$C:$C,$B957)</f>
      </c>
      <c r="E957" s="11">
        <f>SUMIFS('Sales Log'!$D:$D,'Sales Log'!$A:$A,$A957,'Sales Log'!$C:$C,$B957)</f>
      </c>
      <c r="F957" s="8"/>
      <c r="G957" s="8"/>
      <c r="H957" s="11">
        <f>C957+D957-E957-F957</f>
      </c>
      <c r="I957" s="11">
        <f>H957-G957</f>
      </c>
    </row>
    <row r="958" ht="21" customHeight="1" spans="1:9" x14ac:dyDescent="0.25">
      <c r="A958" s="8"/>
      <c r="B958" s="8"/>
      <c r="C958" s="11">
        <f>IFERROR(LOOKUP(2,1/(($B$3:$B957=B958)*($A$3:$A957&lt;A958)),$G$3:$G957),IFERROR(VLOOKUP(B958,'Inventory Master'!$A$3:$L$300,6,FALSE),0))</f>
      </c>
      <c r="D958" s="11">
        <f>SUMIFS(Purchases!$D:$D,Purchases!$A:$A,$A958,Purchases!$C:$C,$B958)</f>
      </c>
      <c r="E958" s="11">
        <f>SUMIFS('Sales Log'!$D:$D,'Sales Log'!$A:$A,$A958,'Sales Log'!$C:$C,$B958)</f>
      </c>
      <c r="F958" s="8"/>
      <c r="G958" s="8"/>
      <c r="H958" s="11">
        <f>C958+D958-E958-F958</f>
      </c>
      <c r="I958" s="11">
        <f>H958-G958</f>
      </c>
    </row>
    <row r="959" ht="21" customHeight="1" spans="1:9" x14ac:dyDescent="0.25">
      <c r="A959" s="8"/>
      <c r="B959" s="8"/>
      <c r="C959" s="11">
        <f>IFERROR(LOOKUP(2,1/(($B$3:$B958=B959)*($A$3:$A958&lt;A959)),$G$3:$G958),IFERROR(VLOOKUP(B959,'Inventory Master'!$A$3:$L$300,6,FALSE),0))</f>
      </c>
      <c r="D959" s="11">
        <f>SUMIFS(Purchases!$D:$D,Purchases!$A:$A,$A959,Purchases!$C:$C,$B959)</f>
      </c>
      <c r="E959" s="11">
        <f>SUMIFS('Sales Log'!$D:$D,'Sales Log'!$A:$A,$A959,'Sales Log'!$C:$C,$B959)</f>
      </c>
      <c r="F959" s="8"/>
      <c r="G959" s="8"/>
      <c r="H959" s="11">
        <f>C959+D959-E959-F959</f>
      </c>
      <c r="I959" s="11">
        <f>H959-G959</f>
      </c>
    </row>
    <row r="960" ht="21" customHeight="1" spans="1:9" x14ac:dyDescent="0.25">
      <c r="A960" s="8"/>
      <c r="B960" s="8"/>
      <c r="C960" s="11">
        <f>IFERROR(LOOKUP(2,1/(($B$3:$B959=B960)*($A$3:$A959&lt;A960)),$G$3:$G959),IFERROR(VLOOKUP(B960,'Inventory Master'!$A$3:$L$300,6,FALSE),0))</f>
      </c>
      <c r="D960" s="11">
        <f>SUMIFS(Purchases!$D:$D,Purchases!$A:$A,$A960,Purchases!$C:$C,$B960)</f>
      </c>
      <c r="E960" s="11">
        <f>SUMIFS('Sales Log'!$D:$D,'Sales Log'!$A:$A,$A960,'Sales Log'!$C:$C,$B960)</f>
      </c>
      <c r="F960" s="8"/>
      <c r="G960" s="8"/>
      <c r="H960" s="11">
        <f>C960+D960-E960-F960</f>
      </c>
      <c r="I960" s="11">
        <f>H960-G960</f>
      </c>
    </row>
    <row r="961" ht="21" customHeight="1" spans="1:9" x14ac:dyDescent="0.25">
      <c r="A961" s="8"/>
      <c r="B961" s="8"/>
      <c r="C961" s="11">
        <f>IFERROR(LOOKUP(2,1/(($B$3:$B960=B961)*($A$3:$A960&lt;A961)),$G$3:$G960),IFERROR(VLOOKUP(B961,'Inventory Master'!$A$3:$L$300,6,FALSE),0))</f>
      </c>
      <c r="D961" s="11">
        <f>SUMIFS(Purchases!$D:$D,Purchases!$A:$A,$A961,Purchases!$C:$C,$B961)</f>
      </c>
      <c r="E961" s="11">
        <f>SUMIFS('Sales Log'!$D:$D,'Sales Log'!$A:$A,$A961,'Sales Log'!$C:$C,$B961)</f>
      </c>
      <c r="F961" s="8"/>
      <c r="G961" s="8"/>
      <c r="H961" s="11">
        <f>C961+D961-E961-F961</f>
      </c>
      <c r="I961" s="11">
        <f>H961-G961</f>
      </c>
    </row>
    <row r="962" ht="21" customHeight="1" spans="1:9" x14ac:dyDescent="0.25">
      <c r="A962" s="8"/>
      <c r="B962" s="8"/>
      <c r="C962" s="11">
        <f>IFERROR(LOOKUP(2,1/(($B$3:$B961=B962)*($A$3:$A961&lt;A962)),$G$3:$G961),IFERROR(VLOOKUP(B962,'Inventory Master'!$A$3:$L$300,6,FALSE),0))</f>
      </c>
      <c r="D962" s="11">
        <f>SUMIFS(Purchases!$D:$D,Purchases!$A:$A,$A962,Purchases!$C:$C,$B962)</f>
      </c>
      <c r="E962" s="11">
        <f>SUMIFS('Sales Log'!$D:$D,'Sales Log'!$A:$A,$A962,'Sales Log'!$C:$C,$B962)</f>
      </c>
      <c r="F962" s="8"/>
      <c r="G962" s="8"/>
      <c r="H962" s="11">
        <f>C962+D962-E962-F962</f>
      </c>
      <c r="I962" s="11">
        <f>H962-G962</f>
      </c>
    </row>
    <row r="963" ht="21" customHeight="1" spans="1:9" x14ac:dyDescent="0.25">
      <c r="A963" s="8"/>
      <c r="B963" s="8"/>
      <c r="C963" s="11">
        <f>IFERROR(LOOKUP(2,1/(($B$3:$B962=B963)*($A$3:$A962&lt;A963)),$G$3:$G962),IFERROR(VLOOKUP(B963,'Inventory Master'!$A$3:$L$300,6,FALSE),0))</f>
      </c>
      <c r="D963" s="11">
        <f>SUMIFS(Purchases!$D:$D,Purchases!$A:$A,$A963,Purchases!$C:$C,$B963)</f>
      </c>
      <c r="E963" s="11">
        <f>SUMIFS('Sales Log'!$D:$D,'Sales Log'!$A:$A,$A963,'Sales Log'!$C:$C,$B963)</f>
      </c>
      <c r="F963" s="8"/>
      <c r="G963" s="8"/>
      <c r="H963" s="11">
        <f>C963+D963-E963-F963</f>
      </c>
      <c r="I963" s="11">
        <f>H963-G963</f>
      </c>
    </row>
    <row r="964" ht="21" customHeight="1" spans="1:9" x14ac:dyDescent="0.25">
      <c r="A964" s="8"/>
      <c r="B964" s="8"/>
      <c r="C964" s="11">
        <f>IFERROR(LOOKUP(2,1/(($B$3:$B963=B964)*($A$3:$A963&lt;A964)),$G$3:$G963),IFERROR(VLOOKUP(B964,'Inventory Master'!$A$3:$L$300,6,FALSE),0))</f>
      </c>
      <c r="D964" s="11">
        <f>SUMIFS(Purchases!$D:$D,Purchases!$A:$A,$A964,Purchases!$C:$C,$B964)</f>
      </c>
      <c r="E964" s="11">
        <f>SUMIFS('Sales Log'!$D:$D,'Sales Log'!$A:$A,$A964,'Sales Log'!$C:$C,$B964)</f>
      </c>
      <c r="F964" s="8"/>
      <c r="G964" s="8"/>
      <c r="H964" s="11">
        <f>C964+D964-E964-F964</f>
      </c>
      <c r="I964" s="11">
        <f>H964-G964</f>
      </c>
    </row>
    <row r="965" ht="21" customHeight="1" spans="1:9" x14ac:dyDescent="0.25">
      <c r="A965" s="8"/>
      <c r="B965" s="8"/>
      <c r="C965" s="11">
        <f>IFERROR(LOOKUP(2,1/(($B$3:$B964=B965)*($A$3:$A964&lt;A965)),$G$3:$G964),IFERROR(VLOOKUP(B965,'Inventory Master'!$A$3:$L$300,6,FALSE),0))</f>
      </c>
      <c r="D965" s="11">
        <f>SUMIFS(Purchases!$D:$D,Purchases!$A:$A,$A965,Purchases!$C:$C,$B965)</f>
      </c>
      <c r="E965" s="11">
        <f>SUMIFS('Sales Log'!$D:$D,'Sales Log'!$A:$A,$A965,'Sales Log'!$C:$C,$B965)</f>
      </c>
      <c r="F965" s="8"/>
      <c r="G965" s="8"/>
      <c r="H965" s="11">
        <f>C965+D965-E965-F965</f>
      </c>
      <c r="I965" s="11">
        <f>H965-G965</f>
      </c>
    </row>
    <row r="966" ht="21" customHeight="1" spans="1:9" x14ac:dyDescent="0.25">
      <c r="A966" s="8"/>
      <c r="B966" s="8"/>
      <c r="C966" s="11">
        <f>IFERROR(LOOKUP(2,1/(($B$3:$B965=B966)*($A$3:$A965&lt;A966)),$G$3:$G965),IFERROR(VLOOKUP(B966,'Inventory Master'!$A$3:$L$300,6,FALSE),0))</f>
      </c>
      <c r="D966" s="11">
        <f>SUMIFS(Purchases!$D:$D,Purchases!$A:$A,$A966,Purchases!$C:$C,$B966)</f>
      </c>
      <c r="E966" s="11">
        <f>SUMIFS('Sales Log'!$D:$D,'Sales Log'!$A:$A,$A966,'Sales Log'!$C:$C,$B966)</f>
      </c>
      <c r="F966" s="8"/>
      <c r="G966" s="8"/>
      <c r="H966" s="11">
        <f>C966+D966-E966-F966</f>
      </c>
      <c r="I966" s="11">
        <f>H966-G966</f>
      </c>
    </row>
    <row r="967" ht="21" customHeight="1" spans="1:9" x14ac:dyDescent="0.25">
      <c r="A967" s="8"/>
      <c r="B967" s="8"/>
      <c r="C967" s="11">
        <f>IFERROR(LOOKUP(2,1/(($B$3:$B966=B967)*($A$3:$A966&lt;A967)),$G$3:$G966),IFERROR(VLOOKUP(B967,'Inventory Master'!$A$3:$L$300,6,FALSE),0))</f>
      </c>
      <c r="D967" s="11">
        <f>SUMIFS(Purchases!$D:$D,Purchases!$A:$A,$A967,Purchases!$C:$C,$B967)</f>
      </c>
      <c r="E967" s="11">
        <f>SUMIFS('Sales Log'!$D:$D,'Sales Log'!$A:$A,$A967,'Sales Log'!$C:$C,$B967)</f>
      </c>
      <c r="F967" s="8"/>
      <c r="G967" s="8"/>
      <c r="H967" s="11">
        <f>C967+D967-E967-F967</f>
      </c>
      <c r="I967" s="11">
        <f>H967-G967</f>
      </c>
    </row>
    <row r="968" ht="21" customHeight="1" spans="1:9" x14ac:dyDescent="0.25">
      <c r="A968" s="8"/>
      <c r="B968" s="8"/>
      <c r="C968" s="11">
        <f>IFERROR(LOOKUP(2,1/(($B$3:$B967=B968)*($A$3:$A967&lt;A968)),$G$3:$G967),IFERROR(VLOOKUP(B968,'Inventory Master'!$A$3:$L$300,6,FALSE),0))</f>
      </c>
      <c r="D968" s="11">
        <f>SUMIFS(Purchases!$D:$D,Purchases!$A:$A,$A968,Purchases!$C:$C,$B968)</f>
      </c>
      <c r="E968" s="11">
        <f>SUMIFS('Sales Log'!$D:$D,'Sales Log'!$A:$A,$A968,'Sales Log'!$C:$C,$B968)</f>
      </c>
      <c r="F968" s="8"/>
      <c r="G968" s="8"/>
      <c r="H968" s="11">
        <f>C968+D968-E968-F968</f>
      </c>
      <c r="I968" s="11">
        <f>H968-G968</f>
      </c>
    </row>
    <row r="969" ht="21" customHeight="1" spans="1:9" x14ac:dyDescent="0.25">
      <c r="A969" s="8"/>
      <c r="B969" s="8"/>
      <c r="C969" s="11">
        <f>IFERROR(LOOKUP(2,1/(($B$3:$B968=B969)*($A$3:$A968&lt;A969)),$G$3:$G968),IFERROR(VLOOKUP(B969,'Inventory Master'!$A$3:$L$300,6,FALSE),0))</f>
      </c>
      <c r="D969" s="11">
        <f>SUMIFS(Purchases!$D:$D,Purchases!$A:$A,$A969,Purchases!$C:$C,$B969)</f>
      </c>
      <c r="E969" s="11">
        <f>SUMIFS('Sales Log'!$D:$D,'Sales Log'!$A:$A,$A969,'Sales Log'!$C:$C,$B969)</f>
      </c>
      <c r="F969" s="8"/>
      <c r="G969" s="8"/>
      <c r="H969" s="11">
        <f>C969+D969-E969-F969</f>
      </c>
      <c r="I969" s="11">
        <f>H969-G969</f>
      </c>
    </row>
    <row r="970" ht="21" customHeight="1" spans="1:9" x14ac:dyDescent="0.25">
      <c r="A970" s="8"/>
      <c r="B970" s="8"/>
      <c r="C970" s="11">
        <f>IFERROR(LOOKUP(2,1/(($B$3:$B969=B970)*($A$3:$A969&lt;A970)),$G$3:$G969),IFERROR(VLOOKUP(B970,'Inventory Master'!$A$3:$L$300,6,FALSE),0))</f>
      </c>
      <c r="D970" s="11">
        <f>SUMIFS(Purchases!$D:$D,Purchases!$A:$A,$A970,Purchases!$C:$C,$B970)</f>
      </c>
      <c r="E970" s="11">
        <f>SUMIFS('Sales Log'!$D:$D,'Sales Log'!$A:$A,$A970,'Sales Log'!$C:$C,$B970)</f>
      </c>
      <c r="F970" s="8"/>
      <c r="G970" s="8"/>
      <c r="H970" s="11">
        <f>C970+D970-E970-F970</f>
      </c>
      <c r="I970" s="11">
        <f>H970-G970</f>
      </c>
    </row>
    <row r="971" ht="21" customHeight="1" spans="1:9" x14ac:dyDescent="0.25">
      <c r="A971" s="8"/>
      <c r="B971" s="8"/>
      <c r="C971" s="11">
        <f>IFERROR(LOOKUP(2,1/(($B$3:$B970=B971)*($A$3:$A970&lt;A971)),$G$3:$G970),IFERROR(VLOOKUP(B971,'Inventory Master'!$A$3:$L$300,6,FALSE),0))</f>
      </c>
      <c r="D971" s="11">
        <f>SUMIFS(Purchases!$D:$D,Purchases!$A:$A,$A971,Purchases!$C:$C,$B971)</f>
      </c>
      <c r="E971" s="11">
        <f>SUMIFS('Sales Log'!$D:$D,'Sales Log'!$A:$A,$A971,'Sales Log'!$C:$C,$B971)</f>
      </c>
      <c r="F971" s="8"/>
      <c r="G971" s="8"/>
      <c r="H971" s="11">
        <f>C971+D971-E971-F971</f>
      </c>
      <c r="I971" s="11">
        <f>H971-G971</f>
      </c>
    </row>
    <row r="972" ht="21" customHeight="1" spans="1:9" x14ac:dyDescent="0.25">
      <c r="A972" s="8"/>
      <c r="B972" s="8"/>
      <c r="C972" s="11">
        <f>IFERROR(LOOKUP(2,1/(($B$3:$B971=B972)*($A$3:$A971&lt;A972)),$G$3:$G971),IFERROR(VLOOKUP(B972,'Inventory Master'!$A$3:$L$300,6,FALSE),0))</f>
      </c>
      <c r="D972" s="11">
        <f>SUMIFS(Purchases!$D:$D,Purchases!$A:$A,$A972,Purchases!$C:$C,$B972)</f>
      </c>
      <c r="E972" s="11">
        <f>SUMIFS('Sales Log'!$D:$D,'Sales Log'!$A:$A,$A972,'Sales Log'!$C:$C,$B972)</f>
      </c>
      <c r="F972" s="8"/>
      <c r="G972" s="8"/>
      <c r="H972" s="11">
        <f>C972+D972-E972-F972</f>
      </c>
      <c r="I972" s="11">
        <f>H972-G972</f>
      </c>
    </row>
    <row r="973" ht="21" customHeight="1" spans="1:9" x14ac:dyDescent="0.25">
      <c r="A973" s="8"/>
      <c r="B973" s="8"/>
      <c r="C973" s="11">
        <f>IFERROR(LOOKUP(2,1/(($B$3:$B972=B973)*($A$3:$A972&lt;A973)),$G$3:$G972),IFERROR(VLOOKUP(B973,'Inventory Master'!$A$3:$L$300,6,FALSE),0))</f>
      </c>
      <c r="D973" s="11">
        <f>SUMIFS(Purchases!$D:$D,Purchases!$A:$A,$A973,Purchases!$C:$C,$B973)</f>
      </c>
      <c r="E973" s="11">
        <f>SUMIFS('Sales Log'!$D:$D,'Sales Log'!$A:$A,$A973,'Sales Log'!$C:$C,$B973)</f>
      </c>
      <c r="F973" s="8"/>
      <c r="G973" s="8"/>
      <c r="H973" s="11">
        <f>C973+D973-E973-F973</f>
      </c>
      <c r="I973" s="11">
        <f>H973-G973</f>
      </c>
    </row>
    <row r="974" ht="21" customHeight="1" spans="1:9" x14ac:dyDescent="0.25">
      <c r="A974" s="8"/>
      <c r="B974" s="8"/>
      <c r="C974" s="11">
        <f>IFERROR(LOOKUP(2,1/(($B$3:$B973=B974)*($A$3:$A973&lt;A974)),$G$3:$G973),IFERROR(VLOOKUP(B974,'Inventory Master'!$A$3:$L$300,6,FALSE),0))</f>
      </c>
      <c r="D974" s="11">
        <f>SUMIFS(Purchases!$D:$D,Purchases!$A:$A,$A974,Purchases!$C:$C,$B974)</f>
      </c>
      <c r="E974" s="11">
        <f>SUMIFS('Sales Log'!$D:$D,'Sales Log'!$A:$A,$A974,'Sales Log'!$C:$C,$B974)</f>
      </c>
      <c r="F974" s="8"/>
      <c r="G974" s="8"/>
      <c r="H974" s="11">
        <f>C974+D974-E974-F974</f>
      </c>
      <c r="I974" s="11">
        <f>H974-G974</f>
      </c>
    </row>
    <row r="975" ht="21" customHeight="1" spans="1:9" x14ac:dyDescent="0.25">
      <c r="A975" s="8"/>
      <c r="B975" s="8"/>
      <c r="C975" s="11">
        <f>IFERROR(LOOKUP(2,1/(($B$3:$B974=B975)*($A$3:$A974&lt;A975)),$G$3:$G974),IFERROR(VLOOKUP(B975,'Inventory Master'!$A$3:$L$300,6,FALSE),0))</f>
      </c>
      <c r="D975" s="11">
        <f>SUMIFS(Purchases!$D:$D,Purchases!$A:$A,$A975,Purchases!$C:$C,$B975)</f>
      </c>
      <c r="E975" s="11">
        <f>SUMIFS('Sales Log'!$D:$D,'Sales Log'!$A:$A,$A975,'Sales Log'!$C:$C,$B975)</f>
      </c>
      <c r="F975" s="8"/>
      <c r="G975" s="8"/>
      <c r="H975" s="11">
        <f>C975+D975-E975-F975</f>
      </c>
      <c r="I975" s="11">
        <f>H975-G975</f>
      </c>
    </row>
    <row r="976" ht="21" customHeight="1" spans="1:9" x14ac:dyDescent="0.25">
      <c r="A976" s="8"/>
      <c r="B976" s="8"/>
      <c r="C976" s="11">
        <f>IFERROR(LOOKUP(2,1/(($B$3:$B975=B976)*($A$3:$A975&lt;A976)),$G$3:$G975),IFERROR(VLOOKUP(B976,'Inventory Master'!$A$3:$L$300,6,FALSE),0))</f>
      </c>
      <c r="D976" s="11">
        <f>SUMIFS(Purchases!$D:$D,Purchases!$A:$A,$A976,Purchases!$C:$C,$B976)</f>
      </c>
      <c r="E976" s="11">
        <f>SUMIFS('Sales Log'!$D:$D,'Sales Log'!$A:$A,$A976,'Sales Log'!$C:$C,$B976)</f>
      </c>
      <c r="F976" s="8"/>
      <c r="G976" s="8"/>
      <c r="H976" s="11">
        <f>C976+D976-E976-F976</f>
      </c>
      <c r="I976" s="11">
        <f>H976-G976</f>
      </c>
    </row>
    <row r="977" ht="21" customHeight="1" spans="1:9" x14ac:dyDescent="0.25">
      <c r="A977" s="8"/>
      <c r="B977" s="8"/>
      <c r="C977" s="11">
        <f>IFERROR(LOOKUP(2,1/(($B$3:$B976=B977)*($A$3:$A976&lt;A977)),$G$3:$G976),IFERROR(VLOOKUP(B977,'Inventory Master'!$A$3:$L$300,6,FALSE),0))</f>
      </c>
      <c r="D977" s="11">
        <f>SUMIFS(Purchases!$D:$D,Purchases!$A:$A,$A977,Purchases!$C:$C,$B977)</f>
      </c>
      <c r="E977" s="11">
        <f>SUMIFS('Sales Log'!$D:$D,'Sales Log'!$A:$A,$A977,'Sales Log'!$C:$C,$B977)</f>
      </c>
      <c r="F977" s="8"/>
      <c r="G977" s="8"/>
      <c r="H977" s="11">
        <f>C977+D977-E977-F977</f>
      </c>
      <c r="I977" s="11">
        <f>H977-G977</f>
      </c>
    </row>
    <row r="978" ht="21" customHeight="1" spans="1:9" x14ac:dyDescent="0.25">
      <c r="A978" s="8"/>
      <c r="B978" s="8"/>
      <c r="C978" s="11">
        <f>IFERROR(LOOKUP(2,1/(($B$3:$B977=B978)*($A$3:$A977&lt;A978)),$G$3:$G977),IFERROR(VLOOKUP(B978,'Inventory Master'!$A$3:$L$300,6,FALSE),0))</f>
      </c>
      <c r="D978" s="11">
        <f>SUMIFS(Purchases!$D:$D,Purchases!$A:$A,$A978,Purchases!$C:$C,$B978)</f>
      </c>
      <c r="E978" s="11">
        <f>SUMIFS('Sales Log'!$D:$D,'Sales Log'!$A:$A,$A978,'Sales Log'!$C:$C,$B978)</f>
      </c>
      <c r="F978" s="8"/>
      <c r="G978" s="8"/>
      <c r="H978" s="11">
        <f>C978+D978-E978-F978</f>
      </c>
      <c r="I978" s="11">
        <f>H978-G978</f>
      </c>
    </row>
    <row r="979" ht="21" customHeight="1" spans="1:9" x14ac:dyDescent="0.25">
      <c r="A979" s="8"/>
      <c r="B979" s="8"/>
      <c r="C979" s="11">
        <f>IFERROR(LOOKUP(2,1/(($B$3:$B978=B979)*($A$3:$A978&lt;A979)),$G$3:$G978),IFERROR(VLOOKUP(B979,'Inventory Master'!$A$3:$L$300,6,FALSE),0))</f>
      </c>
      <c r="D979" s="11">
        <f>SUMIFS(Purchases!$D:$D,Purchases!$A:$A,$A979,Purchases!$C:$C,$B979)</f>
      </c>
      <c r="E979" s="11">
        <f>SUMIFS('Sales Log'!$D:$D,'Sales Log'!$A:$A,$A979,'Sales Log'!$C:$C,$B979)</f>
      </c>
      <c r="F979" s="8"/>
      <c r="G979" s="8"/>
      <c r="H979" s="11">
        <f>C979+D979-E979-F979</f>
      </c>
      <c r="I979" s="11">
        <f>H979-G979</f>
      </c>
    </row>
    <row r="980" ht="21" customHeight="1" spans="1:9" x14ac:dyDescent="0.25">
      <c r="A980" s="8"/>
      <c r="B980" s="8"/>
      <c r="C980" s="11">
        <f>IFERROR(LOOKUP(2,1/(($B$3:$B979=B980)*($A$3:$A979&lt;A980)),$G$3:$G979),IFERROR(VLOOKUP(B980,'Inventory Master'!$A$3:$L$300,6,FALSE),0))</f>
      </c>
      <c r="D980" s="11">
        <f>SUMIFS(Purchases!$D:$D,Purchases!$A:$A,$A980,Purchases!$C:$C,$B980)</f>
      </c>
      <c r="E980" s="11">
        <f>SUMIFS('Sales Log'!$D:$D,'Sales Log'!$A:$A,$A980,'Sales Log'!$C:$C,$B980)</f>
      </c>
      <c r="F980" s="8"/>
      <c r="G980" s="8"/>
      <c r="H980" s="11">
        <f>C980+D980-E980-F980</f>
      </c>
      <c r="I980" s="11">
        <f>H980-G980</f>
      </c>
    </row>
    <row r="981" ht="21" customHeight="1" spans="1:9" x14ac:dyDescent="0.25">
      <c r="A981" s="8"/>
      <c r="B981" s="8"/>
      <c r="C981" s="11">
        <f>IFERROR(LOOKUP(2,1/(($B$3:$B980=B981)*($A$3:$A980&lt;A981)),$G$3:$G980),IFERROR(VLOOKUP(B981,'Inventory Master'!$A$3:$L$300,6,FALSE),0))</f>
      </c>
      <c r="D981" s="11">
        <f>SUMIFS(Purchases!$D:$D,Purchases!$A:$A,$A981,Purchases!$C:$C,$B981)</f>
      </c>
      <c r="E981" s="11">
        <f>SUMIFS('Sales Log'!$D:$D,'Sales Log'!$A:$A,$A981,'Sales Log'!$C:$C,$B981)</f>
      </c>
      <c r="F981" s="8"/>
      <c r="G981" s="8"/>
      <c r="H981" s="11">
        <f>C981+D981-E981-F981</f>
      </c>
      <c r="I981" s="11">
        <f>H981-G981</f>
      </c>
    </row>
    <row r="982" ht="21" customHeight="1" spans="1:9" x14ac:dyDescent="0.25">
      <c r="A982" s="8"/>
      <c r="B982" s="8"/>
      <c r="C982" s="11">
        <f>IFERROR(LOOKUP(2,1/(($B$3:$B981=B982)*($A$3:$A981&lt;A982)),$G$3:$G981),IFERROR(VLOOKUP(B982,'Inventory Master'!$A$3:$L$300,6,FALSE),0))</f>
      </c>
      <c r="D982" s="11">
        <f>SUMIFS(Purchases!$D:$D,Purchases!$A:$A,$A982,Purchases!$C:$C,$B982)</f>
      </c>
      <c r="E982" s="11">
        <f>SUMIFS('Sales Log'!$D:$D,'Sales Log'!$A:$A,$A982,'Sales Log'!$C:$C,$B982)</f>
      </c>
      <c r="F982" s="8"/>
      <c r="G982" s="8"/>
      <c r="H982" s="11">
        <f>C982+D982-E982-F982</f>
      </c>
      <c r="I982" s="11">
        <f>H982-G982</f>
      </c>
    </row>
    <row r="983" ht="21" customHeight="1" spans="1:9" x14ac:dyDescent="0.25">
      <c r="A983" s="8"/>
      <c r="B983" s="8"/>
      <c r="C983" s="11">
        <f>IFERROR(LOOKUP(2,1/(($B$3:$B982=B983)*($A$3:$A982&lt;A983)),$G$3:$G982),IFERROR(VLOOKUP(B983,'Inventory Master'!$A$3:$L$300,6,FALSE),0))</f>
      </c>
      <c r="D983" s="11">
        <f>SUMIFS(Purchases!$D:$D,Purchases!$A:$A,$A983,Purchases!$C:$C,$B983)</f>
      </c>
      <c r="E983" s="11">
        <f>SUMIFS('Sales Log'!$D:$D,'Sales Log'!$A:$A,$A983,'Sales Log'!$C:$C,$B983)</f>
      </c>
      <c r="F983" s="8"/>
      <c r="G983" s="8"/>
      <c r="H983" s="11">
        <f>C983+D983-E983-F983</f>
      </c>
      <c r="I983" s="11">
        <f>H983-G983</f>
      </c>
    </row>
    <row r="984" ht="21" customHeight="1" spans="1:9" x14ac:dyDescent="0.25">
      <c r="A984" s="8"/>
      <c r="B984" s="8"/>
      <c r="C984" s="11">
        <f>IFERROR(LOOKUP(2,1/(($B$3:$B983=B984)*($A$3:$A983&lt;A984)),$G$3:$G983),IFERROR(VLOOKUP(B984,'Inventory Master'!$A$3:$L$300,6,FALSE),0))</f>
      </c>
      <c r="D984" s="11">
        <f>SUMIFS(Purchases!$D:$D,Purchases!$A:$A,$A984,Purchases!$C:$C,$B984)</f>
      </c>
      <c r="E984" s="11">
        <f>SUMIFS('Sales Log'!$D:$D,'Sales Log'!$A:$A,$A984,'Sales Log'!$C:$C,$B984)</f>
      </c>
      <c r="F984" s="8"/>
      <c r="G984" s="8"/>
      <c r="H984" s="11">
        <f>C984+D984-E984-F984</f>
      </c>
      <c r="I984" s="11">
        <f>H984-G984</f>
      </c>
    </row>
    <row r="985" ht="21" customHeight="1" spans="1:9" x14ac:dyDescent="0.25">
      <c r="A985" s="8"/>
      <c r="B985" s="8"/>
      <c r="C985" s="11">
        <f>IFERROR(LOOKUP(2,1/(($B$3:$B984=B985)*($A$3:$A984&lt;A985)),$G$3:$G984),IFERROR(VLOOKUP(B985,'Inventory Master'!$A$3:$L$300,6,FALSE),0))</f>
      </c>
      <c r="D985" s="11">
        <f>SUMIFS(Purchases!$D:$D,Purchases!$A:$A,$A985,Purchases!$C:$C,$B985)</f>
      </c>
      <c r="E985" s="11">
        <f>SUMIFS('Sales Log'!$D:$D,'Sales Log'!$A:$A,$A985,'Sales Log'!$C:$C,$B985)</f>
      </c>
      <c r="F985" s="8"/>
      <c r="G985" s="8"/>
      <c r="H985" s="11">
        <f>C985+D985-E985-F985</f>
      </c>
      <c r="I985" s="11">
        <f>H985-G985</f>
      </c>
    </row>
    <row r="986" ht="21" customHeight="1" spans="1:9" x14ac:dyDescent="0.25">
      <c r="A986" s="8"/>
      <c r="B986" s="8"/>
      <c r="C986" s="11">
        <f>IFERROR(LOOKUP(2,1/(($B$3:$B985=B986)*($A$3:$A985&lt;A986)),$G$3:$G985),IFERROR(VLOOKUP(B986,'Inventory Master'!$A$3:$L$300,6,FALSE),0))</f>
      </c>
      <c r="D986" s="11">
        <f>SUMIFS(Purchases!$D:$D,Purchases!$A:$A,$A986,Purchases!$C:$C,$B986)</f>
      </c>
      <c r="E986" s="11">
        <f>SUMIFS('Sales Log'!$D:$D,'Sales Log'!$A:$A,$A986,'Sales Log'!$C:$C,$B986)</f>
      </c>
      <c r="F986" s="8"/>
      <c r="G986" s="8"/>
      <c r="H986" s="11">
        <f>C986+D986-E986-F986</f>
      </c>
      <c r="I986" s="11">
        <f>H986-G986</f>
      </c>
    </row>
    <row r="987" ht="21" customHeight="1" spans="1:9" x14ac:dyDescent="0.25">
      <c r="A987" s="8"/>
      <c r="B987" s="8"/>
      <c r="C987" s="11">
        <f>IFERROR(LOOKUP(2,1/(($B$3:$B986=B987)*($A$3:$A986&lt;A987)),$G$3:$G986),IFERROR(VLOOKUP(B987,'Inventory Master'!$A$3:$L$300,6,FALSE),0))</f>
      </c>
      <c r="D987" s="11">
        <f>SUMIFS(Purchases!$D:$D,Purchases!$A:$A,$A987,Purchases!$C:$C,$B987)</f>
      </c>
      <c r="E987" s="11">
        <f>SUMIFS('Sales Log'!$D:$D,'Sales Log'!$A:$A,$A987,'Sales Log'!$C:$C,$B987)</f>
      </c>
      <c r="F987" s="8"/>
      <c r="G987" s="8"/>
      <c r="H987" s="11">
        <f>C987+D987-E987-F987</f>
      </c>
      <c r="I987" s="11">
        <f>H987-G987</f>
      </c>
    </row>
    <row r="988" ht="21" customHeight="1" spans="1:9" x14ac:dyDescent="0.25">
      <c r="A988" s="8"/>
      <c r="B988" s="8"/>
      <c r="C988" s="11">
        <f>IFERROR(LOOKUP(2,1/(($B$3:$B987=B988)*($A$3:$A987&lt;A988)),$G$3:$G987),IFERROR(VLOOKUP(B988,'Inventory Master'!$A$3:$L$300,6,FALSE),0))</f>
      </c>
      <c r="D988" s="11">
        <f>SUMIFS(Purchases!$D:$D,Purchases!$A:$A,$A988,Purchases!$C:$C,$B988)</f>
      </c>
      <c r="E988" s="11">
        <f>SUMIFS('Sales Log'!$D:$D,'Sales Log'!$A:$A,$A988,'Sales Log'!$C:$C,$B988)</f>
      </c>
      <c r="F988" s="8"/>
      <c r="G988" s="8"/>
      <c r="H988" s="11">
        <f>C988+D988-E988-F988</f>
      </c>
      <c r="I988" s="11">
        <f>H988-G988</f>
      </c>
    </row>
    <row r="989" ht="21" customHeight="1" spans="1:9" x14ac:dyDescent="0.25">
      <c r="A989" s="8"/>
      <c r="B989" s="8"/>
      <c r="C989" s="11">
        <f>IFERROR(LOOKUP(2,1/(($B$3:$B988=B989)*($A$3:$A988&lt;A989)),$G$3:$G988),IFERROR(VLOOKUP(B989,'Inventory Master'!$A$3:$L$300,6,FALSE),0))</f>
      </c>
      <c r="D989" s="11">
        <f>SUMIFS(Purchases!$D:$D,Purchases!$A:$A,$A989,Purchases!$C:$C,$B989)</f>
      </c>
      <c r="E989" s="11">
        <f>SUMIFS('Sales Log'!$D:$D,'Sales Log'!$A:$A,$A989,'Sales Log'!$C:$C,$B989)</f>
      </c>
      <c r="F989" s="8"/>
      <c r="G989" s="8"/>
      <c r="H989" s="11">
        <f>C989+D989-E989-F989</f>
      </c>
      <c r="I989" s="11">
        <f>H989-G989</f>
      </c>
    </row>
    <row r="990" ht="21" customHeight="1" spans="1:9" x14ac:dyDescent="0.25">
      <c r="A990" s="8"/>
      <c r="B990" s="8"/>
      <c r="C990" s="11">
        <f>IFERROR(LOOKUP(2,1/(($B$3:$B989=B990)*($A$3:$A989&lt;A990)),$G$3:$G989),IFERROR(VLOOKUP(B990,'Inventory Master'!$A$3:$L$300,6,FALSE),0))</f>
      </c>
      <c r="D990" s="11">
        <f>SUMIFS(Purchases!$D:$D,Purchases!$A:$A,$A990,Purchases!$C:$C,$B990)</f>
      </c>
      <c r="E990" s="11">
        <f>SUMIFS('Sales Log'!$D:$D,'Sales Log'!$A:$A,$A990,'Sales Log'!$C:$C,$B990)</f>
      </c>
      <c r="F990" s="8"/>
      <c r="G990" s="8"/>
      <c r="H990" s="11">
        <f>C990+D990-E990-F990</f>
      </c>
      <c r="I990" s="11">
        <f>H990-G990</f>
      </c>
    </row>
    <row r="991" ht="21" customHeight="1" spans="1:9" x14ac:dyDescent="0.25">
      <c r="A991" s="8"/>
      <c r="B991" s="8"/>
      <c r="C991" s="11">
        <f>IFERROR(LOOKUP(2,1/(($B$3:$B990=B991)*($A$3:$A990&lt;A991)),$G$3:$G990),IFERROR(VLOOKUP(B991,'Inventory Master'!$A$3:$L$300,6,FALSE),0))</f>
      </c>
      <c r="D991" s="11">
        <f>SUMIFS(Purchases!$D:$D,Purchases!$A:$A,$A991,Purchases!$C:$C,$B991)</f>
      </c>
      <c r="E991" s="11">
        <f>SUMIFS('Sales Log'!$D:$D,'Sales Log'!$A:$A,$A991,'Sales Log'!$C:$C,$B991)</f>
      </c>
      <c r="F991" s="8"/>
      <c r="G991" s="8"/>
      <c r="H991" s="11">
        <f>C991+D991-E991-F991</f>
      </c>
      <c r="I991" s="11">
        <f>H991-G991</f>
      </c>
    </row>
    <row r="992" ht="21" customHeight="1" spans="1:9" x14ac:dyDescent="0.25">
      <c r="A992" s="8"/>
      <c r="B992" s="8"/>
      <c r="C992" s="11">
        <f>IFERROR(LOOKUP(2,1/(($B$3:$B991=B992)*($A$3:$A991&lt;A992)),$G$3:$G991),IFERROR(VLOOKUP(B992,'Inventory Master'!$A$3:$L$300,6,FALSE),0))</f>
      </c>
      <c r="D992" s="11">
        <f>SUMIFS(Purchases!$D:$D,Purchases!$A:$A,$A992,Purchases!$C:$C,$B992)</f>
      </c>
      <c r="E992" s="11">
        <f>SUMIFS('Sales Log'!$D:$D,'Sales Log'!$A:$A,$A992,'Sales Log'!$C:$C,$B992)</f>
      </c>
      <c r="F992" s="8"/>
      <c r="G992" s="8"/>
      <c r="H992" s="11">
        <f>C992+D992-E992-F992</f>
      </c>
      <c r="I992" s="11">
        <f>H992-G992</f>
      </c>
    </row>
    <row r="993" ht="21" customHeight="1" spans="1:9" x14ac:dyDescent="0.25">
      <c r="A993" s="8"/>
      <c r="B993" s="8"/>
      <c r="C993" s="11">
        <f>IFERROR(LOOKUP(2,1/(($B$3:$B992=B993)*($A$3:$A992&lt;A993)),$G$3:$G992),IFERROR(VLOOKUP(B993,'Inventory Master'!$A$3:$L$300,6,FALSE),0))</f>
      </c>
      <c r="D993" s="11">
        <f>SUMIFS(Purchases!$D:$D,Purchases!$A:$A,$A993,Purchases!$C:$C,$B993)</f>
      </c>
      <c r="E993" s="11">
        <f>SUMIFS('Sales Log'!$D:$D,'Sales Log'!$A:$A,$A993,'Sales Log'!$C:$C,$B993)</f>
      </c>
      <c r="F993" s="8"/>
      <c r="G993" s="8"/>
      <c r="H993" s="11">
        <f>C993+D993-E993-F993</f>
      </c>
      <c r="I993" s="11">
        <f>H993-G993</f>
      </c>
    </row>
    <row r="994" ht="21" customHeight="1" spans="1:9" x14ac:dyDescent="0.25">
      <c r="A994" s="8"/>
      <c r="B994" s="8"/>
      <c r="C994" s="11">
        <f>IFERROR(LOOKUP(2,1/(($B$3:$B993=B994)*($A$3:$A993&lt;A994)),$G$3:$G993),IFERROR(VLOOKUP(B994,'Inventory Master'!$A$3:$L$300,6,FALSE),0))</f>
      </c>
      <c r="D994" s="11">
        <f>SUMIFS(Purchases!$D:$D,Purchases!$A:$A,$A994,Purchases!$C:$C,$B994)</f>
      </c>
      <c r="E994" s="11">
        <f>SUMIFS('Sales Log'!$D:$D,'Sales Log'!$A:$A,$A994,'Sales Log'!$C:$C,$B994)</f>
      </c>
      <c r="F994" s="8"/>
      <c r="G994" s="8"/>
      <c r="H994" s="11">
        <f>C994+D994-E994-F994</f>
      </c>
      <c r="I994" s="11">
        <f>H994-G994</f>
      </c>
    </row>
    <row r="995" ht="21" customHeight="1" spans="1:9" x14ac:dyDescent="0.25">
      <c r="A995" s="8"/>
      <c r="B995" s="8"/>
      <c r="C995" s="11">
        <f>IFERROR(LOOKUP(2,1/(($B$3:$B994=B995)*($A$3:$A994&lt;A995)),$G$3:$G994),IFERROR(VLOOKUP(B995,'Inventory Master'!$A$3:$L$300,6,FALSE),0))</f>
      </c>
      <c r="D995" s="11">
        <f>SUMIFS(Purchases!$D:$D,Purchases!$A:$A,$A995,Purchases!$C:$C,$B995)</f>
      </c>
      <c r="E995" s="11">
        <f>SUMIFS('Sales Log'!$D:$D,'Sales Log'!$A:$A,$A995,'Sales Log'!$C:$C,$B995)</f>
      </c>
      <c r="F995" s="8"/>
      <c r="G995" s="8"/>
      <c r="H995" s="11">
        <f>C995+D995-E995-F995</f>
      </c>
      <c r="I995" s="11">
        <f>H995-G995</f>
      </c>
    </row>
    <row r="996" ht="21" customHeight="1" spans="1:9" x14ac:dyDescent="0.25">
      <c r="A996" s="8"/>
      <c r="B996" s="8"/>
      <c r="C996" s="11">
        <f>IFERROR(LOOKUP(2,1/(($B$3:$B995=B996)*($A$3:$A995&lt;A996)),$G$3:$G995),IFERROR(VLOOKUP(B996,'Inventory Master'!$A$3:$L$300,6,FALSE),0))</f>
      </c>
      <c r="D996" s="11">
        <f>SUMIFS(Purchases!$D:$D,Purchases!$A:$A,$A996,Purchases!$C:$C,$B996)</f>
      </c>
      <c r="E996" s="11">
        <f>SUMIFS('Sales Log'!$D:$D,'Sales Log'!$A:$A,$A996,'Sales Log'!$C:$C,$B996)</f>
      </c>
      <c r="F996" s="8"/>
      <c r="G996" s="8"/>
      <c r="H996" s="11">
        <f>C996+D996-E996-F996</f>
      </c>
      <c r="I996" s="11">
        <f>H996-G996</f>
      </c>
    </row>
    <row r="997" ht="21" customHeight="1" spans="1:9" x14ac:dyDescent="0.25">
      <c r="A997" s="8"/>
      <c r="B997" s="8"/>
      <c r="C997" s="11">
        <f>IFERROR(LOOKUP(2,1/(($B$3:$B996=B997)*($A$3:$A996&lt;A997)),$G$3:$G996),IFERROR(VLOOKUP(B997,'Inventory Master'!$A$3:$L$300,6,FALSE),0))</f>
      </c>
      <c r="D997" s="11">
        <f>SUMIFS(Purchases!$D:$D,Purchases!$A:$A,$A997,Purchases!$C:$C,$B997)</f>
      </c>
      <c r="E997" s="11">
        <f>SUMIFS('Sales Log'!$D:$D,'Sales Log'!$A:$A,$A997,'Sales Log'!$C:$C,$B997)</f>
      </c>
      <c r="F997" s="8"/>
      <c r="G997" s="8"/>
      <c r="H997" s="11">
        <f>C997+D997-E997-F997</f>
      </c>
      <c r="I997" s="11">
        <f>H997-G997</f>
      </c>
    </row>
    <row r="998" ht="21" customHeight="1" spans="1:9" x14ac:dyDescent="0.25">
      <c r="A998" s="8"/>
      <c r="B998" s="8"/>
      <c r="C998" s="11">
        <f>IFERROR(LOOKUP(2,1/(($B$3:$B997=B998)*($A$3:$A997&lt;A998)),$G$3:$G997),IFERROR(VLOOKUP(B998,'Inventory Master'!$A$3:$L$300,6,FALSE),0))</f>
      </c>
      <c r="D998" s="11">
        <f>SUMIFS(Purchases!$D:$D,Purchases!$A:$A,$A998,Purchases!$C:$C,$B998)</f>
      </c>
      <c r="E998" s="11">
        <f>SUMIFS('Sales Log'!$D:$D,'Sales Log'!$A:$A,$A998,'Sales Log'!$C:$C,$B998)</f>
      </c>
      <c r="F998" s="8"/>
      <c r="G998" s="8"/>
      <c r="H998" s="11">
        <f>C998+D998-E998-F998</f>
      </c>
      <c r="I998" s="11">
        <f>H998-G998</f>
      </c>
    </row>
    <row r="999" ht="21" customHeight="1" spans="1:9" x14ac:dyDescent="0.25">
      <c r="A999" s="8"/>
      <c r="B999" s="8"/>
      <c r="C999" s="11">
        <f>IFERROR(LOOKUP(2,1/(($B$3:$B998=B999)*($A$3:$A998&lt;A999)),$G$3:$G998),IFERROR(VLOOKUP(B999,'Inventory Master'!$A$3:$L$300,6,FALSE),0))</f>
      </c>
      <c r="D999" s="11">
        <f>SUMIFS(Purchases!$D:$D,Purchases!$A:$A,$A999,Purchases!$C:$C,$B999)</f>
      </c>
      <c r="E999" s="11">
        <f>SUMIFS('Sales Log'!$D:$D,'Sales Log'!$A:$A,$A999,'Sales Log'!$C:$C,$B999)</f>
      </c>
      <c r="F999" s="8"/>
      <c r="G999" s="8"/>
      <c r="H999" s="11">
        <f>C999+D999-E999-F999</f>
      </c>
      <c r="I999" s="11">
        <f>H999-G999</f>
      </c>
    </row>
    <row r="1000" ht="21" customHeight="1" spans="1:9" x14ac:dyDescent="0.25">
      <c r="A1000" s="8"/>
      <c r="B1000" s="8"/>
      <c r="C1000" s="11">
        <f>IFERROR(LOOKUP(2,1/(($B$3:$B999=B1000)*($A$3:$A999&lt;A1000)),$G$3:$G999),IFERROR(VLOOKUP(B1000,'Inventory Master'!$A$3:$L$300,6,FALSE),0))</f>
      </c>
      <c r="D1000" s="11">
        <f>SUMIFS(Purchases!$D:$D,Purchases!$A:$A,$A1000,Purchases!$C:$C,$B1000)</f>
      </c>
      <c r="E1000" s="11">
        <f>SUMIFS('Sales Log'!$D:$D,'Sales Log'!$A:$A,$A1000,'Sales Log'!$C:$C,$B1000)</f>
      </c>
      <c r="F1000" s="8"/>
      <c r="G1000" s="8"/>
      <c r="H1000" s="11">
        <f>C1000+D1000-E1000-F1000</f>
      </c>
      <c r="I1000" s="11">
        <f>H1000-G1000</f>
      </c>
    </row>
  </sheetData>
  <sheetProtection sheet="1" selectLockedCells="1" autoFilter="0" algorithmName="SHA-512" hashValue="DrNAS3aK0lQh+UN8vt0yMOBCpc2IAGYOTMKt5KUMZof3E07CtWlL4xx6wKQuHDJ0rAI3XQkbzqB9q+6SudL6Ag==" saltValue="0jn15R8cCnLznylm0IPhzQ==" spinCount="100000"/>
  <mergeCells count="1">
    <mergeCell ref="A1:I1"/>
  </mergeCells>
  <conditionalFormatting sqref="I3:I1000">
    <cfRule type="cellIs" dxfId="1" priority="1" operator="notEqual">
      <formula>0</formula>
    </cfRule>
  </conditionalFormatting>
  <dataValidations count="2">
    <dataValidation type="list" allowBlank="1" showErrorMessage="1" errorStyle="warning" errorTitle="Choose from list" error="Please use the dropdown." sqref="B10:B1000">
      <formula1>'Inventory Master'!$A$3:$A$300</formula1>
    </dataValidation>
    <dataValidation type="list" allowBlank="1" showErrorMessage="1" errorStyle="warning" errorTitle="Choose from list" error="Please use the dropdown." sqref="B3:B1000">
      <formula1>'Inventory Master'!$A$3:$A$300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4" customWidth="1"/>
    <col min="4" max="4" width="10" customWidth="1"/>
    <col min="5" max="6" width="12" customWidth="1"/>
    <col min="7" max="7" width="16" customWidth="1"/>
  </cols>
  <sheetData>
    <row r="1" ht="24" customHeight="1" spans="1:7" x14ac:dyDescent="0.25">
      <c r="A1" s="1" t="s">
        <v>3</v>
      </c>
      <c r="B1" s="1"/>
      <c r="C1" s="1"/>
      <c r="D1" s="1"/>
      <c r="E1" s="1"/>
      <c r="F1" s="1"/>
      <c r="G1" s="1"/>
    </row>
    <row r="2" ht="22" customHeight="1" spans="1:7" x14ac:dyDescent="0.25">
      <c r="A2" s="5" t="s">
        <v>14</v>
      </c>
      <c r="B2" s="5" t="s">
        <v>33</v>
      </c>
      <c r="C2" s="5" t="s">
        <v>8</v>
      </c>
      <c r="D2" s="5" t="s">
        <v>34</v>
      </c>
      <c r="E2" s="5" t="s">
        <v>35</v>
      </c>
      <c r="F2" s="5" t="s">
        <v>36</v>
      </c>
      <c r="G2" s="5" t="s">
        <v>37</v>
      </c>
    </row>
    <row r="3" ht="21" customHeight="1" spans="1:7" x14ac:dyDescent="0.25">
      <c r="A3" s="8"/>
      <c r="B3" s="8"/>
      <c r="C3" s="8"/>
      <c r="D3" s="8"/>
      <c r="E3" s="10">
        <f>IFERROR(VLOOKUP(C3,'Inventory Master'!$A$3:$L$300,5,FALSE),0)</f>
      </c>
      <c r="F3" s="10">
        <f>D3*E3</f>
      </c>
      <c r="G3" s="8"/>
    </row>
    <row r="4" ht="21" customHeight="1" spans="1:7" x14ac:dyDescent="0.25">
      <c r="A4" s="8"/>
      <c r="B4" s="8"/>
      <c r="C4" s="8"/>
      <c r="D4" s="8"/>
      <c r="E4" s="10">
        <f>IFERROR(VLOOKUP(C4,'Inventory Master'!$A$3:$L$300,5,FALSE),0)</f>
      </c>
      <c r="F4" s="10">
        <f>D4*E4</f>
      </c>
      <c r="G4" s="8"/>
    </row>
    <row r="5" ht="21" customHeight="1" spans="1:7" x14ac:dyDescent="0.25">
      <c r="A5" s="8"/>
      <c r="B5" s="8"/>
      <c r="C5" s="8"/>
      <c r="D5" s="8"/>
      <c r="E5" s="10">
        <f>IFERROR(VLOOKUP(C5,'Inventory Master'!$A$3:$L$300,5,FALSE),0)</f>
      </c>
      <c r="F5" s="10">
        <f>D5*E5</f>
      </c>
      <c r="G5" s="8"/>
    </row>
    <row r="6" ht="21" customHeight="1" spans="1:7" x14ac:dyDescent="0.25">
      <c r="A6" s="8"/>
      <c r="B6" s="8"/>
      <c r="C6" s="8"/>
      <c r="D6" s="8"/>
      <c r="E6" s="10">
        <f>IFERROR(VLOOKUP(C6,'Inventory Master'!$A$3:$L$300,5,FALSE),0)</f>
      </c>
      <c r="F6" s="10">
        <f>D6*E6</f>
      </c>
      <c r="G6" s="8"/>
    </row>
    <row r="7" ht="21" customHeight="1" spans="1:7" x14ac:dyDescent="0.25">
      <c r="A7" s="8"/>
      <c r="B7" s="8"/>
      <c r="C7" s="8"/>
      <c r="D7" s="8"/>
      <c r="E7" s="10">
        <f>IFERROR(VLOOKUP(C7,'Inventory Master'!$A$3:$L$300,5,FALSE),0)</f>
      </c>
      <c r="F7" s="10">
        <f>D7*E7</f>
      </c>
      <c r="G7" s="8"/>
    </row>
    <row r="8" ht="21" customHeight="1" spans="1:7" x14ac:dyDescent="0.25">
      <c r="A8" s="8"/>
      <c r="B8" s="8"/>
      <c r="C8" s="8"/>
      <c r="D8" s="8"/>
      <c r="E8" s="10">
        <f>IFERROR(VLOOKUP(C8,'Inventory Master'!$A$3:$L$300,5,FALSE),0)</f>
      </c>
      <c r="F8" s="10">
        <f>D8*E8</f>
      </c>
      <c r="G8" s="8"/>
    </row>
    <row r="9" ht="21" customHeight="1" spans="1:7" x14ac:dyDescent="0.25">
      <c r="A9" s="8"/>
      <c r="B9" s="8"/>
      <c r="C9" s="8"/>
      <c r="D9" s="8"/>
      <c r="E9" s="10">
        <f>IFERROR(VLOOKUP(C9,'Inventory Master'!$A$3:$L$300,5,FALSE),0)</f>
      </c>
      <c r="F9" s="10">
        <f>D9*E9</f>
      </c>
      <c r="G9" s="8"/>
    </row>
    <row r="10" ht="21" customHeight="1" spans="1:7" x14ac:dyDescent="0.25">
      <c r="A10" s="8"/>
      <c r="B10" s="8"/>
      <c r="C10" s="8"/>
      <c r="D10" s="8"/>
      <c r="E10" s="10">
        <f>IFERROR(VLOOKUP(C10,'Inventory Master'!$A$3:$L$300,5,FALSE),0)</f>
      </c>
      <c r="F10" s="10">
        <f>D10*E10</f>
      </c>
      <c r="G10" s="8"/>
    </row>
    <row r="11" ht="21" customHeight="1" spans="1:7" x14ac:dyDescent="0.25">
      <c r="A11" s="8"/>
      <c r="B11" s="8"/>
      <c r="C11" s="8"/>
      <c r="D11" s="8"/>
      <c r="E11" s="10">
        <f>IFERROR(VLOOKUP(C11,'Inventory Master'!$A$3:$L$300,5,FALSE),0)</f>
      </c>
      <c r="F11" s="10">
        <f>D11*E11</f>
      </c>
      <c r="G11" s="8"/>
    </row>
    <row r="12" ht="21" customHeight="1" spans="1:7" x14ac:dyDescent="0.25">
      <c r="A12" s="8"/>
      <c r="B12" s="8"/>
      <c r="C12" s="8"/>
      <c r="D12" s="8"/>
      <c r="E12" s="10">
        <f>IFERROR(VLOOKUP(C12,'Inventory Master'!$A$3:$L$300,5,FALSE),0)</f>
      </c>
      <c r="F12" s="10">
        <f>D12*E12</f>
      </c>
      <c r="G12" s="8"/>
    </row>
    <row r="13" ht="21" customHeight="1" spans="1:7" x14ac:dyDescent="0.25">
      <c r="A13" s="8"/>
      <c r="B13" s="8"/>
      <c r="C13" s="8"/>
      <c r="D13" s="8"/>
      <c r="E13" s="10">
        <f>IFERROR(VLOOKUP(C13,'Inventory Master'!$A$3:$L$300,5,FALSE),0)</f>
      </c>
      <c r="F13" s="10">
        <f>D13*E13</f>
      </c>
      <c r="G13" s="8"/>
    </row>
    <row r="14" ht="21" customHeight="1" spans="1:7" x14ac:dyDescent="0.25">
      <c r="A14" s="8"/>
      <c r="B14" s="8"/>
      <c r="C14" s="8"/>
      <c r="D14" s="8"/>
      <c r="E14" s="10">
        <f>IFERROR(VLOOKUP(C14,'Inventory Master'!$A$3:$L$300,5,FALSE),0)</f>
      </c>
      <c r="F14" s="10">
        <f>D14*E14</f>
      </c>
      <c r="G14" s="8"/>
    </row>
    <row r="15" ht="21" customHeight="1" spans="1:7" x14ac:dyDescent="0.25">
      <c r="A15" s="8"/>
      <c r="B15" s="8"/>
      <c r="C15" s="8"/>
      <c r="D15" s="8"/>
      <c r="E15" s="10">
        <f>IFERROR(VLOOKUP(C15,'Inventory Master'!$A$3:$L$300,5,FALSE),0)</f>
      </c>
      <c r="F15" s="10">
        <f>D15*E15</f>
      </c>
      <c r="G15" s="8"/>
    </row>
    <row r="16" ht="21" customHeight="1" spans="1:7" x14ac:dyDescent="0.25">
      <c r="A16" s="8"/>
      <c r="B16" s="8"/>
      <c r="C16" s="8"/>
      <c r="D16" s="8"/>
      <c r="E16" s="10">
        <f>IFERROR(VLOOKUP(C16,'Inventory Master'!$A$3:$L$300,5,FALSE),0)</f>
      </c>
      <c r="F16" s="10">
        <f>D16*E16</f>
      </c>
      <c r="G16" s="8"/>
    </row>
    <row r="17" ht="21" customHeight="1" spans="1:7" x14ac:dyDescent="0.25">
      <c r="A17" s="8"/>
      <c r="B17" s="8"/>
      <c r="C17" s="8"/>
      <c r="D17" s="8"/>
      <c r="E17" s="10">
        <f>IFERROR(VLOOKUP(C17,'Inventory Master'!$A$3:$L$300,5,FALSE),0)</f>
      </c>
      <c r="F17" s="10">
        <f>D17*E17</f>
      </c>
      <c r="G17" s="8"/>
    </row>
    <row r="18" ht="21" customHeight="1" spans="1:7" x14ac:dyDescent="0.25">
      <c r="A18" s="8"/>
      <c r="B18" s="8"/>
      <c r="C18" s="8"/>
      <c r="D18" s="8"/>
      <c r="E18" s="10">
        <f>IFERROR(VLOOKUP(C18,'Inventory Master'!$A$3:$L$300,5,FALSE),0)</f>
      </c>
      <c r="F18" s="10">
        <f>D18*E18</f>
      </c>
      <c r="G18" s="8"/>
    </row>
    <row r="19" ht="21" customHeight="1" spans="1:7" x14ac:dyDescent="0.25">
      <c r="A19" s="8"/>
      <c r="B19" s="8"/>
      <c r="C19" s="8"/>
      <c r="D19" s="8"/>
      <c r="E19" s="10">
        <f>IFERROR(VLOOKUP(C19,'Inventory Master'!$A$3:$L$300,5,FALSE),0)</f>
      </c>
      <c r="F19" s="10">
        <f>D19*E19</f>
      </c>
      <c r="G19" s="8"/>
    </row>
    <row r="20" ht="21" customHeight="1" spans="1:7" x14ac:dyDescent="0.25">
      <c r="A20" s="8"/>
      <c r="B20" s="8"/>
      <c r="C20" s="8"/>
      <c r="D20" s="8"/>
      <c r="E20" s="10">
        <f>IFERROR(VLOOKUP(C20,'Inventory Master'!$A$3:$L$300,5,FALSE),0)</f>
      </c>
      <c r="F20" s="10">
        <f>D20*E20</f>
      </c>
      <c r="G20" s="8"/>
    </row>
    <row r="21" ht="21" customHeight="1" spans="1:7" x14ac:dyDescent="0.25">
      <c r="A21" s="8"/>
      <c r="B21" s="8"/>
      <c r="C21" s="8"/>
      <c r="D21" s="8"/>
      <c r="E21" s="10">
        <f>IFERROR(VLOOKUP(C21,'Inventory Master'!$A$3:$L$300,5,FALSE),0)</f>
      </c>
      <c r="F21" s="10">
        <f>D21*E21</f>
      </c>
      <c r="G21" s="8"/>
    </row>
    <row r="22" ht="21" customHeight="1" spans="1:7" x14ac:dyDescent="0.25">
      <c r="A22" s="8"/>
      <c r="B22" s="8"/>
      <c r="C22" s="8"/>
      <c r="D22" s="8"/>
      <c r="E22" s="10">
        <f>IFERROR(VLOOKUP(C22,'Inventory Master'!$A$3:$L$300,5,FALSE),0)</f>
      </c>
      <c r="F22" s="10">
        <f>D22*E22</f>
      </c>
      <c r="G22" s="8"/>
    </row>
    <row r="23" ht="21" customHeight="1" spans="1:7" x14ac:dyDescent="0.25">
      <c r="A23" s="8"/>
      <c r="B23" s="8"/>
      <c r="C23" s="8"/>
      <c r="D23" s="8"/>
      <c r="E23" s="10">
        <f>IFERROR(VLOOKUP(C23,'Inventory Master'!$A$3:$L$300,5,FALSE),0)</f>
      </c>
      <c r="F23" s="10">
        <f>D23*E23</f>
      </c>
      <c r="G23" s="8"/>
    </row>
    <row r="24" ht="21" customHeight="1" spans="1:7" x14ac:dyDescent="0.25">
      <c r="A24" s="8"/>
      <c r="B24" s="8"/>
      <c r="C24" s="8"/>
      <c r="D24" s="8"/>
      <c r="E24" s="10">
        <f>IFERROR(VLOOKUP(C24,'Inventory Master'!$A$3:$L$300,5,FALSE),0)</f>
      </c>
      <c r="F24" s="10">
        <f>D24*E24</f>
      </c>
      <c r="G24" s="8"/>
    </row>
    <row r="25" ht="21" customHeight="1" spans="1:7" x14ac:dyDescent="0.25">
      <c r="A25" s="8"/>
      <c r="B25" s="8"/>
      <c r="C25" s="8"/>
      <c r="D25" s="8"/>
      <c r="E25" s="10">
        <f>IFERROR(VLOOKUP(C25,'Inventory Master'!$A$3:$L$300,5,FALSE),0)</f>
      </c>
      <c r="F25" s="10">
        <f>D25*E25</f>
      </c>
      <c r="G25" s="8"/>
    </row>
    <row r="26" ht="21" customHeight="1" spans="1:7" x14ac:dyDescent="0.25">
      <c r="A26" s="8"/>
      <c r="B26" s="8"/>
      <c r="C26" s="8"/>
      <c r="D26" s="8"/>
      <c r="E26" s="10">
        <f>IFERROR(VLOOKUP(C26,'Inventory Master'!$A$3:$L$300,5,FALSE),0)</f>
      </c>
      <c r="F26" s="10">
        <f>D26*E26</f>
      </c>
      <c r="G26" s="8"/>
    </row>
    <row r="27" ht="21" customHeight="1" spans="1:7" x14ac:dyDescent="0.25">
      <c r="A27" s="8"/>
      <c r="B27" s="8"/>
      <c r="C27" s="8"/>
      <c r="D27" s="8"/>
      <c r="E27" s="10">
        <f>IFERROR(VLOOKUP(C27,'Inventory Master'!$A$3:$L$300,5,FALSE),0)</f>
      </c>
      <c r="F27" s="10">
        <f>D27*E27</f>
      </c>
      <c r="G27" s="8"/>
    </row>
    <row r="28" ht="21" customHeight="1" spans="1:7" x14ac:dyDescent="0.25">
      <c r="A28" s="8"/>
      <c r="B28" s="8"/>
      <c r="C28" s="8"/>
      <c r="D28" s="8"/>
      <c r="E28" s="10">
        <f>IFERROR(VLOOKUP(C28,'Inventory Master'!$A$3:$L$300,5,FALSE),0)</f>
      </c>
      <c r="F28" s="10">
        <f>D28*E28</f>
      </c>
      <c r="G28" s="8"/>
    </row>
    <row r="29" ht="21" customHeight="1" spans="1:7" x14ac:dyDescent="0.25">
      <c r="A29" s="8"/>
      <c r="B29" s="8"/>
      <c r="C29" s="8"/>
      <c r="D29" s="8"/>
      <c r="E29" s="10">
        <f>IFERROR(VLOOKUP(C29,'Inventory Master'!$A$3:$L$300,5,FALSE),0)</f>
      </c>
      <c r="F29" s="10">
        <f>D29*E29</f>
      </c>
      <c r="G29" s="8"/>
    </row>
    <row r="30" ht="21" customHeight="1" spans="1:7" x14ac:dyDescent="0.25">
      <c r="A30" s="8"/>
      <c r="B30" s="8"/>
      <c r="C30" s="8"/>
      <c r="D30" s="8"/>
      <c r="E30" s="10">
        <f>IFERROR(VLOOKUP(C30,'Inventory Master'!$A$3:$L$300,5,FALSE),0)</f>
      </c>
      <c r="F30" s="10">
        <f>D30*E30</f>
      </c>
      <c r="G30" s="8"/>
    </row>
    <row r="31" ht="21" customHeight="1" spans="1:7" x14ac:dyDescent="0.25">
      <c r="A31" s="8"/>
      <c r="B31" s="8"/>
      <c r="C31" s="8"/>
      <c r="D31" s="8"/>
      <c r="E31" s="10">
        <f>IFERROR(VLOOKUP(C31,'Inventory Master'!$A$3:$L$300,5,FALSE),0)</f>
      </c>
      <c r="F31" s="10">
        <f>D31*E31</f>
      </c>
      <c r="G31" s="8"/>
    </row>
    <row r="32" ht="21" customHeight="1" spans="1:7" x14ac:dyDescent="0.25">
      <c r="A32" s="8"/>
      <c r="B32" s="8"/>
      <c r="C32" s="8"/>
      <c r="D32" s="8"/>
      <c r="E32" s="10">
        <f>IFERROR(VLOOKUP(C32,'Inventory Master'!$A$3:$L$300,5,FALSE),0)</f>
      </c>
      <c r="F32" s="10">
        <f>D32*E32</f>
      </c>
      <c r="G32" s="8"/>
    </row>
    <row r="33" ht="21" customHeight="1" spans="1:7" x14ac:dyDescent="0.25">
      <c r="A33" s="8"/>
      <c r="B33" s="8"/>
      <c r="C33" s="8"/>
      <c r="D33" s="8"/>
      <c r="E33" s="10">
        <f>IFERROR(VLOOKUP(C33,'Inventory Master'!$A$3:$L$300,5,FALSE),0)</f>
      </c>
      <c r="F33" s="10">
        <f>D33*E33</f>
      </c>
      <c r="G33" s="8"/>
    </row>
    <row r="34" ht="21" customHeight="1" spans="1:7" x14ac:dyDescent="0.25">
      <c r="A34" s="8"/>
      <c r="B34" s="8"/>
      <c r="C34" s="8"/>
      <c r="D34" s="8"/>
      <c r="E34" s="10">
        <f>IFERROR(VLOOKUP(C34,'Inventory Master'!$A$3:$L$300,5,FALSE),0)</f>
      </c>
      <c r="F34" s="10">
        <f>D34*E34</f>
      </c>
      <c r="G34" s="8"/>
    </row>
    <row r="35" ht="21" customHeight="1" spans="1:7" x14ac:dyDescent="0.25">
      <c r="A35" s="8"/>
      <c r="B35" s="8"/>
      <c r="C35" s="8"/>
      <c r="D35" s="8"/>
      <c r="E35" s="10">
        <f>IFERROR(VLOOKUP(C35,'Inventory Master'!$A$3:$L$300,5,FALSE),0)</f>
      </c>
      <c r="F35" s="10">
        <f>D35*E35</f>
      </c>
      <c r="G35" s="8"/>
    </row>
    <row r="36" ht="21" customHeight="1" spans="1:7" x14ac:dyDescent="0.25">
      <c r="A36" s="8"/>
      <c r="B36" s="8"/>
      <c r="C36" s="8"/>
      <c r="D36" s="8"/>
      <c r="E36" s="10">
        <f>IFERROR(VLOOKUP(C36,'Inventory Master'!$A$3:$L$300,5,FALSE),0)</f>
      </c>
      <c r="F36" s="10">
        <f>D36*E36</f>
      </c>
      <c r="G36" s="8"/>
    </row>
    <row r="37" ht="21" customHeight="1" spans="1:7" x14ac:dyDescent="0.25">
      <c r="A37" s="8"/>
      <c r="B37" s="8"/>
      <c r="C37" s="8"/>
      <c r="D37" s="8"/>
      <c r="E37" s="10">
        <f>IFERROR(VLOOKUP(C37,'Inventory Master'!$A$3:$L$300,5,FALSE),0)</f>
      </c>
      <c r="F37" s="10">
        <f>D37*E37</f>
      </c>
      <c r="G37" s="8"/>
    </row>
    <row r="38" ht="21" customHeight="1" spans="1:7" x14ac:dyDescent="0.25">
      <c r="A38" s="8"/>
      <c r="B38" s="8"/>
      <c r="C38" s="8"/>
      <c r="D38" s="8"/>
      <c r="E38" s="10">
        <f>IFERROR(VLOOKUP(C38,'Inventory Master'!$A$3:$L$300,5,FALSE),0)</f>
      </c>
      <c r="F38" s="10">
        <f>D38*E38</f>
      </c>
      <c r="G38" s="8"/>
    </row>
    <row r="39" ht="21" customHeight="1" spans="1:7" x14ac:dyDescent="0.25">
      <c r="A39" s="8"/>
      <c r="B39" s="8"/>
      <c r="C39" s="8"/>
      <c r="D39" s="8"/>
      <c r="E39" s="10">
        <f>IFERROR(VLOOKUP(C39,'Inventory Master'!$A$3:$L$300,5,FALSE),0)</f>
      </c>
      <c r="F39" s="10">
        <f>D39*E39</f>
      </c>
      <c r="G39" s="8"/>
    </row>
    <row r="40" ht="21" customHeight="1" spans="1:7" x14ac:dyDescent="0.25">
      <c r="A40" s="8"/>
      <c r="B40" s="8"/>
      <c r="C40" s="8"/>
      <c r="D40" s="8"/>
      <c r="E40" s="10">
        <f>IFERROR(VLOOKUP(C40,'Inventory Master'!$A$3:$L$300,5,FALSE),0)</f>
      </c>
      <c r="F40" s="10">
        <f>D40*E40</f>
      </c>
      <c r="G40" s="8"/>
    </row>
    <row r="41" ht="21" customHeight="1" spans="1:7" x14ac:dyDescent="0.25">
      <c r="A41" s="8"/>
      <c r="B41" s="8"/>
      <c r="C41" s="8"/>
      <c r="D41" s="8"/>
      <c r="E41" s="10">
        <f>IFERROR(VLOOKUP(C41,'Inventory Master'!$A$3:$L$300,5,FALSE),0)</f>
      </c>
      <c r="F41" s="10">
        <f>D41*E41</f>
      </c>
      <c r="G41" s="8"/>
    </row>
    <row r="42" ht="21" customHeight="1" spans="1:7" x14ac:dyDescent="0.25">
      <c r="A42" s="8"/>
      <c r="B42" s="8"/>
      <c r="C42" s="8"/>
      <c r="D42" s="8"/>
      <c r="E42" s="10">
        <f>IFERROR(VLOOKUP(C42,'Inventory Master'!$A$3:$L$300,5,FALSE),0)</f>
      </c>
      <c r="F42" s="10">
        <f>D42*E42</f>
      </c>
      <c r="G42" s="8"/>
    </row>
    <row r="43" ht="21" customHeight="1" spans="1:7" x14ac:dyDescent="0.25">
      <c r="A43" s="8"/>
      <c r="B43" s="8"/>
      <c r="C43" s="8"/>
      <c r="D43" s="8"/>
      <c r="E43" s="10">
        <f>IFERROR(VLOOKUP(C43,'Inventory Master'!$A$3:$L$300,5,FALSE),0)</f>
      </c>
      <c r="F43" s="10">
        <f>D43*E43</f>
      </c>
      <c r="G43" s="8"/>
    </row>
    <row r="44" ht="21" customHeight="1" spans="1:7" x14ac:dyDescent="0.25">
      <c r="A44" s="8"/>
      <c r="B44" s="8"/>
      <c r="C44" s="8"/>
      <c r="D44" s="8"/>
      <c r="E44" s="10">
        <f>IFERROR(VLOOKUP(C44,'Inventory Master'!$A$3:$L$300,5,FALSE),0)</f>
      </c>
      <c r="F44" s="10">
        <f>D44*E44</f>
      </c>
      <c r="G44" s="8"/>
    </row>
    <row r="45" ht="21" customHeight="1" spans="1:7" x14ac:dyDescent="0.25">
      <c r="A45" s="8"/>
      <c r="B45" s="8"/>
      <c r="C45" s="8"/>
      <c r="D45" s="8"/>
      <c r="E45" s="10">
        <f>IFERROR(VLOOKUP(C45,'Inventory Master'!$A$3:$L$300,5,FALSE),0)</f>
      </c>
      <c r="F45" s="10">
        <f>D45*E45</f>
      </c>
      <c r="G45" s="8"/>
    </row>
    <row r="46" ht="21" customHeight="1" spans="1:7" x14ac:dyDescent="0.25">
      <c r="A46" s="8"/>
      <c r="B46" s="8"/>
      <c r="C46" s="8"/>
      <c r="D46" s="8"/>
      <c r="E46" s="10">
        <f>IFERROR(VLOOKUP(C46,'Inventory Master'!$A$3:$L$300,5,FALSE),0)</f>
      </c>
      <c r="F46" s="10">
        <f>D46*E46</f>
      </c>
      <c r="G46" s="8"/>
    </row>
    <row r="47" ht="21" customHeight="1" spans="1:7" x14ac:dyDescent="0.25">
      <c r="A47" s="8"/>
      <c r="B47" s="8"/>
      <c r="C47" s="8"/>
      <c r="D47" s="8"/>
      <c r="E47" s="10">
        <f>IFERROR(VLOOKUP(C47,'Inventory Master'!$A$3:$L$300,5,FALSE),0)</f>
      </c>
      <c r="F47" s="10">
        <f>D47*E47</f>
      </c>
      <c r="G47" s="8"/>
    </row>
    <row r="48" ht="21" customHeight="1" spans="1:7" x14ac:dyDescent="0.25">
      <c r="A48" s="8"/>
      <c r="B48" s="8"/>
      <c r="C48" s="8"/>
      <c r="D48" s="8"/>
      <c r="E48" s="10">
        <f>IFERROR(VLOOKUP(C48,'Inventory Master'!$A$3:$L$300,5,FALSE),0)</f>
      </c>
      <c r="F48" s="10">
        <f>D48*E48</f>
      </c>
      <c r="G48" s="8"/>
    </row>
    <row r="49" ht="21" customHeight="1" spans="1:7" x14ac:dyDescent="0.25">
      <c r="A49" s="8"/>
      <c r="B49" s="8"/>
      <c r="C49" s="8"/>
      <c r="D49" s="8"/>
      <c r="E49" s="10">
        <f>IFERROR(VLOOKUP(C49,'Inventory Master'!$A$3:$L$300,5,FALSE),0)</f>
      </c>
      <c r="F49" s="10">
        <f>D49*E49</f>
      </c>
      <c r="G49" s="8"/>
    </row>
    <row r="50" ht="21" customHeight="1" spans="1:7" x14ac:dyDescent="0.25">
      <c r="A50" s="8"/>
      <c r="B50" s="8"/>
      <c r="C50" s="8"/>
      <c r="D50" s="8"/>
      <c r="E50" s="10">
        <f>IFERROR(VLOOKUP(C50,'Inventory Master'!$A$3:$L$300,5,FALSE),0)</f>
      </c>
      <c r="F50" s="10">
        <f>D50*E50</f>
      </c>
      <c r="G50" s="8"/>
    </row>
    <row r="51" ht="21" customHeight="1" spans="1:7" x14ac:dyDescent="0.25">
      <c r="A51" s="8"/>
      <c r="B51" s="8"/>
      <c r="C51" s="8"/>
      <c r="D51" s="8"/>
      <c r="E51" s="10">
        <f>IFERROR(VLOOKUP(C51,'Inventory Master'!$A$3:$L$300,5,FALSE),0)</f>
      </c>
      <c r="F51" s="10">
        <f>D51*E51</f>
      </c>
      <c r="G51" s="8"/>
    </row>
    <row r="52" ht="21" customHeight="1" spans="1:7" x14ac:dyDescent="0.25">
      <c r="A52" s="8"/>
      <c r="B52" s="8"/>
      <c r="C52" s="8"/>
      <c r="D52" s="8"/>
      <c r="E52" s="10">
        <f>IFERROR(VLOOKUP(C52,'Inventory Master'!$A$3:$L$300,5,FALSE),0)</f>
      </c>
      <c r="F52" s="10">
        <f>D52*E52</f>
      </c>
      <c r="G52" s="8"/>
    </row>
    <row r="53" ht="21" customHeight="1" spans="1:7" x14ac:dyDescent="0.25">
      <c r="A53" s="8"/>
      <c r="B53" s="8"/>
      <c r="C53" s="8"/>
      <c r="D53" s="8"/>
      <c r="E53" s="10">
        <f>IFERROR(VLOOKUP(C53,'Inventory Master'!$A$3:$L$300,5,FALSE),0)</f>
      </c>
      <c r="F53" s="10">
        <f>D53*E53</f>
      </c>
      <c r="G53" s="8"/>
    </row>
    <row r="54" ht="21" customHeight="1" spans="1:7" x14ac:dyDescent="0.25">
      <c r="A54" s="8"/>
      <c r="B54" s="8"/>
      <c r="C54" s="8"/>
      <c r="D54" s="8"/>
      <c r="E54" s="10">
        <f>IFERROR(VLOOKUP(C54,'Inventory Master'!$A$3:$L$300,5,FALSE),0)</f>
      </c>
      <c r="F54" s="10">
        <f>D54*E54</f>
      </c>
      <c r="G54" s="8"/>
    </row>
    <row r="55" ht="21" customHeight="1" spans="1:7" x14ac:dyDescent="0.25">
      <c r="A55" s="8"/>
      <c r="B55" s="8"/>
      <c r="C55" s="8"/>
      <c r="D55" s="8"/>
      <c r="E55" s="10">
        <f>IFERROR(VLOOKUP(C55,'Inventory Master'!$A$3:$L$300,5,FALSE),0)</f>
      </c>
      <c r="F55" s="10">
        <f>D55*E55</f>
      </c>
      <c r="G55" s="8"/>
    </row>
    <row r="56" ht="21" customHeight="1" spans="1:7" x14ac:dyDescent="0.25">
      <c r="A56" s="8"/>
      <c r="B56" s="8"/>
      <c r="C56" s="8"/>
      <c r="D56" s="8"/>
      <c r="E56" s="10">
        <f>IFERROR(VLOOKUP(C56,'Inventory Master'!$A$3:$L$300,5,FALSE),0)</f>
      </c>
      <c r="F56" s="10">
        <f>D56*E56</f>
      </c>
      <c r="G56" s="8"/>
    </row>
    <row r="57" ht="21" customHeight="1" spans="1:7" x14ac:dyDescent="0.25">
      <c r="A57" s="8"/>
      <c r="B57" s="8"/>
      <c r="C57" s="8"/>
      <c r="D57" s="8"/>
      <c r="E57" s="10">
        <f>IFERROR(VLOOKUP(C57,'Inventory Master'!$A$3:$L$300,5,FALSE),0)</f>
      </c>
      <c r="F57" s="10">
        <f>D57*E57</f>
      </c>
      <c r="G57" s="8"/>
    </row>
    <row r="58" ht="21" customHeight="1" spans="1:7" x14ac:dyDescent="0.25">
      <c r="A58" s="8"/>
      <c r="B58" s="8"/>
      <c r="C58" s="8"/>
      <c r="D58" s="8"/>
      <c r="E58" s="10">
        <f>IFERROR(VLOOKUP(C58,'Inventory Master'!$A$3:$L$300,5,FALSE),0)</f>
      </c>
      <c r="F58" s="10">
        <f>D58*E58</f>
      </c>
      <c r="G58" s="8"/>
    </row>
    <row r="59" ht="21" customHeight="1" spans="1:7" x14ac:dyDescent="0.25">
      <c r="A59" s="8"/>
      <c r="B59" s="8"/>
      <c r="C59" s="8"/>
      <c r="D59" s="8"/>
      <c r="E59" s="10">
        <f>IFERROR(VLOOKUP(C59,'Inventory Master'!$A$3:$L$300,5,FALSE),0)</f>
      </c>
      <c r="F59" s="10">
        <f>D59*E59</f>
      </c>
      <c r="G59" s="8"/>
    </row>
    <row r="60" ht="21" customHeight="1" spans="1:7" x14ac:dyDescent="0.25">
      <c r="A60" s="8"/>
      <c r="B60" s="8"/>
      <c r="C60" s="8"/>
      <c r="D60" s="8"/>
      <c r="E60" s="10">
        <f>IFERROR(VLOOKUP(C60,'Inventory Master'!$A$3:$L$300,5,FALSE),0)</f>
      </c>
      <c r="F60" s="10">
        <f>D60*E60</f>
      </c>
      <c r="G60" s="8"/>
    </row>
    <row r="61" ht="21" customHeight="1" spans="1:7" x14ac:dyDescent="0.25">
      <c r="A61" s="8"/>
      <c r="B61" s="8"/>
      <c r="C61" s="8"/>
      <c r="D61" s="8"/>
      <c r="E61" s="10">
        <f>IFERROR(VLOOKUP(C61,'Inventory Master'!$A$3:$L$300,5,FALSE),0)</f>
      </c>
      <c r="F61" s="10">
        <f>D61*E61</f>
      </c>
      <c r="G61" s="8"/>
    </row>
    <row r="62" ht="21" customHeight="1" spans="1:7" x14ac:dyDescent="0.25">
      <c r="A62" s="8"/>
      <c r="B62" s="8"/>
      <c r="C62" s="8"/>
      <c r="D62" s="8"/>
      <c r="E62" s="10">
        <f>IFERROR(VLOOKUP(C62,'Inventory Master'!$A$3:$L$300,5,FALSE),0)</f>
      </c>
      <c r="F62" s="10">
        <f>D62*E62</f>
      </c>
      <c r="G62" s="8"/>
    </row>
    <row r="63" ht="21" customHeight="1" spans="1:7" x14ac:dyDescent="0.25">
      <c r="A63" s="8"/>
      <c r="B63" s="8"/>
      <c r="C63" s="8"/>
      <c r="D63" s="8"/>
      <c r="E63" s="10">
        <f>IFERROR(VLOOKUP(C63,'Inventory Master'!$A$3:$L$300,5,FALSE),0)</f>
      </c>
      <c r="F63" s="10">
        <f>D63*E63</f>
      </c>
      <c r="G63" s="8"/>
    </row>
    <row r="64" ht="21" customHeight="1" spans="1:7" x14ac:dyDescent="0.25">
      <c r="A64" s="8"/>
      <c r="B64" s="8"/>
      <c r="C64" s="8"/>
      <c r="D64" s="8"/>
      <c r="E64" s="10">
        <f>IFERROR(VLOOKUP(C64,'Inventory Master'!$A$3:$L$300,5,FALSE),0)</f>
      </c>
      <c r="F64" s="10">
        <f>D64*E64</f>
      </c>
      <c r="G64" s="8"/>
    </row>
    <row r="65" ht="21" customHeight="1" spans="1:7" x14ac:dyDescent="0.25">
      <c r="A65" s="8"/>
      <c r="B65" s="8"/>
      <c r="C65" s="8"/>
      <c r="D65" s="8"/>
      <c r="E65" s="10">
        <f>IFERROR(VLOOKUP(C65,'Inventory Master'!$A$3:$L$300,5,FALSE),0)</f>
      </c>
      <c r="F65" s="10">
        <f>D65*E65</f>
      </c>
      <c r="G65" s="8"/>
    </row>
    <row r="66" ht="21" customHeight="1" spans="1:7" x14ac:dyDescent="0.25">
      <c r="A66" s="8"/>
      <c r="B66" s="8"/>
      <c r="C66" s="8"/>
      <c r="D66" s="8"/>
      <c r="E66" s="10">
        <f>IFERROR(VLOOKUP(C66,'Inventory Master'!$A$3:$L$300,5,FALSE),0)</f>
      </c>
      <c r="F66" s="10">
        <f>D66*E66</f>
      </c>
      <c r="G66" s="8"/>
    </row>
    <row r="67" ht="21" customHeight="1" spans="1:7" x14ac:dyDescent="0.25">
      <c r="A67" s="8"/>
      <c r="B67" s="8"/>
      <c r="C67" s="8"/>
      <c r="D67" s="8"/>
      <c r="E67" s="10">
        <f>IFERROR(VLOOKUP(C67,'Inventory Master'!$A$3:$L$300,5,FALSE),0)</f>
      </c>
      <c r="F67" s="10">
        <f>D67*E67</f>
      </c>
      <c r="G67" s="8"/>
    </row>
    <row r="68" ht="21" customHeight="1" spans="1:7" x14ac:dyDescent="0.25">
      <c r="A68" s="8"/>
      <c r="B68" s="8"/>
      <c r="C68" s="8"/>
      <c r="D68" s="8"/>
      <c r="E68" s="10">
        <f>IFERROR(VLOOKUP(C68,'Inventory Master'!$A$3:$L$300,5,FALSE),0)</f>
      </c>
      <c r="F68" s="10">
        <f>D68*E68</f>
      </c>
      <c r="G68" s="8"/>
    </row>
    <row r="69" ht="21" customHeight="1" spans="1:7" x14ac:dyDescent="0.25">
      <c r="A69" s="8"/>
      <c r="B69" s="8"/>
      <c r="C69" s="8"/>
      <c r="D69" s="8"/>
      <c r="E69" s="10">
        <f>IFERROR(VLOOKUP(C69,'Inventory Master'!$A$3:$L$300,5,FALSE),0)</f>
      </c>
      <c r="F69" s="10">
        <f>D69*E69</f>
      </c>
      <c r="G69" s="8"/>
    </row>
    <row r="70" ht="21" customHeight="1" spans="1:7" x14ac:dyDescent="0.25">
      <c r="A70" s="8"/>
      <c r="B70" s="8"/>
      <c r="C70" s="8"/>
      <c r="D70" s="8"/>
      <c r="E70" s="10">
        <f>IFERROR(VLOOKUP(C70,'Inventory Master'!$A$3:$L$300,5,FALSE),0)</f>
      </c>
      <c r="F70" s="10">
        <f>D70*E70</f>
      </c>
      <c r="G70" s="8"/>
    </row>
    <row r="71" ht="21" customHeight="1" spans="1:7" x14ac:dyDescent="0.25">
      <c r="A71" s="8"/>
      <c r="B71" s="8"/>
      <c r="C71" s="8"/>
      <c r="D71" s="8"/>
      <c r="E71" s="10">
        <f>IFERROR(VLOOKUP(C71,'Inventory Master'!$A$3:$L$300,5,FALSE),0)</f>
      </c>
      <c r="F71" s="10">
        <f>D71*E71</f>
      </c>
      <c r="G71" s="8"/>
    </row>
    <row r="72" ht="21" customHeight="1" spans="1:7" x14ac:dyDescent="0.25">
      <c r="A72" s="8"/>
      <c r="B72" s="8"/>
      <c r="C72" s="8"/>
      <c r="D72" s="8"/>
      <c r="E72" s="10">
        <f>IFERROR(VLOOKUP(C72,'Inventory Master'!$A$3:$L$300,5,FALSE),0)</f>
      </c>
      <c r="F72" s="10">
        <f>D72*E72</f>
      </c>
      <c r="G72" s="8"/>
    </row>
    <row r="73" ht="21" customHeight="1" spans="1:7" x14ac:dyDescent="0.25">
      <c r="A73" s="8"/>
      <c r="B73" s="8"/>
      <c r="C73" s="8"/>
      <c r="D73" s="8"/>
      <c r="E73" s="10">
        <f>IFERROR(VLOOKUP(C73,'Inventory Master'!$A$3:$L$300,5,FALSE),0)</f>
      </c>
      <c r="F73" s="10">
        <f>D73*E73</f>
      </c>
      <c r="G73" s="8"/>
    </row>
    <row r="74" ht="21" customHeight="1" spans="1:7" x14ac:dyDescent="0.25">
      <c r="A74" s="8"/>
      <c r="B74" s="8"/>
      <c r="C74" s="8"/>
      <c r="D74" s="8"/>
      <c r="E74" s="10">
        <f>IFERROR(VLOOKUP(C74,'Inventory Master'!$A$3:$L$300,5,FALSE),0)</f>
      </c>
      <c r="F74" s="10">
        <f>D74*E74</f>
      </c>
      <c r="G74" s="8"/>
    </row>
    <row r="75" ht="21" customHeight="1" spans="1:7" x14ac:dyDescent="0.25">
      <c r="A75" s="8"/>
      <c r="B75" s="8"/>
      <c r="C75" s="8"/>
      <c r="D75" s="8"/>
      <c r="E75" s="10">
        <f>IFERROR(VLOOKUP(C75,'Inventory Master'!$A$3:$L$300,5,FALSE),0)</f>
      </c>
      <c r="F75" s="10">
        <f>D75*E75</f>
      </c>
      <c r="G75" s="8"/>
    </row>
    <row r="76" ht="21" customHeight="1" spans="1:7" x14ac:dyDescent="0.25">
      <c r="A76" s="8"/>
      <c r="B76" s="8"/>
      <c r="C76" s="8"/>
      <c r="D76" s="8"/>
      <c r="E76" s="10">
        <f>IFERROR(VLOOKUP(C76,'Inventory Master'!$A$3:$L$300,5,FALSE),0)</f>
      </c>
      <c r="F76" s="10">
        <f>D76*E76</f>
      </c>
      <c r="G76" s="8"/>
    </row>
    <row r="77" ht="21" customHeight="1" spans="1:7" x14ac:dyDescent="0.25">
      <c r="A77" s="8"/>
      <c r="B77" s="8"/>
      <c r="C77" s="8"/>
      <c r="D77" s="8"/>
      <c r="E77" s="10">
        <f>IFERROR(VLOOKUP(C77,'Inventory Master'!$A$3:$L$300,5,FALSE),0)</f>
      </c>
      <c r="F77" s="10">
        <f>D77*E77</f>
      </c>
      <c r="G77" s="8"/>
    </row>
    <row r="78" ht="21" customHeight="1" spans="1:7" x14ac:dyDescent="0.25">
      <c r="A78" s="8"/>
      <c r="B78" s="8"/>
      <c r="C78" s="8"/>
      <c r="D78" s="8"/>
      <c r="E78" s="10">
        <f>IFERROR(VLOOKUP(C78,'Inventory Master'!$A$3:$L$300,5,FALSE),0)</f>
      </c>
      <c r="F78" s="10">
        <f>D78*E78</f>
      </c>
      <c r="G78" s="8"/>
    </row>
    <row r="79" ht="21" customHeight="1" spans="1:7" x14ac:dyDescent="0.25">
      <c r="A79" s="8"/>
      <c r="B79" s="8"/>
      <c r="C79" s="8"/>
      <c r="D79" s="8"/>
      <c r="E79" s="10">
        <f>IFERROR(VLOOKUP(C79,'Inventory Master'!$A$3:$L$300,5,FALSE),0)</f>
      </c>
      <c r="F79" s="10">
        <f>D79*E79</f>
      </c>
      <c r="G79" s="8"/>
    </row>
    <row r="80" ht="21" customHeight="1" spans="1:7" x14ac:dyDescent="0.25">
      <c r="A80" s="8"/>
      <c r="B80" s="8"/>
      <c r="C80" s="8"/>
      <c r="D80" s="8"/>
      <c r="E80" s="10">
        <f>IFERROR(VLOOKUP(C80,'Inventory Master'!$A$3:$L$300,5,FALSE),0)</f>
      </c>
      <c r="F80" s="10">
        <f>D80*E80</f>
      </c>
      <c r="G80" s="8"/>
    </row>
    <row r="81" ht="21" customHeight="1" spans="1:7" x14ac:dyDescent="0.25">
      <c r="A81" s="8"/>
      <c r="B81" s="8"/>
      <c r="C81" s="8"/>
      <c r="D81" s="8"/>
      <c r="E81" s="10">
        <f>IFERROR(VLOOKUP(C81,'Inventory Master'!$A$3:$L$300,5,FALSE),0)</f>
      </c>
      <c r="F81" s="10">
        <f>D81*E81</f>
      </c>
      <c r="G81" s="8"/>
    </row>
    <row r="82" ht="21" customHeight="1" spans="1:7" x14ac:dyDescent="0.25">
      <c r="A82" s="8"/>
      <c r="B82" s="8"/>
      <c r="C82" s="8"/>
      <c r="D82" s="8"/>
      <c r="E82" s="10">
        <f>IFERROR(VLOOKUP(C82,'Inventory Master'!$A$3:$L$300,5,FALSE),0)</f>
      </c>
      <c r="F82" s="10">
        <f>D82*E82</f>
      </c>
      <c r="G82" s="8"/>
    </row>
    <row r="83" ht="21" customHeight="1" spans="1:7" x14ac:dyDescent="0.25">
      <c r="A83" s="8"/>
      <c r="B83" s="8"/>
      <c r="C83" s="8"/>
      <c r="D83" s="8"/>
      <c r="E83" s="10">
        <f>IFERROR(VLOOKUP(C83,'Inventory Master'!$A$3:$L$300,5,FALSE),0)</f>
      </c>
      <c r="F83" s="10">
        <f>D83*E83</f>
      </c>
      <c r="G83" s="8"/>
    </row>
    <row r="84" ht="21" customHeight="1" spans="1:7" x14ac:dyDescent="0.25">
      <c r="A84" s="8"/>
      <c r="B84" s="8"/>
      <c r="C84" s="8"/>
      <c r="D84" s="8"/>
      <c r="E84" s="10">
        <f>IFERROR(VLOOKUP(C84,'Inventory Master'!$A$3:$L$300,5,FALSE),0)</f>
      </c>
      <c r="F84" s="10">
        <f>D84*E84</f>
      </c>
      <c r="G84" s="8"/>
    </row>
    <row r="85" ht="21" customHeight="1" spans="1:7" x14ac:dyDescent="0.25">
      <c r="A85" s="8"/>
      <c r="B85" s="8"/>
      <c r="C85" s="8"/>
      <c r="D85" s="8"/>
      <c r="E85" s="10">
        <f>IFERROR(VLOOKUP(C85,'Inventory Master'!$A$3:$L$300,5,FALSE),0)</f>
      </c>
      <c r="F85" s="10">
        <f>D85*E85</f>
      </c>
      <c r="G85" s="8"/>
    </row>
    <row r="86" ht="21" customHeight="1" spans="1:7" x14ac:dyDescent="0.25">
      <c r="A86" s="8"/>
      <c r="B86" s="8"/>
      <c r="C86" s="8"/>
      <c r="D86" s="8"/>
      <c r="E86" s="10">
        <f>IFERROR(VLOOKUP(C86,'Inventory Master'!$A$3:$L$300,5,FALSE),0)</f>
      </c>
      <c r="F86" s="10">
        <f>D86*E86</f>
      </c>
      <c r="G86" s="8"/>
    </row>
    <row r="87" ht="21" customHeight="1" spans="1:7" x14ac:dyDescent="0.25">
      <c r="A87" s="8"/>
      <c r="B87" s="8"/>
      <c r="C87" s="8"/>
      <c r="D87" s="8"/>
      <c r="E87" s="10">
        <f>IFERROR(VLOOKUP(C87,'Inventory Master'!$A$3:$L$300,5,FALSE),0)</f>
      </c>
      <c r="F87" s="10">
        <f>D87*E87</f>
      </c>
      <c r="G87" s="8"/>
    </row>
    <row r="88" ht="21" customHeight="1" spans="1:7" x14ac:dyDescent="0.25">
      <c r="A88" s="8"/>
      <c r="B88" s="8"/>
      <c r="C88" s="8"/>
      <c r="D88" s="8"/>
      <c r="E88" s="10">
        <f>IFERROR(VLOOKUP(C88,'Inventory Master'!$A$3:$L$300,5,FALSE),0)</f>
      </c>
      <c r="F88" s="10">
        <f>D88*E88</f>
      </c>
      <c r="G88" s="8"/>
    </row>
    <row r="89" ht="21" customHeight="1" spans="1:7" x14ac:dyDescent="0.25">
      <c r="A89" s="8"/>
      <c r="B89" s="8"/>
      <c r="C89" s="8"/>
      <c r="D89" s="8"/>
      <c r="E89" s="10">
        <f>IFERROR(VLOOKUP(C89,'Inventory Master'!$A$3:$L$300,5,FALSE),0)</f>
      </c>
      <c r="F89" s="10">
        <f>D89*E89</f>
      </c>
      <c r="G89" s="8"/>
    </row>
    <row r="90" ht="21" customHeight="1" spans="1:7" x14ac:dyDescent="0.25">
      <c r="A90" s="8"/>
      <c r="B90" s="8"/>
      <c r="C90" s="8"/>
      <c r="D90" s="8"/>
      <c r="E90" s="10">
        <f>IFERROR(VLOOKUP(C90,'Inventory Master'!$A$3:$L$300,5,FALSE),0)</f>
      </c>
      <c r="F90" s="10">
        <f>D90*E90</f>
      </c>
      <c r="G90" s="8"/>
    </row>
    <row r="91" ht="21" customHeight="1" spans="1:7" x14ac:dyDescent="0.25">
      <c r="A91" s="8"/>
      <c r="B91" s="8"/>
      <c r="C91" s="8"/>
      <c r="D91" s="8"/>
      <c r="E91" s="10">
        <f>IFERROR(VLOOKUP(C91,'Inventory Master'!$A$3:$L$300,5,FALSE),0)</f>
      </c>
      <c r="F91" s="10">
        <f>D91*E91</f>
      </c>
      <c r="G91" s="8"/>
    </row>
    <row r="92" ht="21" customHeight="1" spans="1:7" x14ac:dyDescent="0.25">
      <c r="A92" s="8"/>
      <c r="B92" s="8"/>
      <c r="C92" s="8"/>
      <c r="D92" s="8"/>
      <c r="E92" s="10">
        <f>IFERROR(VLOOKUP(C92,'Inventory Master'!$A$3:$L$300,5,FALSE),0)</f>
      </c>
      <c r="F92" s="10">
        <f>D92*E92</f>
      </c>
      <c r="G92" s="8"/>
    </row>
    <row r="93" ht="21" customHeight="1" spans="1:7" x14ac:dyDescent="0.25">
      <c r="A93" s="8"/>
      <c r="B93" s="8"/>
      <c r="C93" s="8"/>
      <c r="D93" s="8"/>
      <c r="E93" s="10">
        <f>IFERROR(VLOOKUP(C93,'Inventory Master'!$A$3:$L$300,5,FALSE),0)</f>
      </c>
      <c r="F93" s="10">
        <f>D93*E93</f>
      </c>
      <c r="G93" s="8"/>
    </row>
    <row r="94" ht="21" customHeight="1" spans="1:7" x14ac:dyDescent="0.25">
      <c r="A94" s="8"/>
      <c r="B94" s="8"/>
      <c r="C94" s="8"/>
      <c r="D94" s="8"/>
      <c r="E94" s="10">
        <f>IFERROR(VLOOKUP(C94,'Inventory Master'!$A$3:$L$300,5,FALSE),0)</f>
      </c>
      <c r="F94" s="10">
        <f>D94*E94</f>
      </c>
      <c r="G94" s="8"/>
    </row>
    <row r="95" ht="21" customHeight="1" spans="1:7" x14ac:dyDescent="0.25">
      <c r="A95" s="8"/>
      <c r="B95" s="8"/>
      <c r="C95" s="8"/>
      <c r="D95" s="8"/>
      <c r="E95" s="10">
        <f>IFERROR(VLOOKUP(C95,'Inventory Master'!$A$3:$L$300,5,FALSE),0)</f>
      </c>
      <c r="F95" s="10">
        <f>D95*E95</f>
      </c>
      <c r="G95" s="8"/>
    </row>
    <row r="96" ht="21" customHeight="1" spans="1:7" x14ac:dyDescent="0.25">
      <c r="A96" s="8"/>
      <c r="B96" s="8"/>
      <c r="C96" s="8"/>
      <c r="D96" s="8"/>
      <c r="E96" s="10">
        <f>IFERROR(VLOOKUP(C96,'Inventory Master'!$A$3:$L$300,5,FALSE),0)</f>
      </c>
      <c r="F96" s="10">
        <f>D96*E96</f>
      </c>
      <c r="G96" s="8"/>
    </row>
    <row r="97" ht="21" customHeight="1" spans="1:7" x14ac:dyDescent="0.25">
      <c r="A97" s="8"/>
      <c r="B97" s="8"/>
      <c r="C97" s="8"/>
      <c r="D97" s="8"/>
      <c r="E97" s="10">
        <f>IFERROR(VLOOKUP(C97,'Inventory Master'!$A$3:$L$300,5,FALSE),0)</f>
      </c>
      <c r="F97" s="10">
        <f>D97*E97</f>
      </c>
      <c r="G97" s="8"/>
    </row>
    <row r="98" ht="21" customHeight="1" spans="1:7" x14ac:dyDescent="0.25">
      <c r="A98" s="8"/>
      <c r="B98" s="8"/>
      <c r="C98" s="8"/>
      <c r="D98" s="8"/>
      <c r="E98" s="10">
        <f>IFERROR(VLOOKUP(C98,'Inventory Master'!$A$3:$L$300,5,FALSE),0)</f>
      </c>
      <c r="F98" s="10">
        <f>D98*E98</f>
      </c>
      <c r="G98" s="8"/>
    </row>
    <row r="99" ht="21" customHeight="1" spans="1:7" x14ac:dyDescent="0.25">
      <c r="A99" s="8"/>
      <c r="B99" s="8"/>
      <c r="C99" s="8"/>
      <c r="D99" s="8"/>
      <c r="E99" s="10">
        <f>IFERROR(VLOOKUP(C99,'Inventory Master'!$A$3:$L$300,5,FALSE),0)</f>
      </c>
      <c r="F99" s="10">
        <f>D99*E99</f>
      </c>
      <c r="G99" s="8"/>
    </row>
    <row r="100" ht="21" customHeight="1" spans="1:7" x14ac:dyDescent="0.25">
      <c r="A100" s="8"/>
      <c r="B100" s="8"/>
      <c r="C100" s="8"/>
      <c r="D100" s="8"/>
      <c r="E100" s="10">
        <f>IFERROR(VLOOKUP(C100,'Inventory Master'!$A$3:$L$300,5,FALSE),0)</f>
      </c>
      <c r="F100" s="10">
        <f>D100*E100</f>
      </c>
      <c r="G100" s="8"/>
    </row>
    <row r="101" ht="21" customHeight="1" spans="1:7" x14ac:dyDescent="0.25">
      <c r="A101" s="8"/>
      <c r="B101" s="8"/>
      <c r="C101" s="8"/>
      <c r="D101" s="8"/>
      <c r="E101" s="10">
        <f>IFERROR(VLOOKUP(C101,'Inventory Master'!$A$3:$L$300,5,FALSE),0)</f>
      </c>
      <c r="F101" s="10">
        <f>D101*E101</f>
      </c>
      <c r="G101" s="8"/>
    </row>
    <row r="102" ht="21" customHeight="1" spans="1:7" x14ac:dyDescent="0.25">
      <c r="A102" s="8"/>
      <c r="B102" s="8"/>
      <c r="C102" s="8"/>
      <c r="D102" s="8"/>
      <c r="E102" s="10">
        <f>IFERROR(VLOOKUP(C102,'Inventory Master'!$A$3:$L$300,5,FALSE),0)</f>
      </c>
      <c r="F102" s="10">
        <f>D102*E102</f>
      </c>
      <c r="G102" s="8"/>
    </row>
    <row r="103" ht="21" customHeight="1" spans="1:7" x14ac:dyDescent="0.25">
      <c r="A103" s="8"/>
      <c r="B103" s="8"/>
      <c r="C103" s="8"/>
      <c r="D103" s="8"/>
      <c r="E103" s="10">
        <f>IFERROR(VLOOKUP(C103,'Inventory Master'!$A$3:$L$300,5,FALSE),0)</f>
      </c>
      <c r="F103" s="10">
        <f>D103*E103</f>
      </c>
      <c r="G103" s="8"/>
    </row>
    <row r="104" ht="21" customHeight="1" spans="1:7" x14ac:dyDescent="0.25">
      <c r="A104" s="8"/>
      <c r="B104" s="8"/>
      <c r="C104" s="8"/>
      <c r="D104" s="8"/>
      <c r="E104" s="10">
        <f>IFERROR(VLOOKUP(C104,'Inventory Master'!$A$3:$L$300,5,FALSE),0)</f>
      </c>
      <c r="F104" s="10">
        <f>D104*E104</f>
      </c>
      <c r="G104" s="8"/>
    </row>
    <row r="105" ht="21" customHeight="1" spans="1:7" x14ac:dyDescent="0.25">
      <c r="A105" s="8"/>
      <c r="B105" s="8"/>
      <c r="C105" s="8"/>
      <c r="D105" s="8"/>
      <c r="E105" s="10">
        <f>IFERROR(VLOOKUP(C105,'Inventory Master'!$A$3:$L$300,5,FALSE),0)</f>
      </c>
      <c r="F105" s="10">
        <f>D105*E105</f>
      </c>
      <c r="G105" s="8"/>
    </row>
    <row r="106" ht="21" customHeight="1" spans="1:7" x14ac:dyDescent="0.25">
      <c r="A106" s="8"/>
      <c r="B106" s="8"/>
      <c r="C106" s="8"/>
      <c r="D106" s="8"/>
      <c r="E106" s="10">
        <f>IFERROR(VLOOKUP(C106,'Inventory Master'!$A$3:$L$300,5,FALSE),0)</f>
      </c>
      <c r="F106" s="10">
        <f>D106*E106</f>
      </c>
      <c r="G106" s="8"/>
    </row>
    <row r="107" ht="21" customHeight="1" spans="1:7" x14ac:dyDescent="0.25">
      <c r="A107" s="8"/>
      <c r="B107" s="8"/>
      <c r="C107" s="8"/>
      <c r="D107" s="8"/>
      <c r="E107" s="10">
        <f>IFERROR(VLOOKUP(C107,'Inventory Master'!$A$3:$L$300,5,FALSE),0)</f>
      </c>
      <c r="F107" s="10">
        <f>D107*E107</f>
      </c>
      <c r="G107" s="8"/>
    </row>
    <row r="108" ht="21" customHeight="1" spans="1:7" x14ac:dyDescent="0.25">
      <c r="A108" s="8"/>
      <c r="B108" s="8"/>
      <c r="C108" s="8"/>
      <c r="D108" s="8"/>
      <c r="E108" s="10">
        <f>IFERROR(VLOOKUP(C108,'Inventory Master'!$A$3:$L$300,5,FALSE),0)</f>
      </c>
      <c r="F108" s="10">
        <f>D108*E108</f>
      </c>
      <c r="G108" s="8"/>
    </row>
    <row r="109" ht="21" customHeight="1" spans="1:7" x14ac:dyDescent="0.25">
      <c r="A109" s="8"/>
      <c r="B109" s="8"/>
      <c r="C109" s="8"/>
      <c r="D109" s="8"/>
      <c r="E109" s="10">
        <f>IFERROR(VLOOKUP(C109,'Inventory Master'!$A$3:$L$300,5,FALSE),0)</f>
      </c>
      <c r="F109" s="10">
        <f>D109*E109</f>
      </c>
      <c r="G109" s="8"/>
    </row>
    <row r="110" ht="21" customHeight="1" spans="1:7" x14ac:dyDescent="0.25">
      <c r="A110" s="8"/>
      <c r="B110" s="8"/>
      <c r="C110" s="8"/>
      <c r="D110" s="8"/>
      <c r="E110" s="10">
        <f>IFERROR(VLOOKUP(C110,'Inventory Master'!$A$3:$L$300,5,FALSE),0)</f>
      </c>
      <c r="F110" s="10">
        <f>D110*E110</f>
      </c>
      <c r="G110" s="8"/>
    </row>
    <row r="111" ht="21" customHeight="1" spans="1:7" x14ac:dyDescent="0.25">
      <c r="A111" s="8"/>
      <c r="B111" s="8"/>
      <c r="C111" s="8"/>
      <c r="D111" s="8"/>
      <c r="E111" s="10">
        <f>IFERROR(VLOOKUP(C111,'Inventory Master'!$A$3:$L$300,5,FALSE),0)</f>
      </c>
      <c r="F111" s="10">
        <f>D111*E111</f>
      </c>
      <c r="G111" s="8"/>
    </row>
    <row r="112" ht="21" customHeight="1" spans="1:7" x14ac:dyDescent="0.25">
      <c r="A112" s="8"/>
      <c r="B112" s="8"/>
      <c r="C112" s="8"/>
      <c r="D112" s="8"/>
      <c r="E112" s="10">
        <f>IFERROR(VLOOKUP(C112,'Inventory Master'!$A$3:$L$300,5,FALSE),0)</f>
      </c>
      <c r="F112" s="10">
        <f>D112*E112</f>
      </c>
      <c r="G112" s="8"/>
    </row>
    <row r="113" ht="21" customHeight="1" spans="1:7" x14ac:dyDescent="0.25">
      <c r="A113" s="8"/>
      <c r="B113" s="8"/>
      <c r="C113" s="8"/>
      <c r="D113" s="8"/>
      <c r="E113" s="10">
        <f>IFERROR(VLOOKUP(C113,'Inventory Master'!$A$3:$L$300,5,FALSE),0)</f>
      </c>
      <c r="F113" s="10">
        <f>D113*E113</f>
      </c>
      <c r="G113" s="8"/>
    </row>
    <row r="114" ht="21" customHeight="1" spans="1:7" x14ac:dyDescent="0.25">
      <c r="A114" s="8"/>
      <c r="B114" s="8"/>
      <c r="C114" s="8"/>
      <c r="D114" s="8"/>
      <c r="E114" s="10">
        <f>IFERROR(VLOOKUP(C114,'Inventory Master'!$A$3:$L$300,5,FALSE),0)</f>
      </c>
      <c r="F114" s="10">
        <f>D114*E114</f>
      </c>
      <c r="G114" s="8"/>
    </row>
    <row r="115" ht="21" customHeight="1" spans="1:7" x14ac:dyDescent="0.25">
      <c r="A115" s="8"/>
      <c r="B115" s="8"/>
      <c r="C115" s="8"/>
      <c r="D115" s="8"/>
      <c r="E115" s="10">
        <f>IFERROR(VLOOKUP(C115,'Inventory Master'!$A$3:$L$300,5,FALSE),0)</f>
      </c>
      <c r="F115" s="10">
        <f>D115*E115</f>
      </c>
      <c r="G115" s="8"/>
    </row>
    <row r="116" ht="21" customHeight="1" spans="1:7" x14ac:dyDescent="0.25">
      <c r="A116" s="8"/>
      <c r="B116" s="8"/>
      <c r="C116" s="8"/>
      <c r="D116" s="8"/>
      <c r="E116" s="10">
        <f>IFERROR(VLOOKUP(C116,'Inventory Master'!$A$3:$L$300,5,FALSE),0)</f>
      </c>
      <c r="F116" s="10">
        <f>D116*E116</f>
      </c>
      <c r="G116" s="8"/>
    </row>
    <row r="117" ht="21" customHeight="1" spans="1:7" x14ac:dyDescent="0.25">
      <c r="A117" s="8"/>
      <c r="B117" s="8"/>
      <c r="C117" s="8"/>
      <c r="D117" s="8"/>
      <c r="E117" s="10">
        <f>IFERROR(VLOOKUP(C117,'Inventory Master'!$A$3:$L$300,5,FALSE),0)</f>
      </c>
      <c r="F117" s="10">
        <f>D117*E117</f>
      </c>
      <c r="G117" s="8"/>
    </row>
    <row r="118" ht="21" customHeight="1" spans="1:7" x14ac:dyDescent="0.25">
      <c r="A118" s="8"/>
      <c r="B118" s="8"/>
      <c r="C118" s="8"/>
      <c r="D118" s="8"/>
      <c r="E118" s="10">
        <f>IFERROR(VLOOKUP(C118,'Inventory Master'!$A$3:$L$300,5,FALSE),0)</f>
      </c>
      <c r="F118" s="10">
        <f>D118*E118</f>
      </c>
      <c r="G118" s="8"/>
    </row>
    <row r="119" ht="21" customHeight="1" spans="1:7" x14ac:dyDescent="0.25">
      <c r="A119" s="8"/>
      <c r="B119" s="8"/>
      <c r="C119" s="8"/>
      <c r="D119" s="8"/>
      <c r="E119" s="10">
        <f>IFERROR(VLOOKUP(C119,'Inventory Master'!$A$3:$L$300,5,FALSE),0)</f>
      </c>
      <c r="F119" s="10">
        <f>D119*E119</f>
      </c>
      <c r="G119" s="8"/>
    </row>
    <row r="120" ht="21" customHeight="1" spans="1:7" x14ac:dyDescent="0.25">
      <c r="A120" s="8"/>
      <c r="B120" s="8"/>
      <c r="C120" s="8"/>
      <c r="D120" s="8"/>
      <c r="E120" s="10">
        <f>IFERROR(VLOOKUP(C120,'Inventory Master'!$A$3:$L$300,5,FALSE),0)</f>
      </c>
      <c r="F120" s="10">
        <f>D120*E120</f>
      </c>
      <c r="G120" s="8"/>
    </row>
    <row r="121" ht="21" customHeight="1" spans="1:7" x14ac:dyDescent="0.25">
      <c r="A121" s="8"/>
      <c r="B121" s="8"/>
      <c r="C121" s="8"/>
      <c r="D121" s="8"/>
      <c r="E121" s="10">
        <f>IFERROR(VLOOKUP(C121,'Inventory Master'!$A$3:$L$300,5,FALSE),0)</f>
      </c>
      <c r="F121" s="10">
        <f>D121*E121</f>
      </c>
      <c r="G121" s="8"/>
    </row>
    <row r="122" ht="21" customHeight="1" spans="1:7" x14ac:dyDescent="0.25">
      <c r="A122" s="8"/>
      <c r="B122" s="8"/>
      <c r="C122" s="8"/>
      <c r="D122" s="8"/>
      <c r="E122" s="10">
        <f>IFERROR(VLOOKUP(C122,'Inventory Master'!$A$3:$L$300,5,FALSE),0)</f>
      </c>
      <c r="F122" s="10">
        <f>D122*E122</f>
      </c>
      <c r="G122" s="8"/>
    </row>
    <row r="123" ht="21" customHeight="1" spans="1:7" x14ac:dyDescent="0.25">
      <c r="A123" s="8"/>
      <c r="B123" s="8"/>
      <c r="C123" s="8"/>
      <c r="D123" s="8"/>
      <c r="E123" s="10">
        <f>IFERROR(VLOOKUP(C123,'Inventory Master'!$A$3:$L$300,5,FALSE),0)</f>
      </c>
      <c r="F123" s="10">
        <f>D123*E123</f>
      </c>
      <c r="G123" s="8"/>
    </row>
    <row r="124" ht="21" customHeight="1" spans="1:7" x14ac:dyDescent="0.25">
      <c r="A124" s="8"/>
      <c r="B124" s="8"/>
      <c r="C124" s="8"/>
      <c r="D124" s="8"/>
      <c r="E124" s="10">
        <f>IFERROR(VLOOKUP(C124,'Inventory Master'!$A$3:$L$300,5,FALSE),0)</f>
      </c>
      <c r="F124" s="10">
        <f>D124*E124</f>
      </c>
      <c r="G124" s="8"/>
    </row>
    <row r="125" ht="21" customHeight="1" spans="1:7" x14ac:dyDescent="0.25">
      <c r="A125" s="8"/>
      <c r="B125" s="8"/>
      <c r="C125" s="8"/>
      <c r="D125" s="8"/>
      <c r="E125" s="10">
        <f>IFERROR(VLOOKUP(C125,'Inventory Master'!$A$3:$L$300,5,FALSE),0)</f>
      </c>
      <c r="F125" s="10">
        <f>D125*E125</f>
      </c>
      <c r="G125" s="8"/>
    </row>
    <row r="126" ht="21" customHeight="1" spans="1:7" x14ac:dyDescent="0.25">
      <c r="A126" s="8"/>
      <c r="B126" s="8"/>
      <c r="C126" s="8"/>
      <c r="D126" s="8"/>
      <c r="E126" s="10">
        <f>IFERROR(VLOOKUP(C126,'Inventory Master'!$A$3:$L$300,5,FALSE),0)</f>
      </c>
      <c r="F126" s="10">
        <f>D126*E126</f>
      </c>
      <c r="G126" s="8"/>
    </row>
    <row r="127" ht="21" customHeight="1" spans="1:7" x14ac:dyDescent="0.25">
      <c r="A127" s="8"/>
      <c r="B127" s="8"/>
      <c r="C127" s="8"/>
      <c r="D127" s="8"/>
      <c r="E127" s="10">
        <f>IFERROR(VLOOKUP(C127,'Inventory Master'!$A$3:$L$300,5,FALSE),0)</f>
      </c>
      <c r="F127" s="10">
        <f>D127*E127</f>
      </c>
      <c r="G127" s="8"/>
    </row>
    <row r="128" ht="21" customHeight="1" spans="1:7" x14ac:dyDescent="0.25">
      <c r="A128" s="8"/>
      <c r="B128" s="8"/>
      <c r="C128" s="8"/>
      <c r="D128" s="8"/>
      <c r="E128" s="10">
        <f>IFERROR(VLOOKUP(C128,'Inventory Master'!$A$3:$L$300,5,FALSE),0)</f>
      </c>
      <c r="F128" s="10">
        <f>D128*E128</f>
      </c>
      <c r="G128" s="8"/>
    </row>
    <row r="129" ht="21" customHeight="1" spans="1:7" x14ac:dyDescent="0.25">
      <c r="A129" s="8"/>
      <c r="B129" s="8"/>
      <c r="C129" s="8"/>
      <c r="D129" s="8"/>
      <c r="E129" s="10">
        <f>IFERROR(VLOOKUP(C129,'Inventory Master'!$A$3:$L$300,5,FALSE),0)</f>
      </c>
      <c r="F129" s="10">
        <f>D129*E129</f>
      </c>
      <c r="G129" s="8"/>
    </row>
    <row r="130" ht="21" customHeight="1" spans="1:7" x14ac:dyDescent="0.25">
      <c r="A130" s="8"/>
      <c r="B130" s="8"/>
      <c r="C130" s="8"/>
      <c r="D130" s="8"/>
      <c r="E130" s="10">
        <f>IFERROR(VLOOKUP(C130,'Inventory Master'!$A$3:$L$300,5,FALSE),0)</f>
      </c>
      <c r="F130" s="10">
        <f>D130*E130</f>
      </c>
      <c r="G130" s="8"/>
    </row>
    <row r="131" ht="21" customHeight="1" spans="1:7" x14ac:dyDescent="0.25">
      <c r="A131" s="8"/>
      <c r="B131" s="8"/>
      <c r="C131" s="8"/>
      <c r="D131" s="8"/>
      <c r="E131" s="10">
        <f>IFERROR(VLOOKUP(C131,'Inventory Master'!$A$3:$L$300,5,FALSE),0)</f>
      </c>
      <c r="F131" s="10">
        <f>D131*E131</f>
      </c>
      <c r="G131" s="8"/>
    </row>
    <row r="132" ht="21" customHeight="1" spans="1:7" x14ac:dyDescent="0.25">
      <c r="A132" s="8"/>
      <c r="B132" s="8"/>
      <c r="C132" s="8"/>
      <c r="D132" s="8"/>
      <c r="E132" s="10">
        <f>IFERROR(VLOOKUP(C132,'Inventory Master'!$A$3:$L$300,5,FALSE),0)</f>
      </c>
      <c r="F132" s="10">
        <f>D132*E132</f>
      </c>
      <c r="G132" s="8"/>
    </row>
    <row r="133" ht="21" customHeight="1" spans="1:7" x14ac:dyDescent="0.25">
      <c r="A133" s="8"/>
      <c r="B133" s="8"/>
      <c r="C133" s="8"/>
      <c r="D133" s="8"/>
      <c r="E133" s="10">
        <f>IFERROR(VLOOKUP(C133,'Inventory Master'!$A$3:$L$300,5,FALSE),0)</f>
      </c>
      <c r="F133" s="10">
        <f>D133*E133</f>
      </c>
      <c r="G133" s="8"/>
    </row>
    <row r="134" ht="21" customHeight="1" spans="1:7" x14ac:dyDescent="0.25">
      <c r="A134" s="8"/>
      <c r="B134" s="8"/>
      <c r="C134" s="8"/>
      <c r="D134" s="8"/>
      <c r="E134" s="10">
        <f>IFERROR(VLOOKUP(C134,'Inventory Master'!$A$3:$L$300,5,FALSE),0)</f>
      </c>
      <c r="F134" s="10">
        <f>D134*E134</f>
      </c>
      <c r="G134" s="8"/>
    </row>
    <row r="135" ht="21" customHeight="1" spans="1:7" x14ac:dyDescent="0.25">
      <c r="A135" s="8"/>
      <c r="B135" s="8"/>
      <c r="C135" s="8"/>
      <c r="D135" s="8"/>
      <c r="E135" s="10">
        <f>IFERROR(VLOOKUP(C135,'Inventory Master'!$A$3:$L$300,5,FALSE),0)</f>
      </c>
      <c r="F135" s="10">
        <f>D135*E135</f>
      </c>
      <c r="G135" s="8"/>
    </row>
    <row r="136" ht="21" customHeight="1" spans="1:7" x14ac:dyDescent="0.25">
      <c r="A136" s="8"/>
      <c r="B136" s="8"/>
      <c r="C136" s="8"/>
      <c r="D136" s="8"/>
      <c r="E136" s="10">
        <f>IFERROR(VLOOKUP(C136,'Inventory Master'!$A$3:$L$300,5,FALSE),0)</f>
      </c>
      <c r="F136" s="10">
        <f>D136*E136</f>
      </c>
      <c r="G136" s="8"/>
    </row>
    <row r="137" ht="21" customHeight="1" spans="1:7" x14ac:dyDescent="0.25">
      <c r="A137" s="8"/>
      <c r="B137" s="8"/>
      <c r="C137" s="8"/>
      <c r="D137" s="8"/>
      <c r="E137" s="10">
        <f>IFERROR(VLOOKUP(C137,'Inventory Master'!$A$3:$L$300,5,FALSE),0)</f>
      </c>
      <c r="F137" s="10">
        <f>D137*E137</f>
      </c>
      <c r="G137" s="8"/>
    </row>
    <row r="138" ht="21" customHeight="1" spans="1:7" x14ac:dyDescent="0.25">
      <c r="A138" s="8"/>
      <c r="B138" s="8"/>
      <c r="C138" s="8"/>
      <c r="D138" s="8"/>
      <c r="E138" s="10">
        <f>IFERROR(VLOOKUP(C138,'Inventory Master'!$A$3:$L$300,5,FALSE),0)</f>
      </c>
      <c r="F138" s="10">
        <f>D138*E138</f>
      </c>
      <c r="G138" s="8"/>
    </row>
    <row r="139" ht="21" customHeight="1" spans="1:7" x14ac:dyDescent="0.25">
      <c r="A139" s="8"/>
      <c r="B139" s="8"/>
      <c r="C139" s="8"/>
      <c r="D139" s="8"/>
      <c r="E139" s="10">
        <f>IFERROR(VLOOKUP(C139,'Inventory Master'!$A$3:$L$300,5,FALSE),0)</f>
      </c>
      <c r="F139" s="10">
        <f>D139*E139</f>
      </c>
      <c r="G139" s="8"/>
    </row>
    <row r="140" ht="21" customHeight="1" spans="1:7" x14ac:dyDescent="0.25">
      <c r="A140" s="8"/>
      <c r="B140" s="8"/>
      <c r="C140" s="8"/>
      <c r="D140" s="8"/>
      <c r="E140" s="10">
        <f>IFERROR(VLOOKUP(C140,'Inventory Master'!$A$3:$L$300,5,FALSE),0)</f>
      </c>
      <c r="F140" s="10">
        <f>D140*E140</f>
      </c>
      <c r="G140" s="8"/>
    </row>
    <row r="141" ht="21" customHeight="1" spans="1:7" x14ac:dyDescent="0.25">
      <c r="A141" s="8"/>
      <c r="B141" s="8"/>
      <c r="C141" s="8"/>
      <c r="D141" s="8"/>
      <c r="E141" s="10">
        <f>IFERROR(VLOOKUP(C141,'Inventory Master'!$A$3:$L$300,5,FALSE),0)</f>
      </c>
      <c r="F141" s="10">
        <f>D141*E141</f>
      </c>
      <c r="G141" s="8"/>
    </row>
    <row r="142" ht="21" customHeight="1" spans="1:7" x14ac:dyDescent="0.25">
      <c r="A142" s="8"/>
      <c r="B142" s="8"/>
      <c r="C142" s="8"/>
      <c r="D142" s="8"/>
      <c r="E142" s="10">
        <f>IFERROR(VLOOKUP(C142,'Inventory Master'!$A$3:$L$300,5,FALSE),0)</f>
      </c>
      <c r="F142" s="10">
        <f>D142*E142</f>
      </c>
      <c r="G142" s="8"/>
    </row>
    <row r="143" ht="21" customHeight="1" spans="1:7" x14ac:dyDescent="0.25">
      <c r="A143" s="8"/>
      <c r="B143" s="8"/>
      <c r="C143" s="8"/>
      <c r="D143" s="8"/>
      <c r="E143" s="10">
        <f>IFERROR(VLOOKUP(C143,'Inventory Master'!$A$3:$L$300,5,FALSE),0)</f>
      </c>
      <c r="F143" s="10">
        <f>D143*E143</f>
      </c>
      <c r="G143" s="8"/>
    </row>
    <row r="144" ht="21" customHeight="1" spans="1:7" x14ac:dyDescent="0.25">
      <c r="A144" s="8"/>
      <c r="B144" s="8"/>
      <c r="C144" s="8"/>
      <c r="D144" s="8"/>
      <c r="E144" s="10">
        <f>IFERROR(VLOOKUP(C144,'Inventory Master'!$A$3:$L$300,5,FALSE),0)</f>
      </c>
      <c r="F144" s="10">
        <f>D144*E144</f>
      </c>
      <c r="G144" s="8"/>
    </row>
    <row r="145" ht="21" customHeight="1" spans="1:7" x14ac:dyDescent="0.25">
      <c r="A145" s="8"/>
      <c r="B145" s="8"/>
      <c r="C145" s="8"/>
      <c r="D145" s="8"/>
      <c r="E145" s="10">
        <f>IFERROR(VLOOKUP(C145,'Inventory Master'!$A$3:$L$300,5,FALSE),0)</f>
      </c>
      <c r="F145" s="10">
        <f>D145*E145</f>
      </c>
      <c r="G145" s="8"/>
    </row>
    <row r="146" ht="21" customHeight="1" spans="1:7" x14ac:dyDescent="0.25">
      <c r="A146" s="8"/>
      <c r="B146" s="8"/>
      <c r="C146" s="8"/>
      <c r="D146" s="8"/>
      <c r="E146" s="10">
        <f>IFERROR(VLOOKUP(C146,'Inventory Master'!$A$3:$L$300,5,FALSE),0)</f>
      </c>
      <c r="F146" s="10">
        <f>D146*E146</f>
      </c>
      <c r="G146" s="8"/>
    </row>
    <row r="147" ht="21" customHeight="1" spans="1:7" x14ac:dyDescent="0.25">
      <c r="A147" s="8"/>
      <c r="B147" s="8"/>
      <c r="C147" s="8"/>
      <c r="D147" s="8"/>
      <c r="E147" s="10">
        <f>IFERROR(VLOOKUP(C147,'Inventory Master'!$A$3:$L$300,5,FALSE),0)</f>
      </c>
      <c r="F147" s="10">
        <f>D147*E147</f>
      </c>
      <c r="G147" s="8"/>
    </row>
    <row r="148" ht="21" customHeight="1" spans="1:7" x14ac:dyDescent="0.25">
      <c r="A148" s="8"/>
      <c r="B148" s="8"/>
      <c r="C148" s="8"/>
      <c r="D148" s="8"/>
      <c r="E148" s="10">
        <f>IFERROR(VLOOKUP(C148,'Inventory Master'!$A$3:$L$300,5,FALSE),0)</f>
      </c>
      <c r="F148" s="10">
        <f>D148*E148</f>
      </c>
      <c r="G148" s="8"/>
    </row>
    <row r="149" ht="21" customHeight="1" spans="1:7" x14ac:dyDescent="0.25">
      <c r="A149" s="8"/>
      <c r="B149" s="8"/>
      <c r="C149" s="8"/>
      <c r="D149" s="8"/>
      <c r="E149" s="10">
        <f>IFERROR(VLOOKUP(C149,'Inventory Master'!$A$3:$L$300,5,FALSE),0)</f>
      </c>
      <c r="F149" s="10">
        <f>D149*E149</f>
      </c>
      <c r="G149" s="8"/>
    </row>
    <row r="150" ht="21" customHeight="1" spans="1:7" x14ac:dyDescent="0.25">
      <c r="A150" s="8"/>
      <c r="B150" s="8"/>
      <c r="C150" s="8"/>
      <c r="D150" s="8"/>
      <c r="E150" s="10">
        <f>IFERROR(VLOOKUP(C150,'Inventory Master'!$A$3:$L$300,5,FALSE),0)</f>
      </c>
      <c r="F150" s="10">
        <f>D150*E150</f>
      </c>
      <c r="G150" s="8"/>
    </row>
    <row r="151" ht="21" customHeight="1" spans="1:7" x14ac:dyDescent="0.25">
      <c r="A151" s="8"/>
      <c r="B151" s="8"/>
      <c r="C151" s="8"/>
      <c r="D151" s="8"/>
      <c r="E151" s="10">
        <f>IFERROR(VLOOKUP(C151,'Inventory Master'!$A$3:$L$300,5,FALSE),0)</f>
      </c>
      <c r="F151" s="10">
        <f>D151*E151</f>
      </c>
      <c r="G151" s="8"/>
    </row>
    <row r="152" ht="21" customHeight="1" spans="1:7" x14ac:dyDescent="0.25">
      <c r="A152" s="8"/>
      <c r="B152" s="8"/>
      <c r="C152" s="8"/>
      <c r="D152" s="8"/>
      <c r="E152" s="10">
        <f>IFERROR(VLOOKUP(C152,'Inventory Master'!$A$3:$L$300,5,FALSE),0)</f>
      </c>
      <c r="F152" s="10">
        <f>D152*E152</f>
      </c>
      <c r="G152" s="8"/>
    </row>
    <row r="153" ht="21" customHeight="1" spans="1:7" x14ac:dyDescent="0.25">
      <c r="A153" s="8"/>
      <c r="B153" s="8"/>
      <c r="C153" s="8"/>
      <c r="D153" s="8"/>
      <c r="E153" s="10">
        <f>IFERROR(VLOOKUP(C153,'Inventory Master'!$A$3:$L$300,5,FALSE),0)</f>
      </c>
      <c r="F153" s="10">
        <f>D153*E153</f>
      </c>
      <c r="G153" s="8"/>
    </row>
    <row r="154" ht="21" customHeight="1" spans="1:7" x14ac:dyDescent="0.25">
      <c r="A154" s="8"/>
      <c r="B154" s="8"/>
      <c r="C154" s="8"/>
      <c r="D154" s="8"/>
      <c r="E154" s="10">
        <f>IFERROR(VLOOKUP(C154,'Inventory Master'!$A$3:$L$300,5,FALSE),0)</f>
      </c>
      <c r="F154" s="10">
        <f>D154*E154</f>
      </c>
      <c r="G154" s="8"/>
    </row>
    <row r="155" ht="21" customHeight="1" spans="1:7" x14ac:dyDescent="0.25">
      <c r="A155" s="8"/>
      <c r="B155" s="8"/>
      <c r="C155" s="8"/>
      <c r="D155" s="8"/>
      <c r="E155" s="10">
        <f>IFERROR(VLOOKUP(C155,'Inventory Master'!$A$3:$L$300,5,FALSE),0)</f>
      </c>
      <c r="F155" s="10">
        <f>D155*E155</f>
      </c>
      <c r="G155" s="8"/>
    </row>
    <row r="156" ht="21" customHeight="1" spans="1:7" x14ac:dyDescent="0.25">
      <c r="A156" s="8"/>
      <c r="B156" s="8"/>
      <c r="C156" s="8"/>
      <c r="D156" s="8"/>
      <c r="E156" s="10">
        <f>IFERROR(VLOOKUP(C156,'Inventory Master'!$A$3:$L$300,5,FALSE),0)</f>
      </c>
      <c r="F156" s="10">
        <f>D156*E156</f>
      </c>
      <c r="G156" s="8"/>
    </row>
    <row r="157" ht="21" customHeight="1" spans="1:7" x14ac:dyDescent="0.25">
      <c r="A157" s="8"/>
      <c r="B157" s="8"/>
      <c r="C157" s="8"/>
      <c r="D157" s="8"/>
      <c r="E157" s="10">
        <f>IFERROR(VLOOKUP(C157,'Inventory Master'!$A$3:$L$300,5,FALSE),0)</f>
      </c>
      <c r="F157" s="10">
        <f>D157*E157</f>
      </c>
      <c r="G157" s="8"/>
    </row>
    <row r="158" ht="21" customHeight="1" spans="1:7" x14ac:dyDescent="0.25">
      <c r="A158" s="8"/>
      <c r="B158" s="8"/>
      <c r="C158" s="8"/>
      <c r="D158" s="8"/>
      <c r="E158" s="10">
        <f>IFERROR(VLOOKUP(C158,'Inventory Master'!$A$3:$L$300,5,FALSE),0)</f>
      </c>
      <c r="F158" s="10">
        <f>D158*E158</f>
      </c>
      <c r="G158" s="8"/>
    </row>
    <row r="159" ht="21" customHeight="1" spans="1:7" x14ac:dyDescent="0.25">
      <c r="A159" s="8"/>
      <c r="B159" s="8"/>
      <c r="C159" s="8"/>
      <c r="D159" s="8"/>
      <c r="E159" s="10">
        <f>IFERROR(VLOOKUP(C159,'Inventory Master'!$A$3:$L$300,5,FALSE),0)</f>
      </c>
      <c r="F159" s="10">
        <f>D159*E159</f>
      </c>
      <c r="G159" s="8"/>
    </row>
    <row r="160" ht="21" customHeight="1" spans="1:7" x14ac:dyDescent="0.25">
      <c r="A160" s="8"/>
      <c r="B160" s="8"/>
      <c r="C160" s="8"/>
      <c r="D160" s="8"/>
      <c r="E160" s="10">
        <f>IFERROR(VLOOKUP(C160,'Inventory Master'!$A$3:$L$300,5,FALSE),0)</f>
      </c>
      <c r="F160" s="10">
        <f>D160*E160</f>
      </c>
      <c r="G160" s="8"/>
    </row>
    <row r="161" ht="21" customHeight="1" spans="1:7" x14ac:dyDescent="0.25">
      <c r="A161" s="8"/>
      <c r="B161" s="8"/>
      <c r="C161" s="8"/>
      <c r="D161" s="8"/>
      <c r="E161" s="10">
        <f>IFERROR(VLOOKUP(C161,'Inventory Master'!$A$3:$L$300,5,FALSE),0)</f>
      </c>
      <c r="F161" s="10">
        <f>D161*E161</f>
      </c>
      <c r="G161" s="8"/>
    </row>
    <row r="162" ht="21" customHeight="1" spans="1:7" x14ac:dyDescent="0.25">
      <c r="A162" s="8"/>
      <c r="B162" s="8"/>
      <c r="C162" s="8"/>
      <c r="D162" s="8"/>
      <c r="E162" s="10">
        <f>IFERROR(VLOOKUP(C162,'Inventory Master'!$A$3:$L$300,5,FALSE),0)</f>
      </c>
      <c r="F162" s="10">
        <f>D162*E162</f>
      </c>
      <c r="G162" s="8"/>
    </row>
    <row r="163" ht="21" customHeight="1" spans="1:7" x14ac:dyDescent="0.25">
      <c r="A163" s="8"/>
      <c r="B163" s="8"/>
      <c r="C163" s="8"/>
      <c r="D163" s="8"/>
      <c r="E163" s="10">
        <f>IFERROR(VLOOKUP(C163,'Inventory Master'!$A$3:$L$300,5,FALSE),0)</f>
      </c>
      <c r="F163" s="10">
        <f>D163*E163</f>
      </c>
      <c r="G163" s="8"/>
    </row>
    <row r="164" ht="21" customHeight="1" spans="1:7" x14ac:dyDescent="0.25">
      <c r="A164" s="8"/>
      <c r="B164" s="8"/>
      <c r="C164" s="8"/>
      <c r="D164" s="8"/>
      <c r="E164" s="10">
        <f>IFERROR(VLOOKUP(C164,'Inventory Master'!$A$3:$L$300,5,FALSE),0)</f>
      </c>
      <c r="F164" s="10">
        <f>D164*E164</f>
      </c>
      <c r="G164" s="8"/>
    </row>
    <row r="165" ht="21" customHeight="1" spans="1:7" x14ac:dyDescent="0.25">
      <c r="A165" s="8"/>
      <c r="B165" s="8"/>
      <c r="C165" s="8"/>
      <c r="D165" s="8"/>
      <c r="E165" s="10">
        <f>IFERROR(VLOOKUP(C165,'Inventory Master'!$A$3:$L$300,5,FALSE),0)</f>
      </c>
      <c r="F165" s="10">
        <f>D165*E165</f>
      </c>
      <c r="G165" s="8"/>
    </row>
    <row r="166" ht="21" customHeight="1" spans="1:7" x14ac:dyDescent="0.25">
      <c r="A166" s="8"/>
      <c r="B166" s="8"/>
      <c r="C166" s="8"/>
      <c r="D166" s="8"/>
      <c r="E166" s="10">
        <f>IFERROR(VLOOKUP(C166,'Inventory Master'!$A$3:$L$300,5,FALSE),0)</f>
      </c>
      <c r="F166" s="10">
        <f>D166*E166</f>
      </c>
      <c r="G166" s="8"/>
    </row>
    <row r="167" ht="21" customHeight="1" spans="1:7" x14ac:dyDescent="0.25">
      <c r="A167" s="8"/>
      <c r="B167" s="8"/>
      <c r="C167" s="8"/>
      <c r="D167" s="8"/>
      <c r="E167" s="10">
        <f>IFERROR(VLOOKUP(C167,'Inventory Master'!$A$3:$L$300,5,FALSE),0)</f>
      </c>
      <c r="F167" s="10">
        <f>D167*E167</f>
      </c>
      <c r="G167" s="8"/>
    </row>
    <row r="168" ht="21" customHeight="1" spans="1:7" x14ac:dyDescent="0.25">
      <c r="A168" s="8"/>
      <c r="B168" s="8"/>
      <c r="C168" s="8"/>
      <c r="D168" s="8"/>
      <c r="E168" s="10">
        <f>IFERROR(VLOOKUP(C168,'Inventory Master'!$A$3:$L$300,5,FALSE),0)</f>
      </c>
      <c r="F168" s="10">
        <f>D168*E168</f>
      </c>
      <c r="G168" s="8"/>
    </row>
    <row r="169" ht="21" customHeight="1" spans="1:7" x14ac:dyDescent="0.25">
      <c r="A169" s="8"/>
      <c r="B169" s="8"/>
      <c r="C169" s="8"/>
      <c r="D169" s="8"/>
      <c r="E169" s="10">
        <f>IFERROR(VLOOKUP(C169,'Inventory Master'!$A$3:$L$300,5,FALSE),0)</f>
      </c>
      <c r="F169" s="10">
        <f>D169*E169</f>
      </c>
      <c r="G169" s="8"/>
    </row>
    <row r="170" ht="21" customHeight="1" spans="1:7" x14ac:dyDescent="0.25">
      <c r="A170" s="8"/>
      <c r="B170" s="8"/>
      <c r="C170" s="8"/>
      <c r="D170" s="8"/>
      <c r="E170" s="10">
        <f>IFERROR(VLOOKUP(C170,'Inventory Master'!$A$3:$L$300,5,FALSE),0)</f>
      </c>
      <c r="F170" s="10">
        <f>D170*E170</f>
      </c>
      <c r="G170" s="8"/>
    </row>
    <row r="171" ht="21" customHeight="1" spans="1:7" x14ac:dyDescent="0.25">
      <c r="A171" s="8"/>
      <c r="B171" s="8"/>
      <c r="C171" s="8"/>
      <c r="D171" s="8"/>
      <c r="E171" s="10">
        <f>IFERROR(VLOOKUP(C171,'Inventory Master'!$A$3:$L$300,5,FALSE),0)</f>
      </c>
      <c r="F171" s="10">
        <f>D171*E171</f>
      </c>
      <c r="G171" s="8"/>
    </row>
    <row r="172" ht="21" customHeight="1" spans="1:7" x14ac:dyDescent="0.25">
      <c r="A172" s="8"/>
      <c r="B172" s="8"/>
      <c r="C172" s="8"/>
      <c r="D172" s="8"/>
      <c r="E172" s="10">
        <f>IFERROR(VLOOKUP(C172,'Inventory Master'!$A$3:$L$300,5,FALSE),0)</f>
      </c>
      <c r="F172" s="10">
        <f>D172*E172</f>
      </c>
      <c r="G172" s="8"/>
    </row>
    <row r="173" ht="21" customHeight="1" spans="1:7" x14ac:dyDescent="0.25">
      <c r="A173" s="8"/>
      <c r="B173" s="8"/>
      <c r="C173" s="8"/>
      <c r="D173" s="8"/>
      <c r="E173" s="10">
        <f>IFERROR(VLOOKUP(C173,'Inventory Master'!$A$3:$L$300,5,FALSE),0)</f>
      </c>
      <c r="F173" s="10">
        <f>D173*E173</f>
      </c>
      <c r="G173" s="8"/>
    </row>
    <row r="174" ht="21" customHeight="1" spans="1:7" x14ac:dyDescent="0.25">
      <c r="A174" s="8"/>
      <c r="B174" s="8"/>
      <c r="C174" s="8"/>
      <c r="D174" s="8"/>
      <c r="E174" s="10">
        <f>IFERROR(VLOOKUP(C174,'Inventory Master'!$A$3:$L$300,5,FALSE),0)</f>
      </c>
      <c r="F174" s="10">
        <f>D174*E174</f>
      </c>
      <c r="G174" s="8"/>
    </row>
    <row r="175" ht="21" customHeight="1" spans="1:7" x14ac:dyDescent="0.25">
      <c r="A175" s="8"/>
      <c r="B175" s="8"/>
      <c r="C175" s="8"/>
      <c r="D175" s="8"/>
      <c r="E175" s="10">
        <f>IFERROR(VLOOKUP(C175,'Inventory Master'!$A$3:$L$300,5,FALSE),0)</f>
      </c>
      <c r="F175" s="10">
        <f>D175*E175</f>
      </c>
      <c r="G175" s="8"/>
    </row>
    <row r="176" ht="21" customHeight="1" spans="1:7" x14ac:dyDescent="0.25">
      <c r="A176" s="8"/>
      <c r="B176" s="8"/>
      <c r="C176" s="8"/>
      <c r="D176" s="8"/>
      <c r="E176" s="10">
        <f>IFERROR(VLOOKUP(C176,'Inventory Master'!$A$3:$L$300,5,FALSE),0)</f>
      </c>
      <c r="F176" s="10">
        <f>D176*E176</f>
      </c>
      <c r="G176" s="8"/>
    </row>
    <row r="177" ht="21" customHeight="1" spans="1:7" x14ac:dyDescent="0.25">
      <c r="A177" s="8"/>
      <c r="B177" s="8"/>
      <c r="C177" s="8"/>
      <c r="D177" s="8"/>
      <c r="E177" s="10">
        <f>IFERROR(VLOOKUP(C177,'Inventory Master'!$A$3:$L$300,5,FALSE),0)</f>
      </c>
      <c r="F177" s="10">
        <f>D177*E177</f>
      </c>
      <c r="G177" s="8"/>
    </row>
    <row r="178" ht="21" customHeight="1" spans="1:7" x14ac:dyDescent="0.25">
      <c r="A178" s="8"/>
      <c r="B178" s="8"/>
      <c r="C178" s="8"/>
      <c r="D178" s="8"/>
      <c r="E178" s="10">
        <f>IFERROR(VLOOKUP(C178,'Inventory Master'!$A$3:$L$300,5,FALSE),0)</f>
      </c>
      <c r="F178" s="10">
        <f>D178*E178</f>
      </c>
      <c r="G178" s="8"/>
    </row>
    <row r="179" ht="21" customHeight="1" spans="1:7" x14ac:dyDescent="0.25">
      <c r="A179" s="8"/>
      <c r="B179" s="8"/>
      <c r="C179" s="8"/>
      <c r="D179" s="8"/>
      <c r="E179" s="10">
        <f>IFERROR(VLOOKUP(C179,'Inventory Master'!$A$3:$L$300,5,FALSE),0)</f>
      </c>
      <c r="F179" s="10">
        <f>D179*E179</f>
      </c>
      <c r="G179" s="8"/>
    </row>
    <row r="180" ht="21" customHeight="1" spans="1:7" x14ac:dyDescent="0.25">
      <c r="A180" s="8"/>
      <c r="B180" s="8"/>
      <c r="C180" s="8"/>
      <c r="D180" s="8"/>
      <c r="E180" s="10">
        <f>IFERROR(VLOOKUP(C180,'Inventory Master'!$A$3:$L$300,5,FALSE),0)</f>
      </c>
      <c r="F180" s="10">
        <f>D180*E180</f>
      </c>
      <c r="G180" s="8"/>
    </row>
    <row r="181" ht="21" customHeight="1" spans="1:7" x14ac:dyDescent="0.25">
      <c r="A181" s="8"/>
      <c r="B181" s="8"/>
      <c r="C181" s="8"/>
      <c r="D181" s="8"/>
      <c r="E181" s="10">
        <f>IFERROR(VLOOKUP(C181,'Inventory Master'!$A$3:$L$300,5,FALSE),0)</f>
      </c>
      <c r="F181" s="10">
        <f>D181*E181</f>
      </c>
      <c r="G181" s="8"/>
    </row>
    <row r="182" ht="21" customHeight="1" spans="1:7" x14ac:dyDescent="0.25">
      <c r="A182" s="8"/>
      <c r="B182" s="8"/>
      <c r="C182" s="8"/>
      <c r="D182" s="8"/>
      <c r="E182" s="10">
        <f>IFERROR(VLOOKUP(C182,'Inventory Master'!$A$3:$L$300,5,FALSE),0)</f>
      </c>
      <c r="F182" s="10">
        <f>D182*E182</f>
      </c>
      <c r="G182" s="8"/>
    </row>
    <row r="183" ht="21" customHeight="1" spans="1:7" x14ac:dyDescent="0.25">
      <c r="A183" s="8"/>
      <c r="B183" s="8"/>
      <c r="C183" s="8"/>
      <c r="D183" s="8"/>
      <c r="E183" s="10">
        <f>IFERROR(VLOOKUP(C183,'Inventory Master'!$A$3:$L$300,5,FALSE),0)</f>
      </c>
      <c r="F183" s="10">
        <f>D183*E183</f>
      </c>
      <c r="G183" s="8"/>
    </row>
    <row r="184" ht="21" customHeight="1" spans="1:7" x14ac:dyDescent="0.25">
      <c r="A184" s="8"/>
      <c r="B184" s="8"/>
      <c r="C184" s="8"/>
      <c r="D184" s="8"/>
      <c r="E184" s="10">
        <f>IFERROR(VLOOKUP(C184,'Inventory Master'!$A$3:$L$300,5,FALSE),0)</f>
      </c>
      <c r="F184" s="10">
        <f>D184*E184</f>
      </c>
      <c r="G184" s="8"/>
    </row>
    <row r="185" ht="21" customHeight="1" spans="1:7" x14ac:dyDescent="0.25">
      <c r="A185" s="8"/>
      <c r="B185" s="8"/>
      <c r="C185" s="8"/>
      <c r="D185" s="8"/>
      <c r="E185" s="10">
        <f>IFERROR(VLOOKUP(C185,'Inventory Master'!$A$3:$L$300,5,FALSE),0)</f>
      </c>
      <c r="F185" s="10">
        <f>D185*E185</f>
      </c>
      <c r="G185" s="8"/>
    </row>
    <row r="186" ht="21" customHeight="1" spans="1:7" x14ac:dyDescent="0.25">
      <c r="A186" s="8"/>
      <c r="B186" s="8"/>
      <c r="C186" s="8"/>
      <c r="D186" s="8"/>
      <c r="E186" s="10">
        <f>IFERROR(VLOOKUP(C186,'Inventory Master'!$A$3:$L$300,5,FALSE),0)</f>
      </c>
      <c r="F186" s="10">
        <f>D186*E186</f>
      </c>
      <c r="G186" s="8"/>
    </row>
    <row r="187" ht="21" customHeight="1" spans="1:7" x14ac:dyDescent="0.25">
      <c r="A187" s="8"/>
      <c r="B187" s="8"/>
      <c r="C187" s="8"/>
      <c r="D187" s="8"/>
      <c r="E187" s="10">
        <f>IFERROR(VLOOKUP(C187,'Inventory Master'!$A$3:$L$300,5,FALSE),0)</f>
      </c>
      <c r="F187" s="10">
        <f>D187*E187</f>
      </c>
      <c r="G187" s="8"/>
    </row>
    <row r="188" ht="21" customHeight="1" spans="1:7" x14ac:dyDescent="0.25">
      <c r="A188" s="8"/>
      <c r="B188" s="8"/>
      <c r="C188" s="8"/>
      <c r="D188" s="8"/>
      <c r="E188" s="10">
        <f>IFERROR(VLOOKUP(C188,'Inventory Master'!$A$3:$L$300,5,FALSE),0)</f>
      </c>
      <c r="F188" s="10">
        <f>D188*E188</f>
      </c>
      <c r="G188" s="8"/>
    </row>
    <row r="189" ht="21" customHeight="1" spans="1:7" x14ac:dyDescent="0.25">
      <c r="A189" s="8"/>
      <c r="B189" s="8"/>
      <c r="C189" s="8"/>
      <c r="D189" s="8"/>
      <c r="E189" s="10">
        <f>IFERROR(VLOOKUP(C189,'Inventory Master'!$A$3:$L$300,5,FALSE),0)</f>
      </c>
      <c r="F189" s="10">
        <f>D189*E189</f>
      </c>
      <c r="G189" s="8"/>
    </row>
    <row r="190" ht="21" customHeight="1" spans="1:7" x14ac:dyDescent="0.25">
      <c r="A190" s="8"/>
      <c r="B190" s="8"/>
      <c r="C190" s="8"/>
      <c r="D190" s="8"/>
      <c r="E190" s="10">
        <f>IFERROR(VLOOKUP(C190,'Inventory Master'!$A$3:$L$300,5,FALSE),0)</f>
      </c>
      <c r="F190" s="10">
        <f>D190*E190</f>
      </c>
      <c r="G190" s="8"/>
    </row>
    <row r="191" ht="21" customHeight="1" spans="1:7" x14ac:dyDescent="0.25">
      <c r="A191" s="8"/>
      <c r="B191" s="8"/>
      <c r="C191" s="8"/>
      <c r="D191" s="8"/>
      <c r="E191" s="10">
        <f>IFERROR(VLOOKUP(C191,'Inventory Master'!$A$3:$L$300,5,FALSE),0)</f>
      </c>
      <c r="F191" s="10">
        <f>D191*E191</f>
      </c>
      <c r="G191" s="8"/>
    </row>
    <row r="192" ht="21" customHeight="1" spans="1:7" x14ac:dyDescent="0.25">
      <c r="A192" s="8"/>
      <c r="B192" s="8"/>
      <c r="C192" s="8"/>
      <c r="D192" s="8"/>
      <c r="E192" s="10">
        <f>IFERROR(VLOOKUP(C192,'Inventory Master'!$A$3:$L$300,5,FALSE),0)</f>
      </c>
      <c r="F192" s="10">
        <f>D192*E192</f>
      </c>
      <c r="G192" s="8"/>
    </row>
    <row r="193" ht="21" customHeight="1" spans="1:7" x14ac:dyDescent="0.25">
      <c r="A193" s="8"/>
      <c r="B193" s="8"/>
      <c r="C193" s="8"/>
      <c r="D193" s="8"/>
      <c r="E193" s="10">
        <f>IFERROR(VLOOKUP(C193,'Inventory Master'!$A$3:$L$300,5,FALSE),0)</f>
      </c>
      <c r="F193" s="10">
        <f>D193*E193</f>
      </c>
      <c r="G193" s="8"/>
    </row>
    <row r="194" ht="21" customHeight="1" spans="1:7" x14ac:dyDescent="0.25">
      <c r="A194" s="8"/>
      <c r="B194" s="8"/>
      <c r="C194" s="8"/>
      <c r="D194" s="8"/>
      <c r="E194" s="10">
        <f>IFERROR(VLOOKUP(C194,'Inventory Master'!$A$3:$L$300,5,FALSE),0)</f>
      </c>
      <c r="F194" s="10">
        <f>D194*E194</f>
      </c>
      <c r="G194" s="8"/>
    </row>
    <row r="195" ht="21" customHeight="1" spans="1:7" x14ac:dyDescent="0.25">
      <c r="A195" s="8"/>
      <c r="B195" s="8"/>
      <c r="C195" s="8"/>
      <c r="D195" s="8"/>
      <c r="E195" s="10">
        <f>IFERROR(VLOOKUP(C195,'Inventory Master'!$A$3:$L$300,5,FALSE),0)</f>
      </c>
      <c r="F195" s="10">
        <f>D195*E195</f>
      </c>
      <c r="G195" s="8"/>
    </row>
    <row r="196" ht="21" customHeight="1" spans="1:7" x14ac:dyDescent="0.25">
      <c r="A196" s="8"/>
      <c r="B196" s="8"/>
      <c r="C196" s="8"/>
      <c r="D196" s="8"/>
      <c r="E196" s="10">
        <f>IFERROR(VLOOKUP(C196,'Inventory Master'!$A$3:$L$300,5,FALSE),0)</f>
      </c>
      <c r="F196" s="10">
        <f>D196*E196</f>
      </c>
      <c r="G196" s="8"/>
    </row>
    <row r="197" ht="21" customHeight="1" spans="1:7" x14ac:dyDescent="0.25">
      <c r="A197" s="8"/>
      <c r="B197" s="8"/>
      <c r="C197" s="8"/>
      <c r="D197" s="8"/>
      <c r="E197" s="10">
        <f>IFERROR(VLOOKUP(C197,'Inventory Master'!$A$3:$L$300,5,FALSE),0)</f>
      </c>
      <c r="F197" s="10">
        <f>D197*E197</f>
      </c>
      <c r="G197" s="8"/>
    </row>
    <row r="198" ht="21" customHeight="1" spans="1:7" x14ac:dyDescent="0.25">
      <c r="A198" s="8"/>
      <c r="B198" s="8"/>
      <c r="C198" s="8"/>
      <c r="D198" s="8"/>
      <c r="E198" s="10">
        <f>IFERROR(VLOOKUP(C198,'Inventory Master'!$A$3:$L$300,5,FALSE),0)</f>
      </c>
      <c r="F198" s="10">
        <f>D198*E198</f>
      </c>
      <c r="G198" s="8"/>
    </row>
    <row r="199" ht="21" customHeight="1" spans="1:7" x14ac:dyDescent="0.25">
      <c r="A199" s="8"/>
      <c r="B199" s="8"/>
      <c r="C199" s="8"/>
      <c r="D199" s="8"/>
      <c r="E199" s="10">
        <f>IFERROR(VLOOKUP(C199,'Inventory Master'!$A$3:$L$300,5,FALSE),0)</f>
      </c>
      <c r="F199" s="10">
        <f>D199*E199</f>
      </c>
      <c r="G199" s="8"/>
    </row>
    <row r="200" ht="21" customHeight="1" spans="1:7" x14ac:dyDescent="0.25">
      <c r="A200" s="8"/>
      <c r="B200" s="8"/>
      <c r="C200" s="8"/>
      <c r="D200" s="8"/>
      <c r="E200" s="10">
        <f>IFERROR(VLOOKUP(C200,'Inventory Master'!$A$3:$L$300,5,FALSE),0)</f>
      </c>
      <c r="F200" s="10">
        <f>D200*E200</f>
      </c>
      <c r="G200" s="8"/>
    </row>
    <row r="201" ht="21" customHeight="1" spans="1:7" x14ac:dyDescent="0.25">
      <c r="A201" s="8"/>
      <c r="B201" s="8"/>
      <c r="C201" s="8"/>
      <c r="D201" s="8"/>
      <c r="E201" s="10">
        <f>IFERROR(VLOOKUP(C201,'Inventory Master'!$A$3:$L$300,5,FALSE),0)</f>
      </c>
      <c r="F201" s="10">
        <f>D201*E201</f>
      </c>
      <c r="G201" s="8"/>
    </row>
    <row r="202" ht="21" customHeight="1" spans="1:7" x14ac:dyDescent="0.25">
      <c r="A202" s="8"/>
      <c r="B202" s="8"/>
      <c r="C202" s="8"/>
      <c r="D202" s="8"/>
      <c r="E202" s="10">
        <f>IFERROR(VLOOKUP(C202,'Inventory Master'!$A$3:$L$300,5,FALSE),0)</f>
      </c>
      <c r="F202" s="10">
        <f>D202*E202</f>
      </c>
      <c r="G202" s="8"/>
    </row>
    <row r="203" ht="21" customHeight="1" spans="1:7" x14ac:dyDescent="0.25">
      <c r="A203" s="8"/>
      <c r="B203" s="8"/>
      <c r="C203" s="8"/>
      <c r="D203" s="8"/>
      <c r="E203" s="10">
        <f>IFERROR(VLOOKUP(C203,'Inventory Master'!$A$3:$L$300,5,FALSE),0)</f>
      </c>
      <c r="F203" s="10">
        <f>D203*E203</f>
      </c>
      <c r="G203" s="8"/>
    </row>
    <row r="204" ht="21" customHeight="1" spans="1:7" x14ac:dyDescent="0.25">
      <c r="A204" s="8"/>
      <c r="B204" s="8"/>
      <c r="C204" s="8"/>
      <c r="D204" s="8"/>
      <c r="E204" s="10">
        <f>IFERROR(VLOOKUP(C204,'Inventory Master'!$A$3:$L$300,5,FALSE),0)</f>
      </c>
      <c r="F204" s="10">
        <f>D204*E204</f>
      </c>
      <c r="G204" s="8"/>
    </row>
    <row r="205" ht="21" customHeight="1" spans="1:7" x14ac:dyDescent="0.25">
      <c r="A205" s="8"/>
      <c r="B205" s="8"/>
      <c r="C205" s="8"/>
      <c r="D205" s="8"/>
      <c r="E205" s="10">
        <f>IFERROR(VLOOKUP(C205,'Inventory Master'!$A$3:$L$300,5,FALSE),0)</f>
      </c>
      <c r="F205" s="10">
        <f>D205*E205</f>
      </c>
      <c r="G205" s="8"/>
    </row>
    <row r="206" ht="21" customHeight="1" spans="1:7" x14ac:dyDescent="0.25">
      <c r="A206" s="8"/>
      <c r="B206" s="8"/>
      <c r="C206" s="8"/>
      <c r="D206" s="8"/>
      <c r="E206" s="10">
        <f>IFERROR(VLOOKUP(C206,'Inventory Master'!$A$3:$L$300,5,FALSE),0)</f>
      </c>
      <c r="F206" s="10">
        <f>D206*E206</f>
      </c>
      <c r="G206" s="8"/>
    </row>
    <row r="207" ht="21" customHeight="1" spans="1:7" x14ac:dyDescent="0.25">
      <c r="A207" s="8"/>
      <c r="B207" s="8"/>
      <c r="C207" s="8"/>
      <c r="D207" s="8"/>
      <c r="E207" s="10">
        <f>IFERROR(VLOOKUP(C207,'Inventory Master'!$A$3:$L$300,5,FALSE),0)</f>
      </c>
      <c r="F207" s="10">
        <f>D207*E207</f>
      </c>
      <c r="G207" s="8"/>
    </row>
    <row r="208" ht="21" customHeight="1" spans="1:7" x14ac:dyDescent="0.25">
      <c r="A208" s="8"/>
      <c r="B208" s="8"/>
      <c r="C208" s="8"/>
      <c r="D208" s="8"/>
      <c r="E208" s="10">
        <f>IFERROR(VLOOKUP(C208,'Inventory Master'!$A$3:$L$300,5,FALSE),0)</f>
      </c>
      <c r="F208" s="10">
        <f>D208*E208</f>
      </c>
      <c r="G208" s="8"/>
    </row>
    <row r="209" ht="21" customHeight="1" spans="1:7" x14ac:dyDescent="0.25">
      <c r="A209" s="8"/>
      <c r="B209" s="8"/>
      <c r="C209" s="8"/>
      <c r="D209" s="8"/>
      <c r="E209" s="10">
        <f>IFERROR(VLOOKUP(C209,'Inventory Master'!$A$3:$L$300,5,FALSE),0)</f>
      </c>
      <c r="F209" s="10">
        <f>D209*E209</f>
      </c>
      <c r="G209" s="8"/>
    </row>
    <row r="210" ht="21" customHeight="1" spans="1:7" x14ac:dyDescent="0.25">
      <c r="A210" s="8"/>
      <c r="B210" s="8"/>
      <c r="C210" s="8"/>
      <c r="D210" s="8"/>
      <c r="E210" s="10">
        <f>IFERROR(VLOOKUP(C210,'Inventory Master'!$A$3:$L$300,5,FALSE),0)</f>
      </c>
      <c r="F210" s="10">
        <f>D210*E210</f>
      </c>
      <c r="G210" s="8"/>
    </row>
    <row r="211" ht="21" customHeight="1" spans="1:7" x14ac:dyDescent="0.25">
      <c r="A211" s="8"/>
      <c r="B211" s="8"/>
      <c r="C211" s="8"/>
      <c r="D211" s="8"/>
      <c r="E211" s="10">
        <f>IFERROR(VLOOKUP(C211,'Inventory Master'!$A$3:$L$300,5,FALSE),0)</f>
      </c>
      <c r="F211" s="10">
        <f>D211*E211</f>
      </c>
      <c r="G211" s="8"/>
    </row>
    <row r="212" ht="21" customHeight="1" spans="1:7" x14ac:dyDescent="0.25">
      <c r="A212" s="8"/>
      <c r="B212" s="8"/>
      <c r="C212" s="8"/>
      <c r="D212" s="8"/>
      <c r="E212" s="10">
        <f>IFERROR(VLOOKUP(C212,'Inventory Master'!$A$3:$L$300,5,FALSE),0)</f>
      </c>
      <c r="F212" s="10">
        <f>D212*E212</f>
      </c>
      <c r="G212" s="8"/>
    </row>
    <row r="213" ht="21" customHeight="1" spans="1:7" x14ac:dyDescent="0.25">
      <c r="A213" s="8"/>
      <c r="B213" s="8"/>
      <c r="C213" s="8"/>
      <c r="D213" s="8"/>
      <c r="E213" s="10">
        <f>IFERROR(VLOOKUP(C213,'Inventory Master'!$A$3:$L$300,5,FALSE),0)</f>
      </c>
      <c r="F213" s="10">
        <f>D213*E213</f>
      </c>
      <c r="G213" s="8"/>
    </row>
    <row r="214" ht="21" customHeight="1" spans="1:7" x14ac:dyDescent="0.25">
      <c r="A214" s="8"/>
      <c r="B214" s="8"/>
      <c r="C214" s="8"/>
      <c r="D214" s="8"/>
      <c r="E214" s="10">
        <f>IFERROR(VLOOKUP(C214,'Inventory Master'!$A$3:$L$300,5,FALSE),0)</f>
      </c>
      <c r="F214" s="10">
        <f>D214*E214</f>
      </c>
      <c r="G214" s="8"/>
    </row>
    <row r="215" ht="21" customHeight="1" spans="1:7" x14ac:dyDescent="0.25">
      <c r="A215" s="8"/>
      <c r="B215" s="8"/>
      <c r="C215" s="8"/>
      <c r="D215" s="8"/>
      <c r="E215" s="10">
        <f>IFERROR(VLOOKUP(C215,'Inventory Master'!$A$3:$L$300,5,FALSE),0)</f>
      </c>
      <c r="F215" s="10">
        <f>D215*E215</f>
      </c>
      <c r="G215" s="8"/>
    </row>
    <row r="216" ht="21" customHeight="1" spans="1:7" x14ac:dyDescent="0.25">
      <c r="A216" s="8"/>
      <c r="B216" s="8"/>
      <c r="C216" s="8"/>
      <c r="D216" s="8"/>
      <c r="E216" s="10">
        <f>IFERROR(VLOOKUP(C216,'Inventory Master'!$A$3:$L$300,5,FALSE),0)</f>
      </c>
      <c r="F216" s="10">
        <f>D216*E216</f>
      </c>
      <c r="G216" s="8"/>
    </row>
    <row r="217" ht="21" customHeight="1" spans="1:7" x14ac:dyDescent="0.25">
      <c r="A217" s="8"/>
      <c r="B217" s="8"/>
      <c r="C217" s="8"/>
      <c r="D217" s="8"/>
      <c r="E217" s="10">
        <f>IFERROR(VLOOKUP(C217,'Inventory Master'!$A$3:$L$300,5,FALSE),0)</f>
      </c>
      <c r="F217" s="10">
        <f>D217*E217</f>
      </c>
      <c r="G217" s="8"/>
    </row>
    <row r="218" ht="21" customHeight="1" spans="1:7" x14ac:dyDescent="0.25">
      <c r="A218" s="8"/>
      <c r="B218" s="8"/>
      <c r="C218" s="8"/>
      <c r="D218" s="8"/>
      <c r="E218" s="10">
        <f>IFERROR(VLOOKUP(C218,'Inventory Master'!$A$3:$L$300,5,FALSE),0)</f>
      </c>
      <c r="F218" s="10">
        <f>D218*E218</f>
      </c>
      <c r="G218" s="8"/>
    </row>
    <row r="219" ht="21" customHeight="1" spans="1:7" x14ac:dyDescent="0.25">
      <c r="A219" s="8"/>
      <c r="B219" s="8"/>
      <c r="C219" s="8"/>
      <c r="D219" s="8"/>
      <c r="E219" s="10">
        <f>IFERROR(VLOOKUP(C219,'Inventory Master'!$A$3:$L$300,5,FALSE),0)</f>
      </c>
      <c r="F219" s="10">
        <f>D219*E219</f>
      </c>
      <c r="G219" s="8"/>
    </row>
    <row r="220" ht="21" customHeight="1" spans="1:7" x14ac:dyDescent="0.25">
      <c r="A220" s="8"/>
      <c r="B220" s="8"/>
      <c r="C220" s="8"/>
      <c r="D220" s="8"/>
      <c r="E220" s="10">
        <f>IFERROR(VLOOKUP(C220,'Inventory Master'!$A$3:$L$300,5,FALSE),0)</f>
      </c>
      <c r="F220" s="10">
        <f>D220*E220</f>
      </c>
      <c r="G220" s="8"/>
    </row>
    <row r="221" ht="21" customHeight="1" spans="1:7" x14ac:dyDescent="0.25">
      <c r="A221" s="8"/>
      <c r="B221" s="8"/>
      <c r="C221" s="8"/>
      <c r="D221" s="8"/>
      <c r="E221" s="10">
        <f>IFERROR(VLOOKUP(C221,'Inventory Master'!$A$3:$L$300,5,FALSE),0)</f>
      </c>
      <c r="F221" s="10">
        <f>D221*E221</f>
      </c>
      <c r="G221" s="8"/>
    </row>
    <row r="222" ht="21" customHeight="1" spans="1:7" x14ac:dyDescent="0.25">
      <c r="A222" s="8"/>
      <c r="B222" s="8"/>
      <c r="C222" s="8"/>
      <c r="D222" s="8"/>
      <c r="E222" s="10">
        <f>IFERROR(VLOOKUP(C222,'Inventory Master'!$A$3:$L$300,5,FALSE),0)</f>
      </c>
      <c r="F222" s="10">
        <f>D222*E222</f>
      </c>
      <c r="G222" s="8"/>
    </row>
    <row r="223" ht="21" customHeight="1" spans="1:7" x14ac:dyDescent="0.25">
      <c r="A223" s="8"/>
      <c r="B223" s="8"/>
      <c r="C223" s="8"/>
      <c r="D223" s="8"/>
      <c r="E223" s="10">
        <f>IFERROR(VLOOKUP(C223,'Inventory Master'!$A$3:$L$300,5,FALSE),0)</f>
      </c>
      <c r="F223" s="10">
        <f>D223*E223</f>
      </c>
      <c r="G223" s="8"/>
    </row>
    <row r="224" ht="21" customHeight="1" spans="1:7" x14ac:dyDescent="0.25">
      <c r="A224" s="8"/>
      <c r="B224" s="8"/>
      <c r="C224" s="8"/>
      <c r="D224" s="8"/>
      <c r="E224" s="10">
        <f>IFERROR(VLOOKUP(C224,'Inventory Master'!$A$3:$L$300,5,FALSE),0)</f>
      </c>
      <c r="F224" s="10">
        <f>D224*E224</f>
      </c>
      <c r="G224" s="8"/>
    </row>
    <row r="225" ht="21" customHeight="1" spans="1:7" x14ac:dyDescent="0.25">
      <c r="A225" s="8"/>
      <c r="B225" s="8"/>
      <c r="C225" s="8"/>
      <c r="D225" s="8"/>
      <c r="E225" s="10">
        <f>IFERROR(VLOOKUP(C225,'Inventory Master'!$A$3:$L$300,5,FALSE),0)</f>
      </c>
      <c r="F225" s="10">
        <f>D225*E225</f>
      </c>
      <c r="G225" s="8"/>
    </row>
    <row r="226" ht="21" customHeight="1" spans="1:7" x14ac:dyDescent="0.25">
      <c r="A226" s="8"/>
      <c r="B226" s="8"/>
      <c r="C226" s="8"/>
      <c r="D226" s="8"/>
      <c r="E226" s="10">
        <f>IFERROR(VLOOKUP(C226,'Inventory Master'!$A$3:$L$300,5,FALSE),0)</f>
      </c>
      <c r="F226" s="10">
        <f>D226*E226</f>
      </c>
      <c r="G226" s="8"/>
    </row>
    <row r="227" ht="21" customHeight="1" spans="1:7" x14ac:dyDescent="0.25">
      <c r="A227" s="8"/>
      <c r="B227" s="8"/>
      <c r="C227" s="8"/>
      <c r="D227" s="8"/>
      <c r="E227" s="10">
        <f>IFERROR(VLOOKUP(C227,'Inventory Master'!$A$3:$L$300,5,FALSE),0)</f>
      </c>
      <c r="F227" s="10">
        <f>D227*E227</f>
      </c>
      <c r="G227" s="8"/>
    </row>
    <row r="228" ht="21" customHeight="1" spans="1:7" x14ac:dyDescent="0.25">
      <c r="A228" s="8"/>
      <c r="B228" s="8"/>
      <c r="C228" s="8"/>
      <c r="D228" s="8"/>
      <c r="E228" s="10">
        <f>IFERROR(VLOOKUP(C228,'Inventory Master'!$A$3:$L$300,5,FALSE),0)</f>
      </c>
      <c r="F228" s="10">
        <f>D228*E228</f>
      </c>
      <c r="G228" s="8"/>
    </row>
    <row r="229" ht="21" customHeight="1" spans="1:7" x14ac:dyDescent="0.25">
      <c r="A229" s="8"/>
      <c r="B229" s="8"/>
      <c r="C229" s="8"/>
      <c r="D229" s="8"/>
      <c r="E229" s="10">
        <f>IFERROR(VLOOKUP(C229,'Inventory Master'!$A$3:$L$300,5,FALSE),0)</f>
      </c>
      <c r="F229" s="10">
        <f>D229*E229</f>
      </c>
      <c r="G229" s="8"/>
    </row>
    <row r="230" ht="21" customHeight="1" spans="1:7" x14ac:dyDescent="0.25">
      <c r="A230" s="8"/>
      <c r="B230" s="8"/>
      <c r="C230" s="8"/>
      <c r="D230" s="8"/>
      <c r="E230" s="10">
        <f>IFERROR(VLOOKUP(C230,'Inventory Master'!$A$3:$L$300,5,FALSE),0)</f>
      </c>
      <c r="F230" s="10">
        <f>D230*E230</f>
      </c>
      <c r="G230" s="8"/>
    </row>
    <row r="231" ht="21" customHeight="1" spans="1:7" x14ac:dyDescent="0.25">
      <c r="A231" s="8"/>
      <c r="B231" s="8"/>
      <c r="C231" s="8"/>
      <c r="D231" s="8"/>
      <c r="E231" s="10">
        <f>IFERROR(VLOOKUP(C231,'Inventory Master'!$A$3:$L$300,5,FALSE),0)</f>
      </c>
      <c r="F231" s="10">
        <f>D231*E231</f>
      </c>
      <c r="G231" s="8"/>
    </row>
    <row r="232" ht="21" customHeight="1" spans="1:7" x14ac:dyDescent="0.25">
      <c r="A232" s="8"/>
      <c r="B232" s="8"/>
      <c r="C232" s="8"/>
      <c r="D232" s="8"/>
      <c r="E232" s="10">
        <f>IFERROR(VLOOKUP(C232,'Inventory Master'!$A$3:$L$300,5,FALSE),0)</f>
      </c>
      <c r="F232" s="10">
        <f>D232*E232</f>
      </c>
      <c r="G232" s="8"/>
    </row>
    <row r="233" ht="21" customHeight="1" spans="1:7" x14ac:dyDescent="0.25">
      <c r="A233" s="8"/>
      <c r="B233" s="8"/>
      <c r="C233" s="8"/>
      <c r="D233" s="8"/>
      <c r="E233" s="10">
        <f>IFERROR(VLOOKUP(C233,'Inventory Master'!$A$3:$L$300,5,FALSE),0)</f>
      </c>
      <c r="F233" s="10">
        <f>D233*E233</f>
      </c>
      <c r="G233" s="8"/>
    </row>
    <row r="234" ht="21" customHeight="1" spans="1:7" x14ac:dyDescent="0.25">
      <c r="A234" s="8"/>
      <c r="B234" s="8"/>
      <c r="C234" s="8"/>
      <c r="D234" s="8"/>
      <c r="E234" s="10">
        <f>IFERROR(VLOOKUP(C234,'Inventory Master'!$A$3:$L$300,5,FALSE),0)</f>
      </c>
      <c r="F234" s="10">
        <f>D234*E234</f>
      </c>
      <c r="G234" s="8"/>
    </row>
    <row r="235" ht="21" customHeight="1" spans="1:7" x14ac:dyDescent="0.25">
      <c r="A235" s="8"/>
      <c r="B235" s="8"/>
      <c r="C235" s="8"/>
      <c r="D235" s="8"/>
      <c r="E235" s="10">
        <f>IFERROR(VLOOKUP(C235,'Inventory Master'!$A$3:$L$300,5,FALSE),0)</f>
      </c>
      <c r="F235" s="10">
        <f>D235*E235</f>
      </c>
      <c r="G235" s="8"/>
    </row>
    <row r="236" ht="21" customHeight="1" spans="1:7" x14ac:dyDescent="0.25">
      <c r="A236" s="8"/>
      <c r="B236" s="8"/>
      <c r="C236" s="8"/>
      <c r="D236" s="8"/>
      <c r="E236" s="10">
        <f>IFERROR(VLOOKUP(C236,'Inventory Master'!$A$3:$L$300,5,FALSE),0)</f>
      </c>
      <c r="F236" s="10">
        <f>D236*E236</f>
      </c>
      <c r="G236" s="8"/>
    </row>
    <row r="237" ht="21" customHeight="1" spans="1:7" x14ac:dyDescent="0.25">
      <c r="A237" s="8"/>
      <c r="B237" s="8"/>
      <c r="C237" s="8"/>
      <c r="D237" s="8"/>
      <c r="E237" s="10">
        <f>IFERROR(VLOOKUP(C237,'Inventory Master'!$A$3:$L$300,5,FALSE),0)</f>
      </c>
      <c r="F237" s="10">
        <f>D237*E237</f>
      </c>
      <c r="G237" s="8"/>
    </row>
    <row r="238" ht="21" customHeight="1" spans="1:7" x14ac:dyDescent="0.25">
      <c r="A238" s="8"/>
      <c r="B238" s="8"/>
      <c r="C238" s="8"/>
      <c r="D238" s="8"/>
      <c r="E238" s="10">
        <f>IFERROR(VLOOKUP(C238,'Inventory Master'!$A$3:$L$300,5,FALSE),0)</f>
      </c>
      <c r="F238" s="10">
        <f>D238*E238</f>
      </c>
      <c r="G238" s="8"/>
    </row>
    <row r="239" ht="21" customHeight="1" spans="1:7" x14ac:dyDescent="0.25">
      <c r="A239" s="8"/>
      <c r="B239" s="8"/>
      <c r="C239" s="8"/>
      <c r="D239" s="8"/>
      <c r="E239" s="10">
        <f>IFERROR(VLOOKUP(C239,'Inventory Master'!$A$3:$L$300,5,FALSE),0)</f>
      </c>
      <c r="F239" s="10">
        <f>D239*E239</f>
      </c>
      <c r="G239" s="8"/>
    </row>
    <row r="240" ht="21" customHeight="1" spans="1:7" x14ac:dyDescent="0.25">
      <c r="A240" s="8"/>
      <c r="B240" s="8"/>
      <c r="C240" s="8"/>
      <c r="D240" s="8"/>
      <c r="E240" s="10">
        <f>IFERROR(VLOOKUP(C240,'Inventory Master'!$A$3:$L$300,5,FALSE),0)</f>
      </c>
      <c r="F240" s="10">
        <f>D240*E240</f>
      </c>
      <c r="G240" s="8"/>
    </row>
    <row r="241" ht="21" customHeight="1" spans="1:7" x14ac:dyDescent="0.25">
      <c r="A241" s="8"/>
      <c r="B241" s="8"/>
      <c r="C241" s="8"/>
      <c r="D241" s="8"/>
      <c r="E241" s="10">
        <f>IFERROR(VLOOKUP(C241,'Inventory Master'!$A$3:$L$300,5,FALSE),0)</f>
      </c>
      <c r="F241" s="10">
        <f>D241*E241</f>
      </c>
      <c r="G241" s="8"/>
    </row>
    <row r="242" ht="21" customHeight="1" spans="1:7" x14ac:dyDescent="0.25">
      <c r="A242" s="8"/>
      <c r="B242" s="8"/>
      <c r="C242" s="8"/>
      <c r="D242" s="8"/>
      <c r="E242" s="10">
        <f>IFERROR(VLOOKUP(C242,'Inventory Master'!$A$3:$L$300,5,FALSE),0)</f>
      </c>
      <c r="F242" s="10">
        <f>D242*E242</f>
      </c>
      <c r="G242" s="8"/>
    </row>
    <row r="243" ht="21" customHeight="1" spans="1:7" x14ac:dyDescent="0.25">
      <c r="A243" s="8"/>
      <c r="B243" s="8"/>
      <c r="C243" s="8"/>
      <c r="D243" s="8"/>
      <c r="E243" s="10">
        <f>IFERROR(VLOOKUP(C243,'Inventory Master'!$A$3:$L$300,5,FALSE),0)</f>
      </c>
      <c r="F243" s="10">
        <f>D243*E243</f>
      </c>
      <c r="G243" s="8"/>
    </row>
    <row r="244" ht="21" customHeight="1" spans="1:7" x14ac:dyDescent="0.25">
      <c r="A244" s="8"/>
      <c r="B244" s="8"/>
      <c r="C244" s="8"/>
      <c r="D244" s="8"/>
      <c r="E244" s="10">
        <f>IFERROR(VLOOKUP(C244,'Inventory Master'!$A$3:$L$300,5,FALSE),0)</f>
      </c>
      <c r="F244" s="10">
        <f>D244*E244</f>
      </c>
      <c r="G244" s="8"/>
    </row>
    <row r="245" ht="21" customHeight="1" spans="1:7" x14ac:dyDescent="0.25">
      <c r="A245" s="8"/>
      <c r="B245" s="8"/>
      <c r="C245" s="8"/>
      <c r="D245" s="8"/>
      <c r="E245" s="10">
        <f>IFERROR(VLOOKUP(C245,'Inventory Master'!$A$3:$L$300,5,FALSE),0)</f>
      </c>
      <c r="F245" s="10">
        <f>D245*E245</f>
      </c>
      <c r="G245" s="8"/>
    </row>
    <row r="246" ht="21" customHeight="1" spans="1:7" x14ac:dyDescent="0.25">
      <c r="A246" s="8"/>
      <c r="B246" s="8"/>
      <c r="C246" s="8"/>
      <c r="D246" s="8"/>
      <c r="E246" s="10">
        <f>IFERROR(VLOOKUP(C246,'Inventory Master'!$A$3:$L$300,5,FALSE),0)</f>
      </c>
      <c r="F246" s="10">
        <f>D246*E246</f>
      </c>
      <c r="G246" s="8"/>
    </row>
    <row r="247" ht="21" customHeight="1" spans="1:7" x14ac:dyDescent="0.25">
      <c r="A247" s="8"/>
      <c r="B247" s="8"/>
      <c r="C247" s="8"/>
      <c r="D247" s="8"/>
      <c r="E247" s="10">
        <f>IFERROR(VLOOKUP(C247,'Inventory Master'!$A$3:$L$300,5,FALSE),0)</f>
      </c>
      <c r="F247" s="10">
        <f>D247*E247</f>
      </c>
      <c r="G247" s="8"/>
    </row>
    <row r="248" ht="21" customHeight="1" spans="1:7" x14ac:dyDescent="0.25">
      <c r="A248" s="8"/>
      <c r="B248" s="8"/>
      <c r="C248" s="8"/>
      <c r="D248" s="8"/>
      <c r="E248" s="10">
        <f>IFERROR(VLOOKUP(C248,'Inventory Master'!$A$3:$L$300,5,FALSE),0)</f>
      </c>
      <c r="F248" s="10">
        <f>D248*E248</f>
      </c>
      <c r="G248" s="8"/>
    </row>
    <row r="249" ht="21" customHeight="1" spans="1:7" x14ac:dyDescent="0.25">
      <c r="A249" s="8"/>
      <c r="B249" s="8"/>
      <c r="C249" s="8"/>
      <c r="D249" s="8"/>
      <c r="E249" s="10">
        <f>IFERROR(VLOOKUP(C249,'Inventory Master'!$A$3:$L$300,5,FALSE),0)</f>
      </c>
      <c r="F249" s="10">
        <f>D249*E249</f>
      </c>
      <c r="G249" s="8"/>
    </row>
    <row r="250" ht="21" customHeight="1" spans="1:7" x14ac:dyDescent="0.25">
      <c r="A250" s="8"/>
      <c r="B250" s="8"/>
      <c r="C250" s="8"/>
      <c r="D250" s="8"/>
      <c r="E250" s="10">
        <f>IFERROR(VLOOKUP(C250,'Inventory Master'!$A$3:$L$300,5,FALSE),0)</f>
      </c>
      <c r="F250" s="10">
        <f>D250*E250</f>
      </c>
      <c r="G250" s="8"/>
    </row>
    <row r="251" ht="21" customHeight="1" spans="1:7" x14ac:dyDescent="0.25">
      <c r="A251" s="8"/>
      <c r="B251" s="8"/>
      <c r="C251" s="8"/>
      <c r="D251" s="8"/>
      <c r="E251" s="10">
        <f>IFERROR(VLOOKUP(C251,'Inventory Master'!$A$3:$L$300,5,FALSE),0)</f>
      </c>
      <c r="F251" s="10">
        <f>D251*E251</f>
      </c>
      <c r="G251" s="8"/>
    </row>
    <row r="252" ht="21" customHeight="1" spans="1:7" x14ac:dyDescent="0.25">
      <c r="A252" s="8"/>
      <c r="B252" s="8"/>
      <c r="C252" s="8"/>
      <c r="D252" s="8"/>
      <c r="E252" s="10">
        <f>IFERROR(VLOOKUP(C252,'Inventory Master'!$A$3:$L$300,5,FALSE),0)</f>
      </c>
      <c r="F252" s="10">
        <f>D252*E252</f>
      </c>
      <c r="G252" s="8"/>
    </row>
    <row r="253" ht="21" customHeight="1" spans="1:7" x14ac:dyDescent="0.25">
      <c r="A253" s="8"/>
      <c r="B253" s="8"/>
      <c r="C253" s="8"/>
      <c r="D253" s="8"/>
      <c r="E253" s="10">
        <f>IFERROR(VLOOKUP(C253,'Inventory Master'!$A$3:$L$300,5,FALSE),0)</f>
      </c>
      <c r="F253" s="10">
        <f>D253*E253</f>
      </c>
      <c r="G253" s="8"/>
    </row>
    <row r="254" ht="21" customHeight="1" spans="1:7" x14ac:dyDescent="0.25">
      <c r="A254" s="8"/>
      <c r="B254" s="8"/>
      <c r="C254" s="8"/>
      <c r="D254" s="8"/>
      <c r="E254" s="10">
        <f>IFERROR(VLOOKUP(C254,'Inventory Master'!$A$3:$L$300,5,FALSE),0)</f>
      </c>
      <c r="F254" s="10">
        <f>D254*E254</f>
      </c>
      <c r="G254" s="8"/>
    </row>
    <row r="255" ht="21" customHeight="1" spans="1:7" x14ac:dyDescent="0.25">
      <c r="A255" s="8"/>
      <c r="B255" s="8"/>
      <c r="C255" s="8"/>
      <c r="D255" s="8"/>
      <c r="E255" s="10">
        <f>IFERROR(VLOOKUP(C255,'Inventory Master'!$A$3:$L$300,5,FALSE),0)</f>
      </c>
      <c r="F255" s="10">
        <f>D255*E255</f>
      </c>
      <c r="G255" s="8"/>
    </row>
    <row r="256" ht="21" customHeight="1" spans="1:7" x14ac:dyDescent="0.25">
      <c r="A256" s="8"/>
      <c r="B256" s="8"/>
      <c r="C256" s="8"/>
      <c r="D256" s="8"/>
      <c r="E256" s="10">
        <f>IFERROR(VLOOKUP(C256,'Inventory Master'!$A$3:$L$300,5,FALSE),0)</f>
      </c>
      <c r="F256" s="10">
        <f>D256*E256</f>
      </c>
      <c r="G256" s="8"/>
    </row>
    <row r="257" ht="21" customHeight="1" spans="1:7" x14ac:dyDescent="0.25">
      <c r="A257" s="8"/>
      <c r="B257" s="8"/>
      <c r="C257" s="8"/>
      <c r="D257" s="8"/>
      <c r="E257" s="10">
        <f>IFERROR(VLOOKUP(C257,'Inventory Master'!$A$3:$L$300,5,FALSE),0)</f>
      </c>
      <c r="F257" s="10">
        <f>D257*E257</f>
      </c>
      <c r="G257" s="8"/>
    </row>
    <row r="258" ht="21" customHeight="1" spans="1:7" x14ac:dyDescent="0.25">
      <c r="A258" s="8"/>
      <c r="B258" s="8"/>
      <c r="C258" s="8"/>
      <c r="D258" s="8"/>
      <c r="E258" s="10">
        <f>IFERROR(VLOOKUP(C258,'Inventory Master'!$A$3:$L$300,5,FALSE),0)</f>
      </c>
      <c r="F258" s="10">
        <f>D258*E258</f>
      </c>
      <c r="G258" s="8"/>
    </row>
    <row r="259" ht="21" customHeight="1" spans="1:7" x14ac:dyDescent="0.25">
      <c r="A259" s="8"/>
      <c r="B259" s="8"/>
      <c r="C259" s="8"/>
      <c r="D259" s="8"/>
      <c r="E259" s="10">
        <f>IFERROR(VLOOKUP(C259,'Inventory Master'!$A$3:$L$300,5,FALSE),0)</f>
      </c>
      <c r="F259" s="10">
        <f>D259*E259</f>
      </c>
      <c r="G259" s="8"/>
    </row>
    <row r="260" ht="21" customHeight="1" spans="1:7" x14ac:dyDescent="0.25">
      <c r="A260" s="8"/>
      <c r="B260" s="8"/>
      <c r="C260" s="8"/>
      <c r="D260" s="8"/>
      <c r="E260" s="10">
        <f>IFERROR(VLOOKUP(C260,'Inventory Master'!$A$3:$L$300,5,FALSE),0)</f>
      </c>
      <c r="F260" s="10">
        <f>D260*E260</f>
      </c>
      <c r="G260" s="8"/>
    </row>
    <row r="261" ht="21" customHeight="1" spans="1:7" x14ac:dyDescent="0.25">
      <c r="A261" s="8"/>
      <c r="B261" s="8"/>
      <c r="C261" s="8"/>
      <c r="D261" s="8"/>
      <c r="E261" s="10">
        <f>IFERROR(VLOOKUP(C261,'Inventory Master'!$A$3:$L$300,5,FALSE),0)</f>
      </c>
      <c r="F261" s="10">
        <f>D261*E261</f>
      </c>
      <c r="G261" s="8"/>
    </row>
    <row r="262" ht="21" customHeight="1" spans="1:7" x14ac:dyDescent="0.25">
      <c r="A262" s="8"/>
      <c r="B262" s="8"/>
      <c r="C262" s="8"/>
      <c r="D262" s="8"/>
      <c r="E262" s="10">
        <f>IFERROR(VLOOKUP(C262,'Inventory Master'!$A$3:$L$300,5,FALSE),0)</f>
      </c>
      <c r="F262" s="10">
        <f>D262*E262</f>
      </c>
      <c r="G262" s="8"/>
    </row>
    <row r="263" ht="21" customHeight="1" spans="1:7" x14ac:dyDescent="0.25">
      <c r="A263" s="8"/>
      <c r="B263" s="8"/>
      <c r="C263" s="8"/>
      <c r="D263" s="8"/>
      <c r="E263" s="10">
        <f>IFERROR(VLOOKUP(C263,'Inventory Master'!$A$3:$L$300,5,FALSE),0)</f>
      </c>
      <c r="F263" s="10">
        <f>D263*E263</f>
      </c>
      <c r="G263" s="8"/>
    </row>
    <row r="264" ht="21" customHeight="1" spans="1:7" x14ac:dyDescent="0.25">
      <c r="A264" s="8"/>
      <c r="B264" s="8"/>
      <c r="C264" s="8"/>
      <c r="D264" s="8"/>
      <c r="E264" s="10">
        <f>IFERROR(VLOOKUP(C264,'Inventory Master'!$A$3:$L$300,5,FALSE),0)</f>
      </c>
      <c r="F264" s="10">
        <f>D264*E264</f>
      </c>
      <c r="G264" s="8"/>
    </row>
    <row r="265" ht="21" customHeight="1" spans="1:7" x14ac:dyDescent="0.25">
      <c r="A265" s="8"/>
      <c r="B265" s="8"/>
      <c r="C265" s="8"/>
      <c r="D265" s="8"/>
      <c r="E265" s="10">
        <f>IFERROR(VLOOKUP(C265,'Inventory Master'!$A$3:$L$300,5,FALSE),0)</f>
      </c>
      <c r="F265" s="10">
        <f>D265*E265</f>
      </c>
      <c r="G265" s="8"/>
    </row>
    <row r="266" ht="21" customHeight="1" spans="1:7" x14ac:dyDescent="0.25">
      <c r="A266" s="8"/>
      <c r="B266" s="8"/>
      <c r="C266" s="8"/>
      <c r="D266" s="8"/>
      <c r="E266" s="10">
        <f>IFERROR(VLOOKUP(C266,'Inventory Master'!$A$3:$L$300,5,FALSE),0)</f>
      </c>
      <c r="F266" s="10">
        <f>D266*E266</f>
      </c>
      <c r="G266" s="8"/>
    </row>
    <row r="267" ht="21" customHeight="1" spans="1:7" x14ac:dyDescent="0.25">
      <c r="A267" s="8"/>
      <c r="B267" s="8"/>
      <c r="C267" s="8"/>
      <c r="D267" s="8"/>
      <c r="E267" s="10">
        <f>IFERROR(VLOOKUP(C267,'Inventory Master'!$A$3:$L$300,5,FALSE),0)</f>
      </c>
      <c r="F267" s="10">
        <f>D267*E267</f>
      </c>
      <c r="G267" s="8"/>
    </row>
    <row r="268" ht="21" customHeight="1" spans="1:7" x14ac:dyDescent="0.25">
      <c r="A268" s="8"/>
      <c r="B268" s="8"/>
      <c r="C268" s="8"/>
      <c r="D268" s="8"/>
      <c r="E268" s="10">
        <f>IFERROR(VLOOKUP(C268,'Inventory Master'!$A$3:$L$300,5,FALSE),0)</f>
      </c>
      <c r="F268" s="10">
        <f>D268*E268</f>
      </c>
      <c r="G268" s="8"/>
    </row>
    <row r="269" ht="21" customHeight="1" spans="1:7" x14ac:dyDescent="0.25">
      <c r="A269" s="8"/>
      <c r="B269" s="8"/>
      <c r="C269" s="8"/>
      <c r="D269" s="8"/>
      <c r="E269" s="10">
        <f>IFERROR(VLOOKUP(C269,'Inventory Master'!$A$3:$L$300,5,FALSE),0)</f>
      </c>
      <c r="F269" s="10">
        <f>D269*E269</f>
      </c>
      <c r="G269" s="8"/>
    </row>
    <row r="270" ht="21" customHeight="1" spans="1:7" x14ac:dyDescent="0.25">
      <c r="A270" s="8"/>
      <c r="B270" s="8"/>
      <c r="C270" s="8"/>
      <c r="D270" s="8"/>
      <c r="E270" s="10">
        <f>IFERROR(VLOOKUP(C270,'Inventory Master'!$A$3:$L$300,5,FALSE),0)</f>
      </c>
      <c r="F270" s="10">
        <f>D270*E270</f>
      </c>
      <c r="G270" s="8"/>
    </row>
    <row r="271" ht="21" customHeight="1" spans="1:7" x14ac:dyDescent="0.25">
      <c r="A271" s="8"/>
      <c r="B271" s="8"/>
      <c r="C271" s="8"/>
      <c r="D271" s="8"/>
      <c r="E271" s="10">
        <f>IFERROR(VLOOKUP(C271,'Inventory Master'!$A$3:$L$300,5,FALSE),0)</f>
      </c>
      <c r="F271" s="10">
        <f>D271*E271</f>
      </c>
      <c r="G271" s="8"/>
    </row>
    <row r="272" ht="21" customHeight="1" spans="1:7" x14ac:dyDescent="0.25">
      <c r="A272" s="8"/>
      <c r="B272" s="8"/>
      <c r="C272" s="8"/>
      <c r="D272" s="8"/>
      <c r="E272" s="10">
        <f>IFERROR(VLOOKUP(C272,'Inventory Master'!$A$3:$L$300,5,FALSE),0)</f>
      </c>
      <c r="F272" s="10">
        <f>D272*E272</f>
      </c>
      <c r="G272" s="8"/>
    </row>
    <row r="273" ht="21" customHeight="1" spans="1:7" x14ac:dyDescent="0.25">
      <c r="A273" s="8"/>
      <c r="B273" s="8"/>
      <c r="C273" s="8"/>
      <c r="D273" s="8"/>
      <c r="E273" s="10">
        <f>IFERROR(VLOOKUP(C273,'Inventory Master'!$A$3:$L$300,5,FALSE),0)</f>
      </c>
      <c r="F273" s="10">
        <f>D273*E273</f>
      </c>
      <c r="G273" s="8"/>
    </row>
    <row r="274" ht="21" customHeight="1" spans="1:7" x14ac:dyDescent="0.25">
      <c r="A274" s="8"/>
      <c r="B274" s="8"/>
      <c r="C274" s="8"/>
      <c r="D274" s="8"/>
      <c r="E274" s="10">
        <f>IFERROR(VLOOKUP(C274,'Inventory Master'!$A$3:$L$300,5,FALSE),0)</f>
      </c>
      <c r="F274" s="10">
        <f>D274*E274</f>
      </c>
      <c r="G274" s="8"/>
    </row>
    <row r="275" ht="21" customHeight="1" spans="1:7" x14ac:dyDescent="0.25">
      <c r="A275" s="8"/>
      <c r="B275" s="8"/>
      <c r="C275" s="8"/>
      <c r="D275" s="8"/>
      <c r="E275" s="10">
        <f>IFERROR(VLOOKUP(C275,'Inventory Master'!$A$3:$L$300,5,FALSE),0)</f>
      </c>
      <c r="F275" s="10">
        <f>D275*E275</f>
      </c>
      <c r="G275" s="8"/>
    </row>
    <row r="276" ht="21" customHeight="1" spans="1:7" x14ac:dyDescent="0.25">
      <c r="A276" s="8"/>
      <c r="B276" s="8"/>
      <c r="C276" s="8"/>
      <c r="D276" s="8"/>
      <c r="E276" s="10">
        <f>IFERROR(VLOOKUP(C276,'Inventory Master'!$A$3:$L$300,5,FALSE),0)</f>
      </c>
      <c r="F276" s="10">
        <f>D276*E276</f>
      </c>
      <c r="G276" s="8"/>
    </row>
    <row r="277" ht="21" customHeight="1" spans="1:7" x14ac:dyDescent="0.25">
      <c r="A277" s="8"/>
      <c r="B277" s="8"/>
      <c r="C277" s="8"/>
      <c r="D277" s="8"/>
      <c r="E277" s="10">
        <f>IFERROR(VLOOKUP(C277,'Inventory Master'!$A$3:$L$300,5,FALSE),0)</f>
      </c>
      <c r="F277" s="10">
        <f>D277*E277</f>
      </c>
      <c r="G277" s="8"/>
    </row>
    <row r="278" ht="21" customHeight="1" spans="1:7" x14ac:dyDescent="0.25">
      <c r="A278" s="8"/>
      <c r="B278" s="8"/>
      <c r="C278" s="8"/>
      <c r="D278" s="8"/>
      <c r="E278" s="10">
        <f>IFERROR(VLOOKUP(C278,'Inventory Master'!$A$3:$L$300,5,FALSE),0)</f>
      </c>
      <c r="F278" s="10">
        <f>D278*E278</f>
      </c>
      <c r="G278" s="8"/>
    </row>
    <row r="279" ht="21" customHeight="1" spans="1:7" x14ac:dyDescent="0.25">
      <c r="A279" s="8"/>
      <c r="B279" s="8"/>
      <c r="C279" s="8"/>
      <c r="D279" s="8"/>
      <c r="E279" s="10">
        <f>IFERROR(VLOOKUP(C279,'Inventory Master'!$A$3:$L$300,5,FALSE),0)</f>
      </c>
      <c r="F279" s="10">
        <f>D279*E279</f>
      </c>
      <c r="G279" s="8"/>
    </row>
    <row r="280" ht="21" customHeight="1" spans="1:7" x14ac:dyDescent="0.25">
      <c r="A280" s="8"/>
      <c r="B280" s="8"/>
      <c r="C280" s="8"/>
      <c r="D280" s="8"/>
      <c r="E280" s="10">
        <f>IFERROR(VLOOKUP(C280,'Inventory Master'!$A$3:$L$300,5,FALSE),0)</f>
      </c>
      <c r="F280" s="10">
        <f>D280*E280</f>
      </c>
      <c r="G280" s="8"/>
    </row>
    <row r="281" ht="21" customHeight="1" spans="1:7" x14ac:dyDescent="0.25">
      <c r="A281" s="8"/>
      <c r="B281" s="8"/>
      <c r="C281" s="8"/>
      <c r="D281" s="8"/>
      <c r="E281" s="10">
        <f>IFERROR(VLOOKUP(C281,'Inventory Master'!$A$3:$L$300,5,FALSE),0)</f>
      </c>
      <c r="F281" s="10">
        <f>D281*E281</f>
      </c>
      <c r="G281" s="8"/>
    </row>
    <row r="282" ht="21" customHeight="1" spans="1:7" x14ac:dyDescent="0.25">
      <c r="A282" s="8"/>
      <c r="B282" s="8"/>
      <c r="C282" s="8"/>
      <c r="D282" s="8"/>
      <c r="E282" s="10">
        <f>IFERROR(VLOOKUP(C282,'Inventory Master'!$A$3:$L$300,5,FALSE),0)</f>
      </c>
      <c r="F282" s="10">
        <f>D282*E282</f>
      </c>
      <c r="G282" s="8"/>
    </row>
    <row r="283" ht="21" customHeight="1" spans="1:7" x14ac:dyDescent="0.25">
      <c r="A283" s="8"/>
      <c r="B283" s="8"/>
      <c r="C283" s="8"/>
      <c r="D283" s="8"/>
      <c r="E283" s="10">
        <f>IFERROR(VLOOKUP(C283,'Inventory Master'!$A$3:$L$300,5,FALSE),0)</f>
      </c>
      <c r="F283" s="10">
        <f>D283*E283</f>
      </c>
      <c r="G283" s="8"/>
    </row>
    <row r="284" ht="21" customHeight="1" spans="1:7" x14ac:dyDescent="0.25">
      <c r="A284" s="8"/>
      <c r="B284" s="8"/>
      <c r="C284" s="8"/>
      <c r="D284" s="8"/>
      <c r="E284" s="10">
        <f>IFERROR(VLOOKUP(C284,'Inventory Master'!$A$3:$L$300,5,FALSE),0)</f>
      </c>
      <c r="F284" s="10">
        <f>D284*E284</f>
      </c>
      <c r="G284" s="8"/>
    </row>
    <row r="285" ht="21" customHeight="1" spans="1:7" x14ac:dyDescent="0.25">
      <c r="A285" s="8"/>
      <c r="B285" s="8"/>
      <c r="C285" s="8"/>
      <c r="D285" s="8"/>
      <c r="E285" s="10">
        <f>IFERROR(VLOOKUP(C285,'Inventory Master'!$A$3:$L$300,5,FALSE),0)</f>
      </c>
      <c r="F285" s="10">
        <f>D285*E285</f>
      </c>
      <c r="G285" s="8"/>
    </row>
    <row r="286" ht="21" customHeight="1" spans="1:7" x14ac:dyDescent="0.25">
      <c r="A286" s="8"/>
      <c r="B286" s="8"/>
      <c r="C286" s="8"/>
      <c r="D286" s="8"/>
      <c r="E286" s="10">
        <f>IFERROR(VLOOKUP(C286,'Inventory Master'!$A$3:$L$300,5,FALSE),0)</f>
      </c>
      <c r="F286" s="10">
        <f>D286*E286</f>
      </c>
      <c r="G286" s="8"/>
    </row>
    <row r="287" ht="21" customHeight="1" spans="1:7" x14ac:dyDescent="0.25">
      <c r="A287" s="8"/>
      <c r="B287" s="8"/>
      <c r="C287" s="8"/>
      <c r="D287" s="8"/>
      <c r="E287" s="10">
        <f>IFERROR(VLOOKUP(C287,'Inventory Master'!$A$3:$L$300,5,FALSE),0)</f>
      </c>
      <c r="F287" s="10">
        <f>D287*E287</f>
      </c>
      <c r="G287" s="8"/>
    </row>
    <row r="288" ht="21" customHeight="1" spans="1:7" x14ac:dyDescent="0.25">
      <c r="A288" s="8"/>
      <c r="B288" s="8"/>
      <c r="C288" s="8"/>
      <c r="D288" s="8"/>
      <c r="E288" s="10">
        <f>IFERROR(VLOOKUP(C288,'Inventory Master'!$A$3:$L$300,5,FALSE),0)</f>
      </c>
      <c r="F288" s="10">
        <f>D288*E288</f>
      </c>
      <c r="G288" s="8"/>
    </row>
    <row r="289" ht="21" customHeight="1" spans="1:7" x14ac:dyDescent="0.25">
      <c r="A289" s="8"/>
      <c r="B289" s="8"/>
      <c r="C289" s="8"/>
      <c r="D289" s="8"/>
      <c r="E289" s="10">
        <f>IFERROR(VLOOKUP(C289,'Inventory Master'!$A$3:$L$300,5,FALSE),0)</f>
      </c>
      <c r="F289" s="10">
        <f>D289*E289</f>
      </c>
      <c r="G289" s="8"/>
    </row>
    <row r="290" ht="21" customHeight="1" spans="1:7" x14ac:dyDescent="0.25">
      <c r="A290" s="8"/>
      <c r="B290" s="8"/>
      <c r="C290" s="8"/>
      <c r="D290" s="8"/>
      <c r="E290" s="10">
        <f>IFERROR(VLOOKUP(C290,'Inventory Master'!$A$3:$L$300,5,FALSE),0)</f>
      </c>
      <c r="F290" s="10">
        <f>D290*E290</f>
      </c>
      <c r="G290" s="8"/>
    </row>
    <row r="291" ht="21" customHeight="1" spans="1:7" x14ac:dyDescent="0.25">
      <c r="A291" s="8"/>
      <c r="B291" s="8"/>
      <c r="C291" s="8"/>
      <c r="D291" s="8"/>
      <c r="E291" s="10">
        <f>IFERROR(VLOOKUP(C291,'Inventory Master'!$A$3:$L$300,5,FALSE),0)</f>
      </c>
      <c r="F291" s="10">
        <f>D291*E291</f>
      </c>
      <c r="G291" s="8"/>
    </row>
    <row r="292" ht="21" customHeight="1" spans="1:7" x14ac:dyDescent="0.25">
      <c r="A292" s="8"/>
      <c r="B292" s="8"/>
      <c r="C292" s="8"/>
      <c r="D292" s="8"/>
      <c r="E292" s="10">
        <f>IFERROR(VLOOKUP(C292,'Inventory Master'!$A$3:$L$300,5,FALSE),0)</f>
      </c>
      <c r="F292" s="10">
        <f>D292*E292</f>
      </c>
      <c r="G292" s="8"/>
    </row>
    <row r="293" ht="21" customHeight="1" spans="1:7" x14ac:dyDescent="0.25">
      <c r="A293" s="8"/>
      <c r="B293" s="8"/>
      <c r="C293" s="8"/>
      <c r="D293" s="8"/>
      <c r="E293" s="10">
        <f>IFERROR(VLOOKUP(C293,'Inventory Master'!$A$3:$L$300,5,FALSE),0)</f>
      </c>
      <c r="F293" s="10">
        <f>D293*E293</f>
      </c>
      <c r="G293" s="8"/>
    </row>
    <row r="294" ht="21" customHeight="1" spans="1:7" x14ac:dyDescent="0.25">
      <c r="A294" s="8"/>
      <c r="B294" s="8"/>
      <c r="C294" s="8"/>
      <c r="D294" s="8"/>
      <c r="E294" s="10">
        <f>IFERROR(VLOOKUP(C294,'Inventory Master'!$A$3:$L$300,5,FALSE),0)</f>
      </c>
      <c r="F294" s="10">
        <f>D294*E294</f>
      </c>
      <c r="G294" s="8"/>
    </row>
    <row r="295" ht="21" customHeight="1" spans="1:7" x14ac:dyDescent="0.25">
      <c r="A295" s="8"/>
      <c r="B295" s="8"/>
      <c r="C295" s="8"/>
      <c r="D295" s="8"/>
      <c r="E295" s="10">
        <f>IFERROR(VLOOKUP(C295,'Inventory Master'!$A$3:$L$300,5,FALSE),0)</f>
      </c>
      <c r="F295" s="10">
        <f>D295*E295</f>
      </c>
      <c r="G295" s="8"/>
    </row>
    <row r="296" ht="21" customHeight="1" spans="1:7" x14ac:dyDescent="0.25">
      <c r="A296" s="8"/>
      <c r="B296" s="8"/>
      <c r="C296" s="8"/>
      <c r="D296" s="8"/>
      <c r="E296" s="10">
        <f>IFERROR(VLOOKUP(C296,'Inventory Master'!$A$3:$L$300,5,FALSE),0)</f>
      </c>
      <c r="F296" s="10">
        <f>D296*E296</f>
      </c>
      <c r="G296" s="8"/>
    </row>
    <row r="297" ht="21" customHeight="1" spans="1:7" x14ac:dyDescent="0.25">
      <c r="A297" s="8"/>
      <c r="B297" s="8"/>
      <c r="C297" s="8"/>
      <c r="D297" s="8"/>
      <c r="E297" s="10">
        <f>IFERROR(VLOOKUP(C297,'Inventory Master'!$A$3:$L$300,5,FALSE),0)</f>
      </c>
      <c r="F297" s="10">
        <f>D297*E297</f>
      </c>
      <c r="G297" s="8"/>
    </row>
    <row r="298" ht="21" customHeight="1" spans="1:7" x14ac:dyDescent="0.25">
      <c r="A298" s="8"/>
      <c r="B298" s="8"/>
      <c r="C298" s="8"/>
      <c r="D298" s="8"/>
      <c r="E298" s="10">
        <f>IFERROR(VLOOKUP(C298,'Inventory Master'!$A$3:$L$300,5,FALSE),0)</f>
      </c>
      <c r="F298" s="10">
        <f>D298*E298</f>
      </c>
      <c r="G298" s="8"/>
    </row>
    <row r="299" ht="21" customHeight="1" spans="1:7" x14ac:dyDescent="0.25">
      <c r="A299" s="8"/>
      <c r="B299" s="8"/>
      <c r="C299" s="8"/>
      <c r="D299" s="8"/>
      <c r="E299" s="10">
        <f>IFERROR(VLOOKUP(C299,'Inventory Master'!$A$3:$L$300,5,FALSE),0)</f>
      </c>
      <c r="F299" s="10">
        <f>D299*E299</f>
      </c>
      <c r="G299" s="8"/>
    </row>
    <row r="300" ht="21" customHeight="1" spans="1:7" x14ac:dyDescent="0.25">
      <c r="A300" s="8"/>
      <c r="B300" s="8"/>
      <c r="C300" s="8"/>
      <c r="D300" s="8"/>
      <c r="E300" s="10">
        <f>IFERROR(VLOOKUP(C300,'Inventory Master'!$A$3:$L$300,5,FALSE),0)</f>
      </c>
      <c r="F300" s="10">
        <f>D300*E300</f>
      </c>
      <c r="G300" s="8"/>
    </row>
    <row r="301" ht="21" customHeight="1" spans="1:7" x14ac:dyDescent="0.25">
      <c r="A301" s="8"/>
      <c r="B301" s="8"/>
      <c r="C301" s="8"/>
      <c r="D301" s="8"/>
      <c r="E301" s="10">
        <f>IFERROR(VLOOKUP(C301,'Inventory Master'!$A$3:$L$300,5,FALSE),0)</f>
      </c>
      <c r="F301" s="10">
        <f>D301*E301</f>
      </c>
      <c r="G301" s="8"/>
    </row>
    <row r="302" ht="21" customHeight="1" spans="1:7" x14ac:dyDescent="0.25">
      <c r="A302" s="8"/>
      <c r="B302" s="8"/>
      <c r="C302" s="8"/>
      <c r="D302" s="8"/>
      <c r="E302" s="10">
        <f>IFERROR(VLOOKUP(C302,'Inventory Master'!$A$3:$L$300,5,FALSE),0)</f>
      </c>
      <c r="F302" s="10">
        <f>D302*E302</f>
      </c>
      <c r="G302" s="8"/>
    </row>
    <row r="303" ht="21" customHeight="1" spans="1:7" x14ac:dyDescent="0.25">
      <c r="A303" s="8"/>
      <c r="B303" s="8"/>
      <c r="C303" s="8"/>
      <c r="D303" s="8"/>
      <c r="E303" s="10">
        <f>IFERROR(VLOOKUP(C303,'Inventory Master'!$A$3:$L$300,5,FALSE),0)</f>
      </c>
      <c r="F303" s="10">
        <f>D303*E303</f>
      </c>
      <c r="G303" s="8"/>
    </row>
    <row r="304" ht="21" customHeight="1" spans="1:7" x14ac:dyDescent="0.25">
      <c r="A304" s="8"/>
      <c r="B304" s="8"/>
      <c r="C304" s="8"/>
      <c r="D304" s="8"/>
      <c r="E304" s="10">
        <f>IFERROR(VLOOKUP(C304,'Inventory Master'!$A$3:$L$300,5,FALSE),0)</f>
      </c>
      <c r="F304" s="10">
        <f>D304*E304</f>
      </c>
      <c r="G304" s="8"/>
    </row>
    <row r="305" ht="21" customHeight="1" spans="1:7" x14ac:dyDescent="0.25">
      <c r="A305" s="8"/>
      <c r="B305" s="8"/>
      <c r="C305" s="8"/>
      <c r="D305" s="8"/>
      <c r="E305" s="10">
        <f>IFERROR(VLOOKUP(C305,'Inventory Master'!$A$3:$L$300,5,FALSE),0)</f>
      </c>
      <c r="F305" s="10">
        <f>D305*E305</f>
      </c>
      <c r="G305" s="8"/>
    </row>
    <row r="306" ht="21" customHeight="1" spans="1:7" x14ac:dyDescent="0.25">
      <c r="A306" s="8"/>
      <c r="B306" s="8"/>
      <c r="C306" s="8"/>
      <c r="D306" s="8"/>
      <c r="E306" s="10">
        <f>IFERROR(VLOOKUP(C306,'Inventory Master'!$A$3:$L$300,5,FALSE),0)</f>
      </c>
      <c r="F306" s="10">
        <f>D306*E306</f>
      </c>
      <c r="G306" s="8"/>
    </row>
    <row r="307" ht="21" customHeight="1" spans="1:7" x14ac:dyDescent="0.25">
      <c r="A307" s="8"/>
      <c r="B307" s="8"/>
      <c r="C307" s="8"/>
      <c r="D307" s="8"/>
      <c r="E307" s="10">
        <f>IFERROR(VLOOKUP(C307,'Inventory Master'!$A$3:$L$300,5,FALSE),0)</f>
      </c>
      <c r="F307" s="10">
        <f>D307*E307</f>
      </c>
      <c r="G307" s="8"/>
    </row>
    <row r="308" ht="21" customHeight="1" spans="1:7" x14ac:dyDescent="0.25">
      <c r="A308" s="8"/>
      <c r="B308" s="8"/>
      <c r="C308" s="8"/>
      <c r="D308" s="8"/>
      <c r="E308" s="10">
        <f>IFERROR(VLOOKUP(C308,'Inventory Master'!$A$3:$L$300,5,FALSE),0)</f>
      </c>
      <c r="F308" s="10">
        <f>D308*E308</f>
      </c>
      <c r="G308" s="8"/>
    </row>
    <row r="309" ht="21" customHeight="1" spans="1:7" x14ac:dyDescent="0.25">
      <c r="A309" s="8"/>
      <c r="B309" s="8"/>
      <c r="C309" s="8"/>
      <c r="D309" s="8"/>
      <c r="E309" s="10">
        <f>IFERROR(VLOOKUP(C309,'Inventory Master'!$A$3:$L$300,5,FALSE),0)</f>
      </c>
      <c r="F309" s="10">
        <f>D309*E309</f>
      </c>
      <c r="G309" s="8"/>
    </row>
    <row r="310" ht="21" customHeight="1" spans="1:7" x14ac:dyDescent="0.25">
      <c r="A310" s="8"/>
      <c r="B310" s="8"/>
      <c r="C310" s="8"/>
      <c r="D310" s="8"/>
      <c r="E310" s="10">
        <f>IFERROR(VLOOKUP(C310,'Inventory Master'!$A$3:$L$300,5,FALSE),0)</f>
      </c>
      <c r="F310" s="10">
        <f>D310*E310</f>
      </c>
      <c r="G310" s="8"/>
    </row>
    <row r="311" ht="21" customHeight="1" spans="1:7" x14ac:dyDescent="0.25">
      <c r="A311" s="8"/>
      <c r="B311" s="8"/>
      <c r="C311" s="8"/>
      <c r="D311" s="8"/>
      <c r="E311" s="10">
        <f>IFERROR(VLOOKUP(C311,'Inventory Master'!$A$3:$L$300,5,FALSE),0)</f>
      </c>
      <c r="F311" s="10">
        <f>D311*E311</f>
      </c>
      <c r="G311" s="8"/>
    </row>
    <row r="312" ht="21" customHeight="1" spans="1:7" x14ac:dyDescent="0.25">
      <c r="A312" s="8"/>
      <c r="B312" s="8"/>
      <c r="C312" s="8"/>
      <c r="D312" s="8"/>
      <c r="E312" s="10">
        <f>IFERROR(VLOOKUP(C312,'Inventory Master'!$A$3:$L$300,5,FALSE),0)</f>
      </c>
      <c r="F312" s="10">
        <f>D312*E312</f>
      </c>
      <c r="G312" s="8"/>
    </row>
    <row r="313" ht="21" customHeight="1" spans="1:7" x14ac:dyDescent="0.25">
      <c r="A313" s="8"/>
      <c r="B313" s="8"/>
      <c r="C313" s="8"/>
      <c r="D313" s="8"/>
      <c r="E313" s="10">
        <f>IFERROR(VLOOKUP(C313,'Inventory Master'!$A$3:$L$300,5,FALSE),0)</f>
      </c>
      <c r="F313" s="10">
        <f>D313*E313</f>
      </c>
      <c r="G313" s="8"/>
    </row>
    <row r="314" ht="21" customHeight="1" spans="1:7" x14ac:dyDescent="0.25">
      <c r="A314" s="8"/>
      <c r="B314" s="8"/>
      <c r="C314" s="8"/>
      <c r="D314" s="8"/>
      <c r="E314" s="10">
        <f>IFERROR(VLOOKUP(C314,'Inventory Master'!$A$3:$L$300,5,FALSE),0)</f>
      </c>
      <c r="F314" s="10">
        <f>D314*E314</f>
      </c>
      <c r="G314" s="8"/>
    </row>
    <row r="315" ht="21" customHeight="1" spans="1:7" x14ac:dyDescent="0.25">
      <c r="A315" s="8"/>
      <c r="B315" s="8"/>
      <c r="C315" s="8"/>
      <c r="D315" s="8"/>
      <c r="E315" s="10">
        <f>IFERROR(VLOOKUP(C315,'Inventory Master'!$A$3:$L$300,5,FALSE),0)</f>
      </c>
      <c r="F315" s="10">
        <f>D315*E315</f>
      </c>
      <c r="G315" s="8"/>
    </row>
    <row r="316" ht="21" customHeight="1" spans="1:7" x14ac:dyDescent="0.25">
      <c r="A316" s="8"/>
      <c r="B316" s="8"/>
      <c r="C316" s="8"/>
      <c r="D316" s="8"/>
      <c r="E316" s="10">
        <f>IFERROR(VLOOKUP(C316,'Inventory Master'!$A$3:$L$300,5,FALSE),0)</f>
      </c>
      <c r="F316" s="10">
        <f>D316*E316</f>
      </c>
      <c r="G316" s="8"/>
    </row>
    <row r="317" ht="21" customHeight="1" spans="1:7" x14ac:dyDescent="0.25">
      <c r="A317" s="8"/>
      <c r="B317" s="8"/>
      <c r="C317" s="8"/>
      <c r="D317" s="8"/>
      <c r="E317" s="10">
        <f>IFERROR(VLOOKUP(C317,'Inventory Master'!$A$3:$L$300,5,FALSE),0)</f>
      </c>
      <c r="F317" s="10">
        <f>D317*E317</f>
      </c>
      <c r="G317" s="8"/>
    </row>
    <row r="318" ht="21" customHeight="1" spans="1:7" x14ac:dyDescent="0.25">
      <c r="A318" s="8"/>
      <c r="B318" s="8"/>
      <c r="C318" s="8"/>
      <c r="D318" s="8"/>
      <c r="E318" s="10">
        <f>IFERROR(VLOOKUP(C318,'Inventory Master'!$A$3:$L$300,5,FALSE),0)</f>
      </c>
      <c r="F318" s="10">
        <f>D318*E318</f>
      </c>
      <c r="G318" s="8"/>
    </row>
    <row r="319" ht="21" customHeight="1" spans="1:7" x14ac:dyDescent="0.25">
      <c r="A319" s="8"/>
      <c r="B319" s="8"/>
      <c r="C319" s="8"/>
      <c r="D319" s="8"/>
      <c r="E319" s="10">
        <f>IFERROR(VLOOKUP(C319,'Inventory Master'!$A$3:$L$300,5,FALSE),0)</f>
      </c>
      <c r="F319" s="10">
        <f>D319*E319</f>
      </c>
      <c r="G319" s="8"/>
    </row>
    <row r="320" ht="21" customHeight="1" spans="1:7" x14ac:dyDescent="0.25">
      <c r="A320" s="8"/>
      <c r="B320" s="8"/>
      <c r="C320" s="8"/>
      <c r="D320" s="8"/>
      <c r="E320" s="10">
        <f>IFERROR(VLOOKUP(C320,'Inventory Master'!$A$3:$L$300,5,FALSE),0)</f>
      </c>
      <c r="F320" s="10">
        <f>D320*E320</f>
      </c>
      <c r="G320" s="8"/>
    </row>
    <row r="321" ht="21" customHeight="1" spans="1:7" x14ac:dyDescent="0.25">
      <c r="A321" s="8"/>
      <c r="B321" s="8"/>
      <c r="C321" s="8"/>
      <c r="D321" s="8"/>
      <c r="E321" s="10">
        <f>IFERROR(VLOOKUP(C321,'Inventory Master'!$A$3:$L$300,5,FALSE),0)</f>
      </c>
      <c r="F321" s="10">
        <f>D321*E321</f>
      </c>
      <c r="G321" s="8"/>
    </row>
    <row r="322" ht="21" customHeight="1" spans="1:7" x14ac:dyDescent="0.25">
      <c r="A322" s="8"/>
      <c r="B322" s="8"/>
      <c r="C322" s="8"/>
      <c r="D322" s="8"/>
      <c r="E322" s="10">
        <f>IFERROR(VLOOKUP(C322,'Inventory Master'!$A$3:$L$300,5,FALSE),0)</f>
      </c>
      <c r="F322" s="10">
        <f>D322*E322</f>
      </c>
      <c r="G322" s="8"/>
    </row>
    <row r="323" ht="21" customHeight="1" spans="1:7" x14ac:dyDescent="0.25">
      <c r="A323" s="8"/>
      <c r="B323" s="8"/>
      <c r="C323" s="8"/>
      <c r="D323" s="8"/>
      <c r="E323" s="10">
        <f>IFERROR(VLOOKUP(C323,'Inventory Master'!$A$3:$L$300,5,FALSE),0)</f>
      </c>
      <c r="F323" s="10">
        <f>D323*E323</f>
      </c>
      <c r="G323" s="8"/>
    </row>
    <row r="324" ht="21" customHeight="1" spans="1:7" x14ac:dyDescent="0.25">
      <c r="A324" s="8"/>
      <c r="B324" s="8"/>
      <c r="C324" s="8"/>
      <c r="D324" s="8"/>
      <c r="E324" s="10">
        <f>IFERROR(VLOOKUP(C324,'Inventory Master'!$A$3:$L$300,5,FALSE),0)</f>
      </c>
      <c r="F324" s="10">
        <f>D324*E324</f>
      </c>
      <c r="G324" s="8"/>
    </row>
    <row r="325" ht="21" customHeight="1" spans="1:7" x14ac:dyDescent="0.25">
      <c r="A325" s="8"/>
      <c r="B325" s="8"/>
      <c r="C325" s="8"/>
      <c r="D325" s="8"/>
      <c r="E325" s="10">
        <f>IFERROR(VLOOKUP(C325,'Inventory Master'!$A$3:$L$300,5,FALSE),0)</f>
      </c>
      <c r="F325" s="10">
        <f>D325*E325</f>
      </c>
      <c r="G325" s="8"/>
    </row>
    <row r="326" ht="21" customHeight="1" spans="1:7" x14ac:dyDescent="0.25">
      <c r="A326" s="8"/>
      <c r="B326" s="8"/>
      <c r="C326" s="8"/>
      <c r="D326" s="8"/>
      <c r="E326" s="10">
        <f>IFERROR(VLOOKUP(C326,'Inventory Master'!$A$3:$L$300,5,FALSE),0)</f>
      </c>
      <c r="F326" s="10">
        <f>D326*E326</f>
      </c>
      <c r="G326" s="8"/>
    </row>
    <row r="327" ht="21" customHeight="1" spans="1:7" x14ac:dyDescent="0.25">
      <c r="A327" s="8"/>
      <c r="B327" s="8"/>
      <c r="C327" s="8"/>
      <c r="D327" s="8"/>
      <c r="E327" s="10">
        <f>IFERROR(VLOOKUP(C327,'Inventory Master'!$A$3:$L$300,5,FALSE),0)</f>
      </c>
      <c r="F327" s="10">
        <f>D327*E327</f>
      </c>
      <c r="G327" s="8"/>
    </row>
    <row r="328" ht="21" customHeight="1" spans="1:7" x14ac:dyDescent="0.25">
      <c r="A328" s="8"/>
      <c r="B328" s="8"/>
      <c r="C328" s="8"/>
      <c r="D328" s="8"/>
      <c r="E328" s="10">
        <f>IFERROR(VLOOKUP(C328,'Inventory Master'!$A$3:$L$300,5,FALSE),0)</f>
      </c>
      <c r="F328" s="10">
        <f>D328*E328</f>
      </c>
      <c r="G328" s="8"/>
    </row>
    <row r="329" ht="21" customHeight="1" spans="1:7" x14ac:dyDescent="0.25">
      <c r="A329" s="8"/>
      <c r="B329" s="8"/>
      <c r="C329" s="8"/>
      <c r="D329" s="8"/>
      <c r="E329" s="10">
        <f>IFERROR(VLOOKUP(C329,'Inventory Master'!$A$3:$L$300,5,FALSE),0)</f>
      </c>
      <c r="F329" s="10">
        <f>D329*E329</f>
      </c>
      <c r="G329" s="8"/>
    </row>
    <row r="330" ht="21" customHeight="1" spans="1:7" x14ac:dyDescent="0.25">
      <c r="A330" s="8"/>
      <c r="B330" s="8"/>
      <c r="C330" s="8"/>
      <c r="D330" s="8"/>
      <c r="E330" s="10">
        <f>IFERROR(VLOOKUP(C330,'Inventory Master'!$A$3:$L$300,5,FALSE),0)</f>
      </c>
      <c r="F330" s="10">
        <f>D330*E330</f>
      </c>
      <c r="G330" s="8"/>
    </row>
    <row r="331" ht="21" customHeight="1" spans="1:7" x14ac:dyDescent="0.25">
      <c r="A331" s="8"/>
      <c r="B331" s="8"/>
      <c r="C331" s="8"/>
      <c r="D331" s="8"/>
      <c r="E331" s="10">
        <f>IFERROR(VLOOKUP(C331,'Inventory Master'!$A$3:$L$300,5,FALSE),0)</f>
      </c>
      <c r="F331" s="10">
        <f>D331*E331</f>
      </c>
      <c r="G331" s="8"/>
    </row>
    <row r="332" ht="21" customHeight="1" spans="1:7" x14ac:dyDescent="0.25">
      <c r="A332" s="8"/>
      <c r="B332" s="8"/>
      <c r="C332" s="8"/>
      <c r="D332" s="8"/>
      <c r="E332" s="10">
        <f>IFERROR(VLOOKUP(C332,'Inventory Master'!$A$3:$L$300,5,FALSE),0)</f>
      </c>
      <c r="F332" s="10">
        <f>D332*E332</f>
      </c>
      <c r="G332" s="8"/>
    </row>
    <row r="333" ht="21" customHeight="1" spans="1:7" x14ac:dyDescent="0.25">
      <c r="A333" s="8"/>
      <c r="B333" s="8"/>
      <c r="C333" s="8"/>
      <c r="D333" s="8"/>
      <c r="E333" s="10">
        <f>IFERROR(VLOOKUP(C333,'Inventory Master'!$A$3:$L$300,5,FALSE),0)</f>
      </c>
      <c r="F333" s="10">
        <f>D333*E333</f>
      </c>
      <c r="G333" s="8"/>
    </row>
    <row r="334" ht="21" customHeight="1" spans="1:7" x14ac:dyDescent="0.25">
      <c r="A334" s="8"/>
      <c r="B334" s="8"/>
      <c r="C334" s="8"/>
      <c r="D334" s="8"/>
      <c r="E334" s="10">
        <f>IFERROR(VLOOKUP(C334,'Inventory Master'!$A$3:$L$300,5,FALSE),0)</f>
      </c>
      <c r="F334" s="10">
        <f>D334*E334</f>
      </c>
      <c r="G334" s="8"/>
    </row>
    <row r="335" ht="21" customHeight="1" spans="1:7" x14ac:dyDescent="0.25">
      <c r="A335" s="8"/>
      <c r="B335" s="8"/>
      <c r="C335" s="8"/>
      <c r="D335" s="8"/>
      <c r="E335" s="10">
        <f>IFERROR(VLOOKUP(C335,'Inventory Master'!$A$3:$L$300,5,FALSE),0)</f>
      </c>
      <c r="F335" s="10">
        <f>D335*E335</f>
      </c>
      <c r="G335" s="8"/>
    </row>
    <row r="336" ht="21" customHeight="1" spans="1:7" x14ac:dyDescent="0.25">
      <c r="A336" s="8"/>
      <c r="B336" s="8"/>
      <c r="C336" s="8"/>
      <c r="D336" s="8"/>
      <c r="E336" s="10">
        <f>IFERROR(VLOOKUP(C336,'Inventory Master'!$A$3:$L$300,5,FALSE),0)</f>
      </c>
      <c r="F336" s="10">
        <f>D336*E336</f>
      </c>
      <c r="G336" s="8"/>
    </row>
    <row r="337" ht="21" customHeight="1" spans="1:7" x14ac:dyDescent="0.25">
      <c r="A337" s="8"/>
      <c r="B337" s="8"/>
      <c r="C337" s="8"/>
      <c r="D337" s="8"/>
      <c r="E337" s="10">
        <f>IFERROR(VLOOKUP(C337,'Inventory Master'!$A$3:$L$300,5,FALSE),0)</f>
      </c>
      <c r="F337" s="10">
        <f>D337*E337</f>
      </c>
      <c r="G337" s="8"/>
    </row>
    <row r="338" ht="21" customHeight="1" spans="1:7" x14ac:dyDescent="0.25">
      <c r="A338" s="8"/>
      <c r="B338" s="8"/>
      <c r="C338" s="8"/>
      <c r="D338" s="8"/>
      <c r="E338" s="10">
        <f>IFERROR(VLOOKUP(C338,'Inventory Master'!$A$3:$L$300,5,FALSE),0)</f>
      </c>
      <c r="F338" s="10">
        <f>D338*E338</f>
      </c>
      <c r="G338" s="8"/>
    </row>
    <row r="339" ht="21" customHeight="1" spans="1:7" x14ac:dyDescent="0.25">
      <c r="A339" s="8"/>
      <c r="B339" s="8"/>
      <c r="C339" s="8"/>
      <c r="D339" s="8"/>
      <c r="E339" s="10">
        <f>IFERROR(VLOOKUP(C339,'Inventory Master'!$A$3:$L$300,5,FALSE),0)</f>
      </c>
      <c r="F339" s="10">
        <f>D339*E339</f>
      </c>
      <c r="G339" s="8"/>
    </row>
    <row r="340" ht="21" customHeight="1" spans="1:7" x14ac:dyDescent="0.25">
      <c r="A340" s="8"/>
      <c r="B340" s="8"/>
      <c r="C340" s="8"/>
      <c r="D340" s="8"/>
      <c r="E340" s="10">
        <f>IFERROR(VLOOKUP(C340,'Inventory Master'!$A$3:$L$300,5,FALSE),0)</f>
      </c>
      <c r="F340" s="10">
        <f>D340*E340</f>
      </c>
      <c r="G340" s="8"/>
    </row>
    <row r="341" ht="21" customHeight="1" spans="1:7" x14ac:dyDescent="0.25">
      <c r="A341" s="8"/>
      <c r="B341" s="8"/>
      <c r="C341" s="8"/>
      <c r="D341" s="8"/>
      <c r="E341" s="10">
        <f>IFERROR(VLOOKUP(C341,'Inventory Master'!$A$3:$L$300,5,FALSE),0)</f>
      </c>
      <c r="F341" s="10">
        <f>D341*E341</f>
      </c>
      <c r="G341" s="8"/>
    </row>
    <row r="342" ht="21" customHeight="1" spans="1:7" x14ac:dyDescent="0.25">
      <c r="A342" s="8"/>
      <c r="B342" s="8"/>
      <c r="C342" s="8"/>
      <c r="D342" s="8"/>
      <c r="E342" s="10">
        <f>IFERROR(VLOOKUP(C342,'Inventory Master'!$A$3:$L$300,5,FALSE),0)</f>
      </c>
      <c r="F342" s="10">
        <f>D342*E342</f>
      </c>
      <c r="G342" s="8"/>
    </row>
    <row r="343" ht="21" customHeight="1" spans="1:7" x14ac:dyDescent="0.25">
      <c r="A343" s="8"/>
      <c r="B343" s="8"/>
      <c r="C343" s="8"/>
      <c r="D343" s="8"/>
      <c r="E343" s="10">
        <f>IFERROR(VLOOKUP(C343,'Inventory Master'!$A$3:$L$300,5,FALSE),0)</f>
      </c>
      <c r="F343" s="10">
        <f>D343*E343</f>
      </c>
      <c r="G343" s="8"/>
    </row>
    <row r="344" ht="21" customHeight="1" spans="1:7" x14ac:dyDescent="0.25">
      <c r="A344" s="8"/>
      <c r="B344" s="8"/>
      <c r="C344" s="8"/>
      <c r="D344" s="8"/>
      <c r="E344" s="10">
        <f>IFERROR(VLOOKUP(C344,'Inventory Master'!$A$3:$L$300,5,FALSE),0)</f>
      </c>
      <c r="F344" s="10">
        <f>D344*E344</f>
      </c>
      <c r="G344" s="8"/>
    </row>
    <row r="345" ht="21" customHeight="1" spans="1:7" x14ac:dyDescent="0.25">
      <c r="A345" s="8"/>
      <c r="B345" s="8"/>
      <c r="C345" s="8"/>
      <c r="D345" s="8"/>
      <c r="E345" s="10">
        <f>IFERROR(VLOOKUP(C345,'Inventory Master'!$A$3:$L$300,5,FALSE),0)</f>
      </c>
      <c r="F345" s="10">
        <f>D345*E345</f>
      </c>
      <c r="G345" s="8"/>
    </row>
    <row r="346" ht="21" customHeight="1" spans="1:7" x14ac:dyDescent="0.25">
      <c r="A346" s="8"/>
      <c r="B346" s="8"/>
      <c r="C346" s="8"/>
      <c r="D346" s="8"/>
      <c r="E346" s="10">
        <f>IFERROR(VLOOKUP(C346,'Inventory Master'!$A$3:$L$300,5,FALSE),0)</f>
      </c>
      <c r="F346" s="10">
        <f>D346*E346</f>
      </c>
      <c r="G346" s="8"/>
    </row>
    <row r="347" ht="21" customHeight="1" spans="1:7" x14ac:dyDescent="0.25">
      <c r="A347" s="8"/>
      <c r="B347" s="8"/>
      <c r="C347" s="8"/>
      <c r="D347" s="8"/>
      <c r="E347" s="10">
        <f>IFERROR(VLOOKUP(C347,'Inventory Master'!$A$3:$L$300,5,FALSE),0)</f>
      </c>
      <c r="F347" s="10">
        <f>D347*E347</f>
      </c>
      <c r="G347" s="8"/>
    </row>
    <row r="348" ht="21" customHeight="1" spans="1:7" x14ac:dyDescent="0.25">
      <c r="A348" s="8"/>
      <c r="B348" s="8"/>
      <c r="C348" s="8"/>
      <c r="D348" s="8"/>
      <c r="E348" s="10">
        <f>IFERROR(VLOOKUP(C348,'Inventory Master'!$A$3:$L$300,5,FALSE),0)</f>
      </c>
      <c r="F348" s="10">
        <f>D348*E348</f>
      </c>
      <c r="G348" s="8"/>
    </row>
    <row r="349" ht="21" customHeight="1" spans="1:7" x14ac:dyDescent="0.25">
      <c r="A349" s="8"/>
      <c r="B349" s="8"/>
      <c r="C349" s="8"/>
      <c r="D349" s="8"/>
      <c r="E349" s="10">
        <f>IFERROR(VLOOKUP(C349,'Inventory Master'!$A$3:$L$300,5,FALSE),0)</f>
      </c>
      <c r="F349" s="10">
        <f>D349*E349</f>
      </c>
      <c r="G349" s="8"/>
    </row>
    <row r="350" ht="21" customHeight="1" spans="1:7" x14ac:dyDescent="0.25">
      <c r="A350" s="8"/>
      <c r="B350" s="8"/>
      <c r="C350" s="8"/>
      <c r="D350" s="8"/>
      <c r="E350" s="10">
        <f>IFERROR(VLOOKUP(C350,'Inventory Master'!$A$3:$L$300,5,FALSE),0)</f>
      </c>
      <c r="F350" s="10">
        <f>D350*E350</f>
      </c>
      <c r="G350" s="8"/>
    </row>
    <row r="351" ht="21" customHeight="1" spans="1:7" x14ac:dyDescent="0.25">
      <c r="A351" s="8"/>
      <c r="B351" s="8"/>
      <c r="C351" s="8"/>
      <c r="D351" s="8"/>
      <c r="E351" s="10">
        <f>IFERROR(VLOOKUP(C351,'Inventory Master'!$A$3:$L$300,5,FALSE),0)</f>
      </c>
      <c r="F351" s="10">
        <f>D351*E351</f>
      </c>
      <c r="G351" s="8"/>
    </row>
    <row r="352" ht="21" customHeight="1" spans="1:7" x14ac:dyDescent="0.25">
      <c r="A352" s="8"/>
      <c r="B352" s="8"/>
      <c r="C352" s="8"/>
      <c r="D352" s="8"/>
      <c r="E352" s="10">
        <f>IFERROR(VLOOKUP(C352,'Inventory Master'!$A$3:$L$300,5,FALSE),0)</f>
      </c>
      <c r="F352" s="10">
        <f>D352*E352</f>
      </c>
      <c r="G352" s="8"/>
    </row>
    <row r="353" ht="21" customHeight="1" spans="1:7" x14ac:dyDescent="0.25">
      <c r="A353" s="8"/>
      <c r="B353" s="8"/>
      <c r="C353" s="8"/>
      <c r="D353" s="8"/>
      <c r="E353" s="10">
        <f>IFERROR(VLOOKUP(C353,'Inventory Master'!$A$3:$L$300,5,FALSE),0)</f>
      </c>
      <c r="F353" s="10">
        <f>D353*E353</f>
      </c>
      <c r="G353" s="8"/>
    </row>
    <row r="354" ht="21" customHeight="1" spans="1:7" x14ac:dyDescent="0.25">
      <c r="A354" s="8"/>
      <c r="B354" s="8"/>
      <c r="C354" s="8"/>
      <c r="D354" s="8"/>
      <c r="E354" s="10">
        <f>IFERROR(VLOOKUP(C354,'Inventory Master'!$A$3:$L$300,5,FALSE),0)</f>
      </c>
      <c r="F354" s="10">
        <f>D354*E354</f>
      </c>
      <c r="G354" s="8"/>
    </row>
    <row r="355" ht="21" customHeight="1" spans="1:7" x14ac:dyDescent="0.25">
      <c r="A355" s="8"/>
      <c r="B355" s="8"/>
      <c r="C355" s="8"/>
      <c r="D355" s="8"/>
      <c r="E355" s="10">
        <f>IFERROR(VLOOKUP(C355,'Inventory Master'!$A$3:$L$300,5,FALSE),0)</f>
      </c>
      <c r="F355" s="10">
        <f>D355*E355</f>
      </c>
      <c r="G355" s="8"/>
    </row>
    <row r="356" ht="21" customHeight="1" spans="1:7" x14ac:dyDescent="0.25">
      <c r="A356" s="8"/>
      <c r="B356" s="8"/>
      <c r="C356" s="8"/>
      <c r="D356" s="8"/>
      <c r="E356" s="10">
        <f>IFERROR(VLOOKUP(C356,'Inventory Master'!$A$3:$L$300,5,FALSE),0)</f>
      </c>
      <c r="F356" s="10">
        <f>D356*E356</f>
      </c>
      <c r="G356" s="8"/>
    </row>
    <row r="357" ht="21" customHeight="1" spans="1:7" x14ac:dyDescent="0.25">
      <c r="A357" s="8"/>
      <c r="B357" s="8"/>
      <c r="C357" s="8"/>
      <c r="D357" s="8"/>
      <c r="E357" s="10">
        <f>IFERROR(VLOOKUP(C357,'Inventory Master'!$A$3:$L$300,5,FALSE),0)</f>
      </c>
      <c r="F357" s="10">
        <f>D357*E357</f>
      </c>
      <c r="G357" s="8"/>
    </row>
    <row r="358" ht="21" customHeight="1" spans="1:7" x14ac:dyDescent="0.25">
      <c r="A358" s="8"/>
      <c r="B358" s="8"/>
      <c r="C358" s="8"/>
      <c r="D358" s="8"/>
      <c r="E358" s="10">
        <f>IFERROR(VLOOKUP(C358,'Inventory Master'!$A$3:$L$300,5,FALSE),0)</f>
      </c>
      <c r="F358" s="10">
        <f>D358*E358</f>
      </c>
      <c r="G358" s="8"/>
    </row>
    <row r="359" ht="21" customHeight="1" spans="1:7" x14ac:dyDescent="0.25">
      <c r="A359" s="8"/>
      <c r="B359" s="8"/>
      <c r="C359" s="8"/>
      <c r="D359" s="8"/>
      <c r="E359" s="10">
        <f>IFERROR(VLOOKUP(C359,'Inventory Master'!$A$3:$L$300,5,FALSE),0)</f>
      </c>
      <c r="F359" s="10">
        <f>D359*E359</f>
      </c>
      <c r="G359" s="8"/>
    </row>
    <row r="360" ht="21" customHeight="1" spans="1:7" x14ac:dyDescent="0.25">
      <c r="A360" s="8"/>
      <c r="B360" s="8"/>
      <c r="C360" s="8"/>
      <c r="D360" s="8"/>
      <c r="E360" s="10">
        <f>IFERROR(VLOOKUP(C360,'Inventory Master'!$A$3:$L$300,5,FALSE),0)</f>
      </c>
      <c r="F360" s="10">
        <f>D360*E360</f>
      </c>
      <c r="G360" s="8"/>
    </row>
    <row r="361" ht="21" customHeight="1" spans="1:7" x14ac:dyDescent="0.25">
      <c r="A361" s="8"/>
      <c r="B361" s="8"/>
      <c r="C361" s="8"/>
      <c r="D361" s="8"/>
      <c r="E361" s="10">
        <f>IFERROR(VLOOKUP(C361,'Inventory Master'!$A$3:$L$300,5,FALSE),0)</f>
      </c>
      <c r="F361" s="10">
        <f>D361*E361</f>
      </c>
      <c r="G361" s="8"/>
    </row>
    <row r="362" ht="21" customHeight="1" spans="1:7" x14ac:dyDescent="0.25">
      <c r="A362" s="8"/>
      <c r="B362" s="8"/>
      <c r="C362" s="8"/>
      <c r="D362" s="8"/>
      <c r="E362" s="10">
        <f>IFERROR(VLOOKUP(C362,'Inventory Master'!$A$3:$L$300,5,FALSE),0)</f>
      </c>
      <c r="F362" s="10">
        <f>D362*E362</f>
      </c>
      <c r="G362" s="8"/>
    </row>
    <row r="363" ht="21" customHeight="1" spans="1:7" x14ac:dyDescent="0.25">
      <c r="A363" s="8"/>
      <c r="B363" s="8"/>
      <c r="C363" s="8"/>
      <c r="D363" s="8"/>
      <c r="E363" s="10">
        <f>IFERROR(VLOOKUP(C363,'Inventory Master'!$A$3:$L$300,5,FALSE),0)</f>
      </c>
      <c r="F363" s="10">
        <f>D363*E363</f>
      </c>
      <c r="G363" s="8"/>
    </row>
    <row r="364" ht="21" customHeight="1" spans="1:7" x14ac:dyDescent="0.25">
      <c r="A364" s="8"/>
      <c r="B364" s="8"/>
      <c r="C364" s="8"/>
      <c r="D364" s="8"/>
      <c r="E364" s="10">
        <f>IFERROR(VLOOKUP(C364,'Inventory Master'!$A$3:$L$300,5,FALSE),0)</f>
      </c>
      <c r="F364" s="10">
        <f>D364*E364</f>
      </c>
      <c r="G364" s="8"/>
    </row>
    <row r="365" ht="21" customHeight="1" spans="1:7" x14ac:dyDescent="0.25">
      <c r="A365" s="8"/>
      <c r="B365" s="8"/>
      <c r="C365" s="8"/>
      <c r="D365" s="8"/>
      <c r="E365" s="10">
        <f>IFERROR(VLOOKUP(C365,'Inventory Master'!$A$3:$L$300,5,FALSE),0)</f>
      </c>
      <c r="F365" s="10">
        <f>D365*E365</f>
      </c>
      <c r="G365" s="8"/>
    </row>
    <row r="366" ht="21" customHeight="1" spans="1:7" x14ac:dyDescent="0.25">
      <c r="A366" s="8"/>
      <c r="B366" s="8"/>
      <c r="C366" s="8"/>
      <c r="D366" s="8"/>
      <c r="E366" s="10">
        <f>IFERROR(VLOOKUP(C366,'Inventory Master'!$A$3:$L$300,5,FALSE),0)</f>
      </c>
      <c r="F366" s="10">
        <f>D366*E366</f>
      </c>
      <c r="G366" s="8"/>
    </row>
    <row r="367" ht="21" customHeight="1" spans="1:7" x14ac:dyDescent="0.25">
      <c r="A367" s="8"/>
      <c r="B367" s="8"/>
      <c r="C367" s="8"/>
      <c r="D367" s="8"/>
      <c r="E367" s="10">
        <f>IFERROR(VLOOKUP(C367,'Inventory Master'!$A$3:$L$300,5,FALSE),0)</f>
      </c>
      <c r="F367" s="10">
        <f>D367*E367</f>
      </c>
      <c r="G367" s="8"/>
    </row>
    <row r="368" ht="21" customHeight="1" spans="1:7" x14ac:dyDescent="0.25">
      <c r="A368" s="8"/>
      <c r="B368" s="8"/>
      <c r="C368" s="8"/>
      <c r="D368" s="8"/>
      <c r="E368" s="10">
        <f>IFERROR(VLOOKUP(C368,'Inventory Master'!$A$3:$L$300,5,FALSE),0)</f>
      </c>
      <c r="F368" s="10">
        <f>D368*E368</f>
      </c>
      <c r="G368" s="8"/>
    </row>
    <row r="369" ht="21" customHeight="1" spans="1:7" x14ac:dyDescent="0.25">
      <c r="A369" s="8"/>
      <c r="B369" s="8"/>
      <c r="C369" s="8"/>
      <c r="D369" s="8"/>
      <c r="E369" s="10">
        <f>IFERROR(VLOOKUP(C369,'Inventory Master'!$A$3:$L$300,5,FALSE),0)</f>
      </c>
      <c r="F369" s="10">
        <f>D369*E369</f>
      </c>
      <c r="G369" s="8"/>
    </row>
    <row r="370" ht="21" customHeight="1" spans="1:7" x14ac:dyDescent="0.25">
      <c r="A370" s="8"/>
      <c r="B370" s="8"/>
      <c r="C370" s="8"/>
      <c r="D370" s="8"/>
      <c r="E370" s="10">
        <f>IFERROR(VLOOKUP(C370,'Inventory Master'!$A$3:$L$300,5,FALSE),0)</f>
      </c>
      <c r="F370" s="10">
        <f>D370*E370</f>
      </c>
      <c r="G370" s="8"/>
    </row>
    <row r="371" ht="21" customHeight="1" spans="1:7" x14ac:dyDescent="0.25">
      <c r="A371" s="8"/>
      <c r="B371" s="8"/>
      <c r="C371" s="8"/>
      <c r="D371" s="8"/>
      <c r="E371" s="10">
        <f>IFERROR(VLOOKUP(C371,'Inventory Master'!$A$3:$L$300,5,FALSE),0)</f>
      </c>
      <c r="F371" s="10">
        <f>D371*E371</f>
      </c>
      <c r="G371" s="8"/>
    </row>
    <row r="372" ht="21" customHeight="1" spans="1:7" x14ac:dyDescent="0.25">
      <c r="A372" s="8"/>
      <c r="B372" s="8"/>
      <c r="C372" s="8"/>
      <c r="D372" s="8"/>
      <c r="E372" s="10">
        <f>IFERROR(VLOOKUP(C372,'Inventory Master'!$A$3:$L$300,5,FALSE),0)</f>
      </c>
      <c r="F372" s="10">
        <f>D372*E372</f>
      </c>
      <c r="G372" s="8"/>
    </row>
    <row r="373" ht="21" customHeight="1" spans="1:7" x14ac:dyDescent="0.25">
      <c r="A373" s="8"/>
      <c r="B373" s="8"/>
      <c r="C373" s="8"/>
      <c r="D373" s="8"/>
      <c r="E373" s="10">
        <f>IFERROR(VLOOKUP(C373,'Inventory Master'!$A$3:$L$300,5,FALSE),0)</f>
      </c>
      <c r="F373" s="10">
        <f>D373*E373</f>
      </c>
      <c r="G373" s="8"/>
    </row>
    <row r="374" ht="21" customHeight="1" spans="1:7" x14ac:dyDescent="0.25">
      <c r="A374" s="8"/>
      <c r="B374" s="8"/>
      <c r="C374" s="8"/>
      <c r="D374" s="8"/>
      <c r="E374" s="10">
        <f>IFERROR(VLOOKUP(C374,'Inventory Master'!$A$3:$L$300,5,FALSE),0)</f>
      </c>
      <c r="F374" s="10">
        <f>D374*E374</f>
      </c>
      <c r="G374" s="8"/>
    </row>
    <row r="375" ht="21" customHeight="1" spans="1:7" x14ac:dyDescent="0.25">
      <c r="A375" s="8"/>
      <c r="B375" s="8"/>
      <c r="C375" s="8"/>
      <c r="D375" s="8"/>
      <c r="E375" s="10">
        <f>IFERROR(VLOOKUP(C375,'Inventory Master'!$A$3:$L$300,5,FALSE),0)</f>
      </c>
      <c r="F375" s="10">
        <f>D375*E375</f>
      </c>
      <c r="G375" s="8"/>
    </row>
    <row r="376" ht="21" customHeight="1" spans="1:7" x14ac:dyDescent="0.25">
      <c r="A376" s="8"/>
      <c r="B376" s="8"/>
      <c r="C376" s="8"/>
      <c r="D376" s="8"/>
      <c r="E376" s="10">
        <f>IFERROR(VLOOKUP(C376,'Inventory Master'!$A$3:$L$300,5,FALSE),0)</f>
      </c>
      <c r="F376" s="10">
        <f>D376*E376</f>
      </c>
      <c r="G376" s="8"/>
    </row>
    <row r="377" ht="21" customHeight="1" spans="1:7" x14ac:dyDescent="0.25">
      <c r="A377" s="8"/>
      <c r="B377" s="8"/>
      <c r="C377" s="8"/>
      <c r="D377" s="8"/>
      <c r="E377" s="10">
        <f>IFERROR(VLOOKUP(C377,'Inventory Master'!$A$3:$L$300,5,FALSE),0)</f>
      </c>
      <c r="F377" s="10">
        <f>D377*E377</f>
      </c>
      <c r="G377" s="8"/>
    </row>
    <row r="378" ht="21" customHeight="1" spans="1:7" x14ac:dyDescent="0.25">
      <c r="A378" s="8"/>
      <c r="B378" s="8"/>
      <c r="C378" s="8"/>
      <c r="D378" s="8"/>
      <c r="E378" s="10">
        <f>IFERROR(VLOOKUP(C378,'Inventory Master'!$A$3:$L$300,5,FALSE),0)</f>
      </c>
      <c r="F378" s="10">
        <f>D378*E378</f>
      </c>
      <c r="G378" s="8"/>
    </row>
    <row r="379" ht="21" customHeight="1" spans="1:7" x14ac:dyDescent="0.25">
      <c r="A379" s="8"/>
      <c r="B379" s="8"/>
      <c r="C379" s="8"/>
      <c r="D379" s="8"/>
      <c r="E379" s="10">
        <f>IFERROR(VLOOKUP(C379,'Inventory Master'!$A$3:$L$300,5,FALSE),0)</f>
      </c>
      <c r="F379" s="10">
        <f>D379*E379</f>
      </c>
      <c r="G379" s="8"/>
    </row>
    <row r="380" ht="21" customHeight="1" spans="1:7" x14ac:dyDescent="0.25">
      <c r="A380" s="8"/>
      <c r="B380" s="8"/>
      <c r="C380" s="8"/>
      <c r="D380" s="8"/>
      <c r="E380" s="10">
        <f>IFERROR(VLOOKUP(C380,'Inventory Master'!$A$3:$L$300,5,FALSE),0)</f>
      </c>
      <c r="F380" s="10">
        <f>D380*E380</f>
      </c>
      <c r="G380" s="8"/>
    </row>
    <row r="381" ht="21" customHeight="1" spans="1:7" x14ac:dyDescent="0.25">
      <c r="A381" s="8"/>
      <c r="B381" s="8"/>
      <c r="C381" s="8"/>
      <c r="D381" s="8"/>
      <c r="E381" s="10">
        <f>IFERROR(VLOOKUP(C381,'Inventory Master'!$A$3:$L$300,5,FALSE),0)</f>
      </c>
      <c r="F381" s="10">
        <f>D381*E381</f>
      </c>
      <c r="G381" s="8"/>
    </row>
    <row r="382" ht="21" customHeight="1" spans="1:7" x14ac:dyDescent="0.25">
      <c r="A382" s="8"/>
      <c r="B382" s="8"/>
      <c r="C382" s="8"/>
      <c r="D382" s="8"/>
      <c r="E382" s="10">
        <f>IFERROR(VLOOKUP(C382,'Inventory Master'!$A$3:$L$300,5,FALSE),0)</f>
      </c>
      <c r="F382" s="10">
        <f>D382*E382</f>
      </c>
      <c r="G382" s="8"/>
    </row>
    <row r="383" ht="21" customHeight="1" spans="1:7" x14ac:dyDescent="0.25">
      <c r="A383" s="8"/>
      <c r="B383" s="8"/>
      <c r="C383" s="8"/>
      <c r="D383" s="8"/>
      <c r="E383" s="10">
        <f>IFERROR(VLOOKUP(C383,'Inventory Master'!$A$3:$L$300,5,FALSE),0)</f>
      </c>
      <c r="F383" s="10">
        <f>D383*E383</f>
      </c>
      <c r="G383" s="8"/>
    </row>
    <row r="384" ht="21" customHeight="1" spans="1:7" x14ac:dyDescent="0.25">
      <c r="A384" s="8"/>
      <c r="B384" s="8"/>
      <c r="C384" s="8"/>
      <c r="D384" s="8"/>
      <c r="E384" s="10">
        <f>IFERROR(VLOOKUP(C384,'Inventory Master'!$A$3:$L$300,5,FALSE),0)</f>
      </c>
      <c r="F384" s="10">
        <f>D384*E384</f>
      </c>
      <c r="G384" s="8"/>
    </row>
    <row r="385" ht="21" customHeight="1" spans="1:7" x14ac:dyDescent="0.25">
      <c r="A385" s="8"/>
      <c r="B385" s="8"/>
      <c r="C385" s="8"/>
      <c r="D385" s="8"/>
      <c r="E385" s="10">
        <f>IFERROR(VLOOKUP(C385,'Inventory Master'!$A$3:$L$300,5,FALSE),0)</f>
      </c>
      <c r="F385" s="10">
        <f>D385*E385</f>
      </c>
      <c r="G385" s="8"/>
    </row>
    <row r="386" ht="21" customHeight="1" spans="1:7" x14ac:dyDescent="0.25">
      <c r="A386" s="8"/>
      <c r="B386" s="8"/>
      <c r="C386" s="8"/>
      <c r="D386" s="8"/>
      <c r="E386" s="10">
        <f>IFERROR(VLOOKUP(C386,'Inventory Master'!$A$3:$L$300,5,FALSE),0)</f>
      </c>
      <c r="F386" s="10">
        <f>D386*E386</f>
      </c>
      <c r="G386" s="8"/>
    </row>
    <row r="387" ht="21" customHeight="1" spans="1:7" x14ac:dyDescent="0.25">
      <c r="A387" s="8"/>
      <c r="B387" s="8"/>
      <c r="C387" s="8"/>
      <c r="D387" s="8"/>
      <c r="E387" s="10">
        <f>IFERROR(VLOOKUP(C387,'Inventory Master'!$A$3:$L$300,5,FALSE),0)</f>
      </c>
      <c r="F387" s="10">
        <f>D387*E387</f>
      </c>
      <c r="G387" s="8"/>
    </row>
    <row r="388" ht="21" customHeight="1" spans="1:7" x14ac:dyDescent="0.25">
      <c r="A388" s="8"/>
      <c r="B388" s="8"/>
      <c r="C388" s="8"/>
      <c r="D388" s="8"/>
      <c r="E388" s="10">
        <f>IFERROR(VLOOKUP(C388,'Inventory Master'!$A$3:$L$300,5,FALSE),0)</f>
      </c>
      <c r="F388" s="10">
        <f>D388*E388</f>
      </c>
      <c r="G388" s="8"/>
    </row>
    <row r="389" ht="21" customHeight="1" spans="1:7" x14ac:dyDescent="0.25">
      <c r="A389" s="8"/>
      <c r="B389" s="8"/>
      <c r="C389" s="8"/>
      <c r="D389" s="8"/>
      <c r="E389" s="10">
        <f>IFERROR(VLOOKUP(C389,'Inventory Master'!$A$3:$L$300,5,FALSE),0)</f>
      </c>
      <c r="F389" s="10">
        <f>D389*E389</f>
      </c>
      <c r="G389" s="8"/>
    </row>
    <row r="390" ht="21" customHeight="1" spans="1:7" x14ac:dyDescent="0.25">
      <c r="A390" s="8"/>
      <c r="B390" s="8"/>
      <c r="C390" s="8"/>
      <c r="D390" s="8"/>
      <c r="E390" s="10">
        <f>IFERROR(VLOOKUP(C390,'Inventory Master'!$A$3:$L$300,5,FALSE),0)</f>
      </c>
      <c r="F390" s="10">
        <f>D390*E390</f>
      </c>
      <c r="G390" s="8"/>
    </row>
    <row r="391" ht="21" customHeight="1" spans="1:7" x14ac:dyDescent="0.25">
      <c r="A391" s="8"/>
      <c r="B391" s="8"/>
      <c r="C391" s="8"/>
      <c r="D391" s="8"/>
      <c r="E391" s="10">
        <f>IFERROR(VLOOKUP(C391,'Inventory Master'!$A$3:$L$300,5,FALSE),0)</f>
      </c>
      <c r="F391" s="10">
        <f>D391*E391</f>
      </c>
      <c r="G391" s="8"/>
    </row>
    <row r="392" ht="21" customHeight="1" spans="1:7" x14ac:dyDescent="0.25">
      <c r="A392" s="8"/>
      <c r="B392" s="8"/>
      <c r="C392" s="8"/>
      <c r="D392" s="8"/>
      <c r="E392" s="10">
        <f>IFERROR(VLOOKUP(C392,'Inventory Master'!$A$3:$L$300,5,FALSE),0)</f>
      </c>
      <c r="F392" s="10">
        <f>D392*E392</f>
      </c>
      <c r="G392" s="8"/>
    </row>
    <row r="393" ht="21" customHeight="1" spans="1:7" x14ac:dyDescent="0.25">
      <c r="A393" s="8"/>
      <c r="B393" s="8"/>
      <c r="C393" s="8"/>
      <c r="D393" s="8"/>
      <c r="E393" s="10">
        <f>IFERROR(VLOOKUP(C393,'Inventory Master'!$A$3:$L$300,5,FALSE),0)</f>
      </c>
      <c r="F393" s="10">
        <f>D393*E393</f>
      </c>
      <c r="G393" s="8"/>
    </row>
    <row r="394" ht="21" customHeight="1" spans="1:7" x14ac:dyDescent="0.25">
      <c r="A394" s="8"/>
      <c r="B394" s="8"/>
      <c r="C394" s="8"/>
      <c r="D394" s="8"/>
      <c r="E394" s="10">
        <f>IFERROR(VLOOKUP(C394,'Inventory Master'!$A$3:$L$300,5,FALSE),0)</f>
      </c>
      <c r="F394" s="10">
        <f>D394*E394</f>
      </c>
      <c r="G394" s="8"/>
    </row>
    <row r="395" ht="21" customHeight="1" spans="1:7" x14ac:dyDescent="0.25">
      <c r="A395" s="8"/>
      <c r="B395" s="8"/>
      <c r="C395" s="8"/>
      <c r="D395" s="8"/>
      <c r="E395" s="10">
        <f>IFERROR(VLOOKUP(C395,'Inventory Master'!$A$3:$L$300,5,FALSE),0)</f>
      </c>
      <c r="F395" s="10">
        <f>D395*E395</f>
      </c>
      <c r="G395" s="8"/>
    </row>
    <row r="396" ht="21" customHeight="1" spans="1:7" x14ac:dyDescent="0.25">
      <c r="A396" s="8"/>
      <c r="B396" s="8"/>
      <c r="C396" s="8"/>
      <c r="D396" s="8"/>
      <c r="E396" s="10">
        <f>IFERROR(VLOOKUP(C396,'Inventory Master'!$A$3:$L$300,5,FALSE),0)</f>
      </c>
      <c r="F396" s="10">
        <f>D396*E396</f>
      </c>
      <c r="G396" s="8"/>
    </row>
    <row r="397" ht="21" customHeight="1" spans="1:7" x14ac:dyDescent="0.25">
      <c r="A397" s="8"/>
      <c r="B397" s="8"/>
      <c r="C397" s="8"/>
      <c r="D397" s="8"/>
      <c r="E397" s="10">
        <f>IFERROR(VLOOKUP(C397,'Inventory Master'!$A$3:$L$300,5,FALSE),0)</f>
      </c>
      <c r="F397" s="10">
        <f>D397*E397</f>
      </c>
      <c r="G397" s="8"/>
    </row>
    <row r="398" ht="21" customHeight="1" spans="1:7" x14ac:dyDescent="0.25">
      <c r="A398" s="8"/>
      <c r="B398" s="8"/>
      <c r="C398" s="8"/>
      <c r="D398" s="8"/>
      <c r="E398" s="10">
        <f>IFERROR(VLOOKUP(C398,'Inventory Master'!$A$3:$L$300,5,FALSE),0)</f>
      </c>
      <c r="F398" s="10">
        <f>D398*E398</f>
      </c>
      <c r="G398" s="8"/>
    </row>
    <row r="399" ht="21" customHeight="1" spans="1:7" x14ac:dyDescent="0.25">
      <c r="A399" s="8"/>
      <c r="B399" s="8"/>
      <c r="C399" s="8"/>
      <c r="D399" s="8"/>
      <c r="E399" s="10">
        <f>IFERROR(VLOOKUP(C399,'Inventory Master'!$A$3:$L$300,5,FALSE),0)</f>
      </c>
      <c r="F399" s="10">
        <f>D399*E399</f>
      </c>
      <c r="G399" s="8"/>
    </row>
    <row r="400" ht="21" customHeight="1" spans="1:7" x14ac:dyDescent="0.25">
      <c r="A400" s="8"/>
      <c r="B400" s="8"/>
      <c r="C400" s="8"/>
      <c r="D400" s="8"/>
      <c r="E400" s="10">
        <f>IFERROR(VLOOKUP(C400,'Inventory Master'!$A$3:$L$300,5,FALSE),0)</f>
      </c>
      <c r="F400" s="10">
        <f>D400*E400</f>
      </c>
      <c r="G400" s="8"/>
    </row>
    <row r="401" ht="21" customHeight="1" spans="1:7" x14ac:dyDescent="0.25">
      <c r="A401" s="8"/>
      <c r="B401" s="8"/>
      <c r="C401" s="8"/>
      <c r="D401" s="8"/>
      <c r="E401" s="10">
        <f>IFERROR(VLOOKUP(C401,'Inventory Master'!$A$3:$L$300,5,FALSE),0)</f>
      </c>
      <c r="F401" s="10">
        <f>D401*E401</f>
      </c>
      <c r="G401" s="8"/>
    </row>
    <row r="402" ht="21" customHeight="1" spans="1:7" x14ac:dyDescent="0.25">
      <c r="A402" s="8"/>
      <c r="B402" s="8"/>
      <c r="C402" s="8"/>
      <c r="D402" s="8"/>
      <c r="E402" s="10">
        <f>IFERROR(VLOOKUP(C402,'Inventory Master'!$A$3:$L$300,5,FALSE),0)</f>
      </c>
      <c r="F402" s="10">
        <f>D402*E402</f>
      </c>
      <c r="G402" s="8"/>
    </row>
    <row r="403" ht="21" customHeight="1" spans="1:7" x14ac:dyDescent="0.25">
      <c r="A403" s="8"/>
      <c r="B403" s="8"/>
      <c r="C403" s="8"/>
      <c r="D403" s="8"/>
      <c r="E403" s="10">
        <f>IFERROR(VLOOKUP(C403,'Inventory Master'!$A$3:$L$300,5,FALSE),0)</f>
      </c>
      <c r="F403" s="10">
        <f>D403*E403</f>
      </c>
      <c r="G403" s="8"/>
    </row>
    <row r="404" ht="21" customHeight="1" spans="1:7" x14ac:dyDescent="0.25">
      <c r="A404" s="8"/>
      <c r="B404" s="8"/>
      <c r="C404" s="8"/>
      <c r="D404" s="8"/>
      <c r="E404" s="10">
        <f>IFERROR(VLOOKUP(C404,'Inventory Master'!$A$3:$L$300,5,FALSE),0)</f>
      </c>
      <c r="F404" s="10">
        <f>D404*E404</f>
      </c>
      <c r="G404" s="8"/>
    </row>
    <row r="405" ht="21" customHeight="1" spans="1:7" x14ac:dyDescent="0.25">
      <c r="A405" s="8"/>
      <c r="B405" s="8"/>
      <c r="C405" s="8"/>
      <c r="D405" s="8"/>
      <c r="E405" s="10">
        <f>IFERROR(VLOOKUP(C405,'Inventory Master'!$A$3:$L$300,5,FALSE),0)</f>
      </c>
      <c r="F405" s="10">
        <f>D405*E405</f>
      </c>
      <c r="G405" s="8"/>
    </row>
    <row r="406" ht="21" customHeight="1" spans="1:7" x14ac:dyDescent="0.25">
      <c r="A406" s="8"/>
      <c r="B406" s="8"/>
      <c r="C406" s="8"/>
      <c r="D406" s="8"/>
      <c r="E406" s="10">
        <f>IFERROR(VLOOKUP(C406,'Inventory Master'!$A$3:$L$300,5,FALSE),0)</f>
      </c>
      <c r="F406" s="10">
        <f>D406*E406</f>
      </c>
      <c r="G406" s="8"/>
    </row>
    <row r="407" ht="21" customHeight="1" spans="1:7" x14ac:dyDescent="0.25">
      <c r="A407" s="8"/>
      <c r="B407" s="8"/>
      <c r="C407" s="8"/>
      <c r="D407" s="8"/>
      <c r="E407" s="10">
        <f>IFERROR(VLOOKUP(C407,'Inventory Master'!$A$3:$L$300,5,FALSE),0)</f>
      </c>
      <c r="F407" s="10">
        <f>D407*E407</f>
      </c>
      <c r="G407" s="8"/>
    </row>
    <row r="408" ht="21" customHeight="1" spans="1:7" x14ac:dyDescent="0.25">
      <c r="A408" s="8"/>
      <c r="B408" s="8"/>
      <c r="C408" s="8"/>
      <c r="D408" s="8"/>
      <c r="E408" s="10">
        <f>IFERROR(VLOOKUP(C408,'Inventory Master'!$A$3:$L$300,5,FALSE),0)</f>
      </c>
      <c r="F408" s="10">
        <f>D408*E408</f>
      </c>
      <c r="G408" s="8"/>
    </row>
    <row r="409" ht="21" customHeight="1" spans="1:7" x14ac:dyDescent="0.25">
      <c r="A409" s="8"/>
      <c r="B409" s="8"/>
      <c r="C409" s="8"/>
      <c r="D409" s="8"/>
      <c r="E409" s="10">
        <f>IFERROR(VLOOKUP(C409,'Inventory Master'!$A$3:$L$300,5,FALSE),0)</f>
      </c>
      <c r="F409" s="10">
        <f>D409*E409</f>
      </c>
      <c r="G409" s="8"/>
    </row>
    <row r="410" ht="21" customHeight="1" spans="1:7" x14ac:dyDescent="0.25">
      <c r="A410" s="8"/>
      <c r="B410" s="8"/>
      <c r="C410" s="8"/>
      <c r="D410" s="8"/>
      <c r="E410" s="10">
        <f>IFERROR(VLOOKUP(C410,'Inventory Master'!$A$3:$L$300,5,FALSE),0)</f>
      </c>
      <c r="F410" s="10">
        <f>D410*E410</f>
      </c>
      <c r="G410" s="8"/>
    </row>
    <row r="411" ht="21" customHeight="1" spans="1:7" x14ac:dyDescent="0.25">
      <c r="A411" s="8"/>
      <c r="B411" s="8"/>
      <c r="C411" s="8"/>
      <c r="D411" s="8"/>
      <c r="E411" s="10">
        <f>IFERROR(VLOOKUP(C411,'Inventory Master'!$A$3:$L$300,5,FALSE),0)</f>
      </c>
      <c r="F411" s="10">
        <f>D411*E411</f>
      </c>
      <c r="G411" s="8"/>
    </row>
    <row r="412" ht="21" customHeight="1" spans="1:7" x14ac:dyDescent="0.25">
      <c r="A412" s="8"/>
      <c r="B412" s="8"/>
      <c r="C412" s="8"/>
      <c r="D412" s="8"/>
      <c r="E412" s="10">
        <f>IFERROR(VLOOKUP(C412,'Inventory Master'!$A$3:$L$300,5,FALSE),0)</f>
      </c>
      <c r="F412" s="10">
        <f>D412*E412</f>
      </c>
      <c r="G412" s="8"/>
    </row>
    <row r="413" ht="21" customHeight="1" spans="1:7" x14ac:dyDescent="0.25">
      <c r="A413" s="8"/>
      <c r="B413" s="8"/>
      <c r="C413" s="8"/>
      <c r="D413" s="8"/>
      <c r="E413" s="10">
        <f>IFERROR(VLOOKUP(C413,'Inventory Master'!$A$3:$L$300,5,FALSE),0)</f>
      </c>
      <c r="F413" s="10">
        <f>D413*E413</f>
      </c>
      <c r="G413" s="8"/>
    </row>
    <row r="414" ht="21" customHeight="1" spans="1:7" x14ac:dyDescent="0.25">
      <c r="A414" s="8"/>
      <c r="B414" s="8"/>
      <c r="C414" s="8"/>
      <c r="D414" s="8"/>
      <c r="E414" s="10">
        <f>IFERROR(VLOOKUP(C414,'Inventory Master'!$A$3:$L$300,5,FALSE),0)</f>
      </c>
      <c r="F414" s="10">
        <f>D414*E414</f>
      </c>
      <c r="G414" s="8"/>
    </row>
    <row r="415" ht="21" customHeight="1" spans="1:7" x14ac:dyDescent="0.25">
      <c r="A415" s="8"/>
      <c r="B415" s="8"/>
      <c r="C415" s="8"/>
      <c r="D415" s="8"/>
      <c r="E415" s="10">
        <f>IFERROR(VLOOKUP(C415,'Inventory Master'!$A$3:$L$300,5,FALSE),0)</f>
      </c>
      <c r="F415" s="10">
        <f>D415*E415</f>
      </c>
      <c r="G415" s="8"/>
    </row>
    <row r="416" ht="21" customHeight="1" spans="1:7" x14ac:dyDescent="0.25">
      <c r="A416" s="8"/>
      <c r="B416" s="8"/>
      <c r="C416" s="8"/>
      <c r="D416" s="8"/>
      <c r="E416" s="10">
        <f>IFERROR(VLOOKUP(C416,'Inventory Master'!$A$3:$L$300,5,FALSE),0)</f>
      </c>
      <c r="F416" s="10">
        <f>D416*E416</f>
      </c>
      <c r="G416" s="8"/>
    </row>
    <row r="417" ht="21" customHeight="1" spans="1:7" x14ac:dyDescent="0.25">
      <c r="A417" s="8"/>
      <c r="B417" s="8"/>
      <c r="C417" s="8"/>
      <c r="D417" s="8"/>
      <c r="E417" s="10">
        <f>IFERROR(VLOOKUP(C417,'Inventory Master'!$A$3:$L$300,5,FALSE),0)</f>
      </c>
      <c r="F417" s="10">
        <f>D417*E417</f>
      </c>
      <c r="G417" s="8"/>
    </row>
    <row r="418" ht="21" customHeight="1" spans="1:7" x14ac:dyDescent="0.25">
      <c r="A418" s="8"/>
      <c r="B418" s="8"/>
      <c r="C418" s="8"/>
      <c r="D418" s="8"/>
      <c r="E418" s="10">
        <f>IFERROR(VLOOKUP(C418,'Inventory Master'!$A$3:$L$300,5,FALSE),0)</f>
      </c>
      <c r="F418" s="10">
        <f>D418*E418</f>
      </c>
      <c r="G418" s="8"/>
    </row>
    <row r="419" ht="21" customHeight="1" spans="1:7" x14ac:dyDescent="0.25">
      <c r="A419" s="8"/>
      <c r="B419" s="8"/>
      <c r="C419" s="8"/>
      <c r="D419" s="8"/>
      <c r="E419" s="10">
        <f>IFERROR(VLOOKUP(C419,'Inventory Master'!$A$3:$L$300,5,FALSE),0)</f>
      </c>
      <c r="F419" s="10">
        <f>D419*E419</f>
      </c>
      <c r="G419" s="8"/>
    </row>
    <row r="420" ht="21" customHeight="1" spans="1:7" x14ac:dyDescent="0.25">
      <c r="A420" s="8"/>
      <c r="B420" s="8"/>
      <c r="C420" s="8"/>
      <c r="D420" s="8"/>
      <c r="E420" s="10">
        <f>IFERROR(VLOOKUP(C420,'Inventory Master'!$A$3:$L$300,5,FALSE),0)</f>
      </c>
      <c r="F420" s="10">
        <f>D420*E420</f>
      </c>
      <c r="G420" s="8"/>
    </row>
    <row r="421" ht="21" customHeight="1" spans="1:7" x14ac:dyDescent="0.25">
      <c r="A421" s="8"/>
      <c r="B421" s="8"/>
      <c r="C421" s="8"/>
      <c r="D421" s="8"/>
      <c r="E421" s="10">
        <f>IFERROR(VLOOKUP(C421,'Inventory Master'!$A$3:$L$300,5,FALSE),0)</f>
      </c>
      <c r="F421" s="10">
        <f>D421*E421</f>
      </c>
      <c r="G421" s="8"/>
    </row>
    <row r="422" ht="21" customHeight="1" spans="1:7" x14ac:dyDescent="0.25">
      <c r="A422" s="8"/>
      <c r="B422" s="8"/>
      <c r="C422" s="8"/>
      <c r="D422" s="8"/>
      <c r="E422" s="10">
        <f>IFERROR(VLOOKUP(C422,'Inventory Master'!$A$3:$L$300,5,FALSE),0)</f>
      </c>
      <c r="F422" s="10">
        <f>D422*E422</f>
      </c>
      <c r="G422" s="8"/>
    </row>
    <row r="423" ht="21" customHeight="1" spans="1:7" x14ac:dyDescent="0.25">
      <c r="A423" s="8"/>
      <c r="B423" s="8"/>
      <c r="C423" s="8"/>
      <c r="D423" s="8"/>
      <c r="E423" s="10">
        <f>IFERROR(VLOOKUP(C423,'Inventory Master'!$A$3:$L$300,5,FALSE),0)</f>
      </c>
      <c r="F423" s="10">
        <f>D423*E423</f>
      </c>
      <c r="G423" s="8"/>
    </row>
    <row r="424" ht="21" customHeight="1" spans="1:7" x14ac:dyDescent="0.25">
      <c r="A424" s="8"/>
      <c r="B424" s="8"/>
      <c r="C424" s="8"/>
      <c r="D424" s="8"/>
      <c r="E424" s="10">
        <f>IFERROR(VLOOKUP(C424,'Inventory Master'!$A$3:$L$300,5,FALSE),0)</f>
      </c>
      <c r="F424" s="10">
        <f>D424*E424</f>
      </c>
      <c r="G424" s="8"/>
    </row>
    <row r="425" ht="21" customHeight="1" spans="1:7" x14ac:dyDescent="0.25">
      <c r="A425" s="8"/>
      <c r="B425" s="8"/>
      <c r="C425" s="8"/>
      <c r="D425" s="8"/>
      <c r="E425" s="10">
        <f>IFERROR(VLOOKUP(C425,'Inventory Master'!$A$3:$L$300,5,FALSE),0)</f>
      </c>
      <c r="F425" s="10">
        <f>D425*E425</f>
      </c>
      <c r="G425" s="8"/>
    </row>
    <row r="426" ht="21" customHeight="1" spans="1:7" x14ac:dyDescent="0.25">
      <c r="A426" s="8"/>
      <c r="B426" s="8"/>
      <c r="C426" s="8"/>
      <c r="D426" s="8"/>
      <c r="E426" s="10">
        <f>IFERROR(VLOOKUP(C426,'Inventory Master'!$A$3:$L$300,5,FALSE),0)</f>
      </c>
      <c r="F426" s="10">
        <f>D426*E426</f>
      </c>
      <c r="G426" s="8"/>
    </row>
    <row r="427" ht="21" customHeight="1" spans="1:7" x14ac:dyDescent="0.25">
      <c r="A427" s="8"/>
      <c r="B427" s="8"/>
      <c r="C427" s="8"/>
      <c r="D427" s="8"/>
      <c r="E427" s="10">
        <f>IFERROR(VLOOKUP(C427,'Inventory Master'!$A$3:$L$300,5,FALSE),0)</f>
      </c>
      <c r="F427" s="10">
        <f>D427*E427</f>
      </c>
      <c r="G427" s="8"/>
    </row>
    <row r="428" ht="21" customHeight="1" spans="1:7" x14ac:dyDescent="0.25">
      <c r="A428" s="8"/>
      <c r="B428" s="8"/>
      <c r="C428" s="8"/>
      <c r="D428" s="8"/>
      <c r="E428" s="10">
        <f>IFERROR(VLOOKUP(C428,'Inventory Master'!$A$3:$L$300,5,FALSE),0)</f>
      </c>
      <c r="F428" s="10">
        <f>D428*E428</f>
      </c>
      <c r="G428" s="8"/>
    </row>
    <row r="429" ht="21" customHeight="1" spans="1:7" x14ac:dyDescent="0.25">
      <c r="A429" s="8"/>
      <c r="B429" s="8"/>
      <c r="C429" s="8"/>
      <c r="D429" s="8"/>
      <c r="E429" s="10">
        <f>IFERROR(VLOOKUP(C429,'Inventory Master'!$A$3:$L$300,5,FALSE),0)</f>
      </c>
      <c r="F429" s="10">
        <f>D429*E429</f>
      </c>
      <c r="G429" s="8"/>
    </row>
    <row r="430" ht="21" customHeight="1" spans="1:7" x14ac:dyDescent="0.25">
      <c r="A430" s="8"/>
      <c r="B430" s="8"/>
      <c r="C430" s="8"/>
      <c r="D430" s="8"/>
      <c r="E430" s="10">
        <f>IFERROR(VLOOKUP(C430,'Inventory Master'!$A$3:$L$300,5,FALSE),0)</f>
      </c>
      <c r="F430" s="10">
        <f>D430*E430</f>
      </c>
      <c r="G430" s="8"/>
    </row>
    <row r="431" ht="21" customHeight="1" spans="1:7" x14ac:dyDescent="0.25">
      <c r="A431" s="8"/>
      <c r="B431" s="8"/>
      <c r="C431" s="8"/>
      <c r="D431" s="8"/>
      <c r="E431" s="10">
        <f>IFERROR(VLOOKUP(C431,'Inventory Master'!$A$3:$L$300,5,FALSE),0)</f>
      </c>
      <c r="F431" s="10">
        <f>D431*E431</f>
      </c>
      <c r="G431" s="8"/>
    </row>
    <row r="432" ht="21" customHeight="1" spans="1:7" x14ac:dyDescent="0.25">
      <c r="A432" s="8"/>
      <c r="B432" s="8"/>
      <c r="C432" s="8"/>
      <c r="D432" s="8"/>
      <c r="E432" s="10">
        <f>IFERROR(VLOOKUP(C432,'Inventory Master'!$A$3:$L$300,5,FALSE),0)</f>
      </c>
      <c r="F432" s="10">
        <f>D432*E432</f>
      </c>
      <c r="G432" s="8"/>
    </row>
    <row r="433" ht="21" customHeight="1" spans="1:7" x14ac:dyDescent="0.25">
      <c r="A433" s="8"/>
      <c r="B433" s="8"/>
      <c r="C433" s="8"/>
      <c r="D433" s="8"/>
      <c r="E433" s="10">
        <f>IFERROR(VLOOKUP(C433,'Inventory Master'!$A$3:$L$300,5,FALSE),0)</f>
      </c>
      <c r="F433" s="10">
        <f>D433*E433</f>
      </c>
      <c r="G433" s="8"/>
    </row>
    <row r="434" ht="21" customHeight="1" spans="1:7" x14ac:dyDescent="0.25">
      <c r="A434" s="8"/>
      <c r="B434" s="8"/>
      <c r="C434" s="8"/>
      <c r="D434" s="8"/>
      <c r="E434" s="10">
        <f>IFERROR(VLOOKUP(C434,'Inventory Master'!$A$3:$L$300,5,FALSE),0)</f>
      </c>
      <c r="F434" s="10">
        <f>D434*E434</f>
      </c>
      <c r="G434" s="8"/>
    </row>
    <row r="435" ht="21" customHeight="1" spans="1:7" x14ac:dyDescent="0.25">
      <c r="A435" s="8"/>
      <c r="B435" s="8"/>
      <c r="C435" s="8"/>
      <c r="D435" s="8"/>
      <c r="E435" s="10">
        <f>IFERROR(VLOOKUP(C435,'Inventory Master'!$A$3:$L$300,5,FALSE),0)</f>
      </c>
      <c r="F435" s="10">
        <f>D435*E435</f>
      </c>
      <c r="G435" s="8"/>
    </row>
    <row r="436" ht="21" customHeight="1" spans="1:7" x14ac:dyDescent="0.25">
      <c r="A436" s="8"/>
      <c r="B436" s="8"/>
      <c r="C436" s="8"/>
      <c r="D436" s="8"/>
      <c r="E436" s="10">
        <f>IFERROR(VLOOKUP(C436,'Inventory Master'!$A$3:$L$300,5,FALSE),0)</f>
      </c>
      <c r="F436" s="10">
        <f>D436*E436</f>
      </c>
      <c r="G436" s="8"/>
    </row>
    <row r="437" ht="21" customHeight="1" spans="1:7" x14ac:dyDescent="0.25">
      <c r="A437" s="8"/>
      <c r="B437" s="8"/>
      <c r="C437" s="8"/>
      <c r="D437" s="8"/>
      <c r="E437" s="10">
        <f>IFERROR(VLOOKUP(C437,'Inventory Master'!$A$3:$L$300,5,FALSE),0)</f>
      </c>
      <c r="F437" s="10">
        <f>D437*E437</f>
      </c>
      <c r="G437" s="8"/>
    </row>
    <row r="438" ht="21" customHeight="1" spans="1:7" x14ac:dyDescent="0.25">
      <c r="A438" s="8"/>
      <c r="B438" s="8"/>
      <c r="C438" s="8"/>
      <c r="D438" s="8"/>
      <c r="E438" s="10">
        <f>IFERROR(VLOOKUP(C438,'Inventory Master'!$A$3:$L$300,5,FALSE),0)</f>
      </c>
      <c r="F438" s="10">
        <f>D438*E438</f>
      </c>
      <c r="G438" s="8"/>
    </row>
    <row r="439" ht="21" customHeight="1" spans="1:7" x14ac:dyDescent="0.25">
      <c r="A439" s="8"/>
      <c r="B439" s="8"/>
      <c r="C439" s="8"/>
      <c r="D439" s="8"/>
      <c r="E439" s="10">
        <f>IFERROR(VLOOKUP(C439,'Inventory Master'!$A$3:$L$300,5,FALSE),0)</f>
      </c>
      <c r="F439" s="10">
        <f>D439*E439</f>
      </c>
      <c r="G439" s="8"/>
    </row>
    <row r="440" ht="21" customHeight="1" spans="1:7" x14ac:dyDescent="0.25">
      <c r="A440" s="8"/>
      <c r="B440" s="8"/>
      <c r="C440" s="8"/>
      <c r="D440" s="8"/>
      <c r="E440" s="10">
        <f>IFERROR(VLOOKUP(C440,'Inventory Master'!$A$3:$L$300,5,FALSE),0)</f>
      </c>
      <c r="F440" s="10">
        <f>D440*E440</f>
      </c>
      <c r="G440" s="8"/>
    </row>
    <row r="441" ht="21" customHeight="1" spans="1:7" x14ac:dyDescent="0.25">
      <c r="A441" s="8"/>
      <c r="B441" s="8"/>
      <c r="C441" s="8"/>
      <c r="D441" s="8"/>
      <c r="E441" s="10">
        <f>IFERROR(VLOOKUP(C441,'Inventory Master'!$A$3:$L$300,5,FALSE),0)</f>
      </c>
      <c r="F441" s="10">
        <f>D441*E441</f>
      </c>
      <c r="G441" s="8"/>
    </row>
    <row r="442" ht="21" customHeight="1" spans="1:7" x14ac:dyDescent="0.25">
      <c r="A442" s="8"/>
      <c r="B442" s="8"/>
      <c r="C442" s="8"/>
      <c r="D442" s="8"/>
      <c r="E442" s="10">
        <f>IFERROR(VLOOKUP(C442,'Inventory Master'!$A$3:$L$300,5,FALSE),0)</f>
      </c>
      <c r="F442" s="10">
        <f>D442*E442</f>
      </c>
      <c r="G442" s="8"/>
    </row>
    <row r="443" ht="21" customHeight="1" spans="1:7" x14ac:dyDescent="0.25">
      <c r="A443" s="8"/>
      <c r="B443" s="8"/>
      <c r="C443" s="8"/>
      <c r="D443" s="8"/>
      <c r="E443" s="10">
        <f>IFERROR(VLOOKUP(C443,'Inventory Master'!$A$3:$L$300,5,FALSE),0)</f>
      </c>
      <c r="F443" s="10">
        <f>D443*E443</f>
      </c>
      <c r="G443" s="8"/>
    </row>
    <row r="444" ht="21" customHeight="1" spans="1:7" x14ac:dyDescent="0.25">
      <c r="A444" s="8"/>
      <c r="B444" s="8"/>
      <c r="C444" s="8"/>
      <c r="D444" s="8"/>
      <c r="E444" s="10">
        <f>IFERROR(VLOOKUP(C444,'Inventory Master'!$A$3:$L$300,5,FALSE),0)</f>
      </c>
      <c r="F444" s="10">
        <f>D444*E444</f>
      </c>
      <c r="G444" s="8"/>
    </row>
    <row r="445" ht="21" customHeight="1" spans="1:7" x14ac:dyDescent="0.25">
      <c r="A445" s="8"/>
      <c r="B445" s="8"/>
      <c r="C445" s="8"/>
      <c r="D445" s="8"/>
      <c r="E445" s="10">
        <f>IFERROR(VLOOKUP(C445,'Inventory Master'!$A$3:$L$300,5,FALSE),0)</f>
      </c>
      <c r="F445" s="10">
        <f>D445*E445</f>
      </c>
      <c r="G445" s="8"/>
    </row>
    <row r="446" ht="21" customHeight="1" spans="1:7" x14ac:dyDescent="0.25">
      <c r="A446" s="8"/>
      <c r="B446" s="8"/>
      <c r="C446" s="8"/>
      <c r="D446" s="8"/>
      <c r="E446" s="10">
        <f>IFERROR(VLOOKUP(C446,'Inventory Master'!$A$3:$L$300,5,FALSE),0)</f>
      </c>
      <c r="F446" s="10">
        <f>D446*E446</f>
      </c>
      <c r="G446" s="8"/>
    </row>
    <row r="447" ht="21" customHeight="1" spans="1:7" x14ac:dyDescent="0.25">
      <c r="A447" s="8"/>
      <c r="B447" s="8"/>
      <c r="C447" s="8"/>
      <c r="D447" s="8"/>
      <c r="E447" s="10">
        <f>IFERROR(VLOOKUP(C447,'Inventory Master'!$A$3:$L$300,5,FALSE),0)</f>
      </c>
      <c r="F447" s="10">
        <f>D447*E447</f>
      </c>
      <c r="G447" s="8"/>
    </row>
    <row r="448" ht="21" customHeight="1" spans="1:7" x14ac:dyDescent="0.25">
      <c r="A448" s="8"/>
      <c r="B448" s="8"/>
      <c r="C448" s="8"/>
      <c r="D448" s="8"/>
      <c r="E448" s="10">
        <f>IFERROR(VLOOKUP(C448,'Inventory Master'!$A$3:$L$300,5,FALSE),0)</f>
      </c>
      <c r="F448" s="10">
        <f>D448*E448</f>
      </c>
      <c r="G448" s="8"/>
    </row>
    <row r="449" ht="21" customHeight="1" spans="1:7" x14ac:dyDescent="0.25">
      <c r="A449" s="8"/>
      <c r="B449" s="8"/>
      <c r="C449" s="8"/>
      <c r="D449" s="8"/>
      <c r="E449" s="10">
        <f>IFERROR(VLOOKUP(C449,'Inventory Master'!$A$3:$L$300,5,FALSE),0)</f>
      </c>
      <c r="F449" s="10">
        <f>D449*E449</f>
      </c>
      <c r="G449" s="8"/>
    </row>
    <row r="450" ht="21" customHeight="1" spans="1:7" x14ac:dyDescent="0.25">
      <c r="A450" s="8"/>
      <c r="B450" s="8"/>
      <c r="C450" s="8"/>
      <c r="D450" s="8"/>
      <c r="E450" s="10">
        <f>IFERROR(VLOOKUP(C450,'Inventory Master'!$A$3:$L$300,5,FALSE),0)</f>
      </c>
      <c r="F450" s="10">
        <f>D450*E450</f>
      </c>
      <c r="G450" s="8"/>
    </row>
    <row r="451" ht="21" customHeight="1" spans="1:7" x14ac:dyDescent="0.25">
      <c r="A451" s="8"/>
      <c r="B451" s="8"/>
      <c r="C451" s="8"/>
      <c r="D451" s="8"/>
      <c r="E451" s="10">
        <f>IFERROR(VLOOKUP(C451,'Inventory Master'!$A$3:$L$300,5,FALSE),0)</f>
      </c>
      <c r="F451" s="10">
        <f>D451*E451</f>
      </c>
      <c r="G451" s="8"/>
    </row>
    <row r="452" ht="21" customHeight="1" spans="1:7" x14ac:dyDescent="0.25">
      <c r="A452" s="8"/>
      <c r="B452" s="8"/>
      <c r="C452" s="8"/>
      <c r="D452" s="8"/>
      <c r="E452" s="10">
        <f>IFERROR(VLOOKUP(C452,'Inventory Master'!$A$3:$L$300,5,FALSE),0)</f>
      </c>
      <c r="F452" s="10">
        <f>D452*E452</f>
      </c>
      <c r="G452" s="8"/>
    </row>
    <row r="453" ht="21" customHeight="1" spans="1:7" x14ac:dyDescent="0.25">
      <c r="A453" s="8"/>
      <c r="B453" s="8"/>
      <c r="C453" s="8"/>
      <c r="D453" s="8"/>
      <c r="E453" s="10">
        <f>IFERROR(VLOOKUP(C453,'Inventory Master'!$A$3:$L$300,5,FALSE),0)</f>
      </c>
      <c r="F453" s="10">
        <f>D453*E453</f>
      </c>
      <c r="G453" s="8"/>
    </row>
    <row r="454" ht="21" customHeight="1" spans="1:7" x14ac:dyDescent="0.25">
      <c r="A454" s="8"/>
      <c r="B454" s="8"/>
      <c r="C454" s="8"/>
      <c r="D454" s="8"/>
      <c r="E454" s="10">
        <f>IFERROR(VLOOKUP(C454,'Inventory Master'!$A$3:$L$300,5,FALSE),0)</f>
      </c>
      <c r="F454" s="10">
        <f>D454*E454</f>
      </c>
      <c r="G454" s="8"/>
    </row>
    <row r="455" ht="21" customHeight="1" spans="1:7" x14ac:dyDescent="0.25">
      <c r="A455" s="8"/>
      <c r="B455" s="8"/>
      <c r="C455" s="8"/>
      <c r="D455" s="8"/>
      <c r="E455" s="10">
        <f>IFERROR(VLOOKUP(C455,'Inventory Master'!$A$3:$L$300,5,FALSE),0)</f>
      </c>
      <c r="F455" s="10">
        <f>D455*E455</f>
      </c>
      <c r="G455" s="8"/>
    </row>
    <row r="456" ht="21" customHeight="1" spans="1:7" x14ac:dyDescent="0.25">
      <c r="A456" s="8"/>
      <c r="B456" s="8"/>
      <c r="C456" s="8"/>
      <c r="D456" s="8"/>
      <c r="E456" s="10">
        <f>IFERROR(VLOOKUP(C456,'Inventory Master'!$A$3:$L$300,5,FALSE),0)</f>
      </c>
      <c r="F456" s="10">
        <f>D456*E456</f>
      </c>
      <c r="G456" s="8"/>
    </row>
    <row r="457" ht="21" customHeight="1" spans="1:7" x14ac:dyDescent="0.25">
      <c r="A457" s="8"/>
      <c r="B457" s="8"/>
      <c r="C457" s="8"/>
      <c r="D457" s="8"/>
      <c r="E457" s="10">
        <f>IFERROR(VLOOKUP(C457,'Inventory Master'!$A$3:$L$300,5,FALSE),0)</f>
      </c>
      <c r="F457" s="10">
        <f>D457*E457</f>
      </c>
      <c r="G457" s="8"/>
    </row>
    <row r="458" ht="21" customHeight="1" spans="1:7" x14ac:dyDescent="0.25">
      <c r="A458" s="8"/>
      <c r="B458" s="8"/>
      <c r="C458" s="8"/>
      <c r="D458" s="8"/>
      <c r="E458" s="10">
        <f>IFERROR(VLOOKUP(C458,'Inventory Master'!$A$3:$L$300,5,FALSE),0)</f>
      </c>
      <c r="F458" s="10">
        <f>D458*E458</f>
      </c>
      <c r="G458" s="8"/>
    </row>
    <row r="459" ht="21" customHeight="1" spans="1:7" x14ac:dyDescent="0.25">
      <c r="A459" s="8"/>
      <c r="B459" s="8"/>
      <c r="C459" s="8"/>
      <c r="D459" s="8"/>
      <c r="E459" s="10">
        <f>IFERROR(VLOOKUP(C459,'Inventory Master'!$A$3:$L$300,5,FALSE),0)</f>
      </c>
      <c r="F459" s="10">
        <f>D459*E459</f>
      </c>
      <c r="G459" s="8"/>
    </row>
    <row r="460" ht="21" customHeight="1" spans="1:7" x14ac:dyDescent="0.25">
      <c r="A460" s="8"/>
      <c r="B460" s="8"/>
      <c r="C460" s="8"/>
      <c r="D460" s="8"/>
      <c r="E460" s="10">
        <f>IFERROR(VLOOKUP(C460,'Inventory Master'!$A$3:$L$300,5,FALSE),0)</f>
      </c>
      <c r="F460" s="10">
        <f>D460*E460</f>
      </c>
      <c r="G460" s="8"/>
    </row>
    <row r="461" ht="21" customHeight="1" spans="1:7" x14ac:dyDescent="0.25">
      <c r="A461" s="8"/>
      <c r="B461" s="8"/>
      <c r="C461" s="8"/>
      <c r="D461" s="8"/>
      <c r="E461" s="10">
        <f>IFERROR(VLOOKUP(C461,'Inventory Master'!$A$3:$L$300,5,FALSE),0)</f>
      </c>
      <c r="F461" s="10">
        <f>D461*E461</f>
      </c>
      <c r="G461" s="8"/>
    </row>
    <row r="462" ht="21" customHeight="1" spans="1:7" x14ac:dyDescent="0.25">
      <c r="A462" s="8"/>
      <c r="B462" s="8"/>
      <c r="C462" s="8"/>
      <c r="D462" s="8"/>
      <c r="E462" s="10">
        <f>IFERROR(VLOOKUP(C462,'Inventory Master'!$A$3:$L$300,5,FALSE),0)</f>
      </c>
      <c r="F462" s="10">
        <f>D462*E462</f>
      </c>
      <c r="G462" s="8"/>
    </row>
    <row r="463" ht="21" customHeight="1" spans="1:7" x14ac:dyDescent="0.25">
      <c r="A463" s="8"/>
      <c r="B463" s="8"/>
      <c r="C463" s="8"/>
      <c r="D463" s="8"/>
      <c r="E463" s="10">
        <f>IFERROR(VLOOKUP(C463,'Inventory Master'!$A$3:$L$300,5,FALSE),0)</f>
      </c>
      <c r="F463" s="10">
        <f>D463*E463</f>
      </c>
      <c r="G463" s="8"/>
    </row>
    <row r="464" ht="21" customHeight="1" spans="1:7" x14ac:dyDescent="0.25">
      <c r="A464" s="8"/>
      <c r="B464" s="8"/>
      <c r="C464" s="8"/>
      <c r="D464" s="8"/>
      <c r="E464" s="10">
        <f>IFERROR(VLOOKUP(C464,'Inventory Master'!$A$3:$L$300,5,FALSE),0)</f>
      </c>
      <c r="F464" s="10">
        <f>D464*E464</f>
      </c>
      <c r="G464" s="8"/>
    </row>
    <row r="465" ht="21" customHeight="1" spans="1:7" x14ac:dyDescent="0.25">
      <c r="A465" s="8"/>
      <c r="B465" s="8"/>
      <c r="C465" s="8"/>
      <c r="D465" s="8"/>
      <c r="E465" s="10">
        <f>IFERROR(VLOOKUP(C465,'Inventory Master'!$A$3:$L$300,5,FALSE),0)</f>
      </c>
      <c r="F465" s="10">
        <f>D465*E465</f>
      </c>
      <c r="G465" s="8"/>
    </row>
    <row r="466" ht="21" customHeight="1" spans="1:7" x14ac:dyDescent="0.25">
      <c r="A466" s="8"/>
      <c r="B466" s="8"/>
      <c r="C466" s="8"/>
      <c r="D466" s="8"/>
      <c r="E466" s="10">
        <f>IFERROR(VLOOKUP(C466,'Inventory Master'!$A$3:$L$300,5,FALSE),0)</f>
      </c>
      <c r="F466" s="10">
        <f>D466*E466</f>
      </c>
      <c r="G466" s="8"/>
    </row>
    <row r="467" ht="21" customHeight="1" spans="1:7" x14ac:dyDescent="0.25">
      <c r="A467" s="8"/>
      <c r="B467" s="8"/>
      <c r="C467" s="8"/>
      <c r="D467" s="8"/>
      <c r="E467" s="10">
        <f>IFERROR(VLOOKUP(C467,'Inventory Master'!$A$3:$L$300,5,FALSE),0)</f>
      </c>
      <c r="F467" s="10">
        <f>D467*E467</f>
      </c>
      <c r="G467" s="8"/>
    </row>
    <row r="468" ht="21" customHeight="1" spans="1:7" x14ac:dyDescent="0.25">
      <c r="A468" s="8"/>
      <c r="B468" s="8"/>
      <c r="C468" s="8"/>
      <c r="D468" s="8"/>
      <c r="E468" s="10">
        <f>IFERROR(VLOOKUP(C468,'Inventory Master'!$A$3:$L$300,5,FALSE),0)</f>
      </c>
      <c r="F468" s="10">
        <f>D468*E468</f>
      </c>
      <c r="G468" s="8"/>
    </row>
    <row r="469" ht="21" customHeight="1" spans="1:7" x14ac:dyDescent="0.25">
      <c r="A469" s="8"/>
      <c r="B469" s="8"/>
      <c r="C469" s="8"/>
      <c r="D469" s="8"/>
      <c r="E469" s="10">
        <f>IFERROR(VLOOKUP(C469,'Inventory Master'!$A$3:$L$300,5,FALSE),0)</f>
      </c>
      <c r="F469" s="10">
        <f>D469*E469</f>
      </c>
      <c r="G469" s="8"/>
    </row>
    <row r="470" ht="21" customHeight="1" spans="1:7" x14ac:dyDescent="0.25">
      <c r="A470" s="8"/>
      <c r="B470" s="8"/>
      <c r="C470" s="8"/>
      <c r="D470" s="8"/>
      <c r="E470" s="10">
        <f>IFERROR(VLOOKUP(C470,'Inventory Master'!$A$3:$L$300,5,FALSE),0)</f>
      </c>
      <c r="F470" s="10">
        <f>D470*E470</f>
      </c>
      <c r="G470" s="8"/>
    </row>
    <row r="471" ht="21" customHeight="1" spans="1:7" x14ac:dyDescent="0.25">
      <c r="A471" s="8"/>
      <c r="B471" s="8"/>
      <c r="C471" s="8"/>
      <c r="D471" s="8"/>
      <c r="E471" s="10">
        <f>IFERROR(VLOOKUP(C471,'Inventory Master'!$A$3:$L$300,5,FALSE),0)</f>
      </c>
      <c r="F471" s="10">
        <f>D471*E471</f>
      </c>
      <c r="G471" s="8"/>
    </row>
    <row r="472" ht="21" customHeight="1" spans="1:7" x14ac:dyDescent="0.25">
      <c r="A472" s="8"/>
      <c r="B472" s="8"/>
      <c r="C472" s="8"/>
      <c r="D472" s="8"/>
      <c r="E472" s="10">
        <f>IFERROR(VLOOKUP(C472,'Inventory Master'!$A$3:$L$300,5,FALSE),0)</f>
      </c>
      <c r="F472" s="10">
        <f>D472*E472</f>
      </c>
      <c r="G472" s="8"/>
    </row>
    <row r="473" ht="21" customHeight="1" spans="1:7" x14ac:dyDescent="0.25">
      <c r="A473" s="8"/>
      <c r="B473" s="8"/>
      <c r="C473" s="8"/>
      <c r="D473" s="8"/>
      <c r="E473" s="10">
        <f>IFERROR(VLOOKUP(C473,'Inventory Master'!$A$3:$L$300,5,FALSE),0)</f>
      </c>
      <c r="F473" s="10">
        <f>D473*E473</f>
      </c>
      <c r="G473" s="8"/>
    </row>
    <row r="474" ht="21" customHeight="1" spans="1:7" x14ac:dyDescent="0.25">
      <c r="A474" s="8"/>
      <c r="B474" s="8"/>
      <c r="C474" s="8"/>
      <c r="D474" s="8"/>
      <c r="E474" s="10">
        <f>IFERROR(VLOOKUP(C474,'Inventory Master'!$A$3:$L$300,5,FALSE),0)</f>
      </c>
      <c r="F474" s="10">
        <f>D474*E474</f>
      </c>
      <c r="G474" s="8"/>
    </row>
    <row r="475" ht="21" customHeight="1" spans="1:7" x14ac:dyDescent="0.25">
      <c r="A475" s="8"/>
      <c r="B475" s="8"/>
      <c r="C475" s="8"/>
      <c r="D475" s="8"/>
      <c r="E475" s="10">
        <f>IFERROR(VLOOKUP(C475,'Inventory Master'!$A$3:$L$300,5,FALSE),0)</f>
      </c>
      <c r="F475" s="10">
        <f>D475*E475</f>
      </c>
      <c r="G475" s="8"/>
    </row>
    <row r="476" ht="21" customHeight="1" spans="1:7" x14ac:dyDescent="0.25">
      <c r="A476" s="8"/>
      <c r="B476" s="8"/>
      <c r="C476" s="8"/>
      <c r="D476" s="8"/>
      <c r="E476" s="10">
        <f>IFERROR(VLOOKUP(C476,'Inventory Master'!$A$3:$L$300,5,FALSE),0)</f>
      </c>
      <c r="F476" s="10">
        <f>D476*E476</f>
      </c>
      <c r="G476" s="8"/>
    </row>
    <row r="477" ht="21" customHeight="1" spans="1:7" x14ac:dyDescent="0.25">
      <c r="A477" s="8"/>
      <c r="B477" s="8"/>
      <c r="C477" s="8"/>
      <c r="D477" s="8"/>
      <c r="E477" s="10">
        <f>IFERROR(VLOOKUP(C477,'Inventory Master'!$A$3:$L$300,5,FALSE),0)</f>
      </c>
      <c r="F477" s="10">
        <f>D477*E477</f>
      </c>
      <c r="G477" s="8"/>
    </row>
    <row r="478" ht="21" customHeight="1" spans="1:7" x14ac:dyDescent="0.25">
      <c r="A478" s="8"/>
      <c r="B478" s="8"/>
      <c r="C478" s="8"/>
      <c r="D478" s="8"/>
      <c r="E478" s="10">
        <f>IFERROR(VLOOKUP(C478,'Inventory Master'!$A$3:$L$300,5,FALSE),0)</f>
      </c>
      <c r="F478" s="10">
        <f>D478*E478</f>
      </c>
      <c r="G478" s="8"/>
    </row>
    <row r="479" ht="21" customHeight="1" spans="1:7" x14ac:dyDescent="0.25">
      <c r="A479" s="8"/>
      <c r="B479" s="8"/>
      <c r="C479" s="8"/>
      <c r="D479" s="8"/>
      <c r="E479" s="10">
        <f>IFERROR(VLOOKUP(C479,'Inventory Master'!$A$3:$L$300,5,FALSE),0)</f>
      </c>
      <c r="F479" s="10">
        <f>D479*E479</f>
      </c>
      <c r="G479" s="8"/>
    </row>
    <row r="480" ht="21" customHeight="1" spans="1:7" x14ac:dyDescent="0.25">
      <c r="A480" s="8"/>
      <c r="B480" s="8"/>
      <c r="C480" s="8"/>
      <c r="D480" s="8"/>
      <c r="E480" s="10">
        <f>IFERROR(VLOOKUP(C480,'Inventory Master'!$A$3:$L$300,5,FALSE),0)</f>
      </c>
      <c r="F480" s="10">
        <f>D480*E480</f>
      </c>
      <c r="G480" s="8"/>
    </row>
    <row r="481" ht="21" customHeight="1" spans="1:7" x14ac:dyDescent="0.25">
      <c r="A481" s="8"/>
      <c r="B481" s="8"/>
      <c r="C481" s="8"/>
      <c r="D481" s="8"/>
      <c r="E481" s="10">
        <f>IFERROR(VLOOKUP(C481,'Inventory Master'!$A$3:$L$300,5,FALSE),0)</f>
      </c>
      <c r="F481" s="10">
        <f>D481*E481</f>
      </c>
      <c r="G481" s="8"/>
    </row>
    <row r="482" ht="21" customHeight="1" spans="1:7" x14ac:dyDescent="0.25">
      <c r="A482" s="8"/>
      <c r="B482" s="8"/>
      <c r="C482" s="8"/>
      <c r="D482" s="8"/>
      <c r="E482" s="10">
        <f>IFERROR(VLOOKUP(C482,'Inventory Master'!$A$3:$L$300,5,FALSE),0)</f>
      </c>
      <c r="F482" s="10">
        <f>D482*E482</f>
      </c>
      <c r="G482" s="8"/>
    </row>
    <row r="483" ht="21" customHeight="1" spans="1:7" x14ac:dyDescent="0.25">
      <c r="A483" s="8"/>
      <c r="B483" s="8"/>
      <c r="C483" s="8"/>
      <c r="D483" s="8"/>
      <c r="E483" s="10">
        <f>IFERROR(VLOOKUP(C483,'Inventory Master'!$A$3:$L$300,5,FALSE),0)</f>
      </c>
      <c r="F483" s="10">
        <f>D483*E483</f>
      </c>
      <c r="G483" s="8"/>
    </row>
    <row r="484" ht="21" customHeight="1" spans="1:7" x14ac:dyDescent="0.25">
      <c r="A484" s="8"/>
      <c r="B484" s="8"/>
      <c r="C484" s="8"/>
      <c r="D484" s="8"/>
      <c r="E484" s="10">
        <f>IFERROR(VLOOKUP(C484,'Inventory Master'!$A$3:$L$300,5,FALSE),0)</f>
      </c>
      <c r="F484" s="10">
        <f>D484*E484</f>
      </c>
      <c r="G484" s="8"/>
    </row>
    <row r="485" ht="21" customHeight="1" spans="1:7" x14ac:dyDescent="0.25">
      <c r="A485" s="8"/>
      <c r="B485" s="8"/>
      <c r="C485" s="8"/>
      <c r="D485" s="8"/>
      <c r="E485" s="10">
        <f>IFERROR(VLOOKUP(C485,'Inventory Master'!$A$3:$L$300,5,FALSE),0)</f>
      </c>
      <c r="F485" s="10">
        <f>D485*E485</f>
      </c>
      <c r="G485" s="8"/>
    </row>
    <row r="486" ht="21" customHeight="1" spans="1:7" x14ac:dyDescent="0.25">
      <c r="A486" s="8"/>
      <c r="B486" s="8"/>
      <c r="C486" s="8"/>
      <c r="D486" s="8"/>
      <c r="E486" s="10">
        <f>IFERROR(VLOOKUP(C486,'Inventory Master'!$A$3:$L$300,5,FALSE),0)</f>
      </c>
      <c r="F486" s="10">
        <f>D486*E486</f>
      </c>
      <c r="G486" s="8"/>
    </row>
    <row r="487" ht="21" customHeight="1" spans="1:7" x14ac:dyDescent="0.25">
      <c r="A487" s="8"/>
      <c r="B487" s="8"/>
      <c r="C487" s="8"/>
      <c r="D487" s="8"/>
      <c r="E487" s="10">
        <f>IFERROR(VLOOKUP(C487,'Inventory Master'!$A$3:$L$300,5,FALSE),0)</f>
      </c>
      <c r="F487" s="10">
        <f>D487*E487</f>
      </c>
      <c r="G487" s="8"/>
    </row>
    <row r="488" ht="21" customHeight="1" spans="1:7" x14ac:dyDescent="0.25">
      <c r="A488" s="8"/>
      <c r="B488" s="8"/>
      <c r="C488" s="8"/>
      <c r="D488" s="8"/>
      <c r="E488" s="10">
        <f>IFERROR(VLOOKUP(C488,'Inventory Master'!$A$3:$L$300,5,FALSE),0)</f>
      </c>
      <c r="F488" s="10">
        <f>D488*E488</f>
      </c>
      <c r="G488" s="8"/>
    </row>
    <row r="489" ht="21" customHeight="1" spans="1:7" x14ac:dyDescent="0.25">
      <c r="A489" s="8"/>
      <c r="B489" s="8"/>
      <c r="C489" s="8"/>
      <c r="D489" s="8"/>
      <c r="E489" s="10">
        <f>IFERROR(VLOOKUP(C489,'Inventory Master'!$A$3:$L$300,5,FALSE),0)</f>
      </c>
      <c r="F489" s="10">
        <f>D489*E489</f>
      </c>
      <c r="G489" s="8"/>
    </row>
    <row r="490" ht="21" customHeight="1" spans="1:7" x14ac:dyDescent="0.25">
      <c r="A490" s="8"/>
      <c r="B490" s="8"/>
      <c r="C490" s="8"/>
      <c r="D490" s="8"/>
      <c r="E490" s="10">
        <f>IFERROR(VLOOKUP(C490,'Inventory Master'!$A$3:$L$300,5,FALSE),0)</f>
      </c>
      <c r="F490" s="10">
        <f>D490*E490</f>
      </c>
      <c r="G490" s="8"/>
    </row>
    <row r="491" ht="21" customHeight="1" spans="1:7" x14ac:dyDescent="0.25">
      <c r="A491" s="8"/>
      <c r="B491" s="8"/>
      <c r="C491" s="8"/>
      <c r="D491" s="8"/>
      <c r="E491" s="10">
        <f>IFERROR(VLOOKUP(C491,'Inventory Master'!$A$3:$L$300,5,FALSE),0)</f>
      </c>
      <c r="F491" s="10">
        <f>D491*E491</f>
      </c>
      <c r="G491" s="8"/>
    </row>
    <row r="492" ht="21" customHeight="1" spans="1:7" x14ac:dyDescent="0.25">
      <c r="A492" s="8"/>
      <c r="B492" s="8"/>
      <c r="C492" s="8"/>
      <c r="D492" s="8"/>
      <c r="E492" s="10">
        <f>IFERROR(VLOOKUP(C492,'Inventory Master'!$A$3:$L$300,5,FALSE),0)</f>
      </c>
      <c r="F492" s="10">
        <f>D492*E492</f>
      </c>
      <c r="G492" s="8"/>
    </row>
    <row r="493" ht="21" customHeight="1" spans="1:7" x14ac:dyDescent="0.25">
      <c r="A493" s="8"/>
      <c r="B493" s="8"/>
      <c r="C493" s="8"/>
      <c r="D493" s="8"/>
      <c r="E493" s="10">
        <f>IFERROR(VLOOKUP(C493,'Inventory Master'!$A$3:$L$300,5,FALSE),0)</f>
      </c>
      <c r="F493" s="10">
        <f>D493*E493</f>
      </c>
      <c r="G493" s="8"/>
    </row>
    <row r="494" ht="21" customHeight="1" spans="1:7" x14ac:dyDescent="0.25">
      <c r="A494" s="8"/>
      <c r="B494" s="8"/>
      <c r="C494" s="8"/>
      <c r="D494" s="8"/>
      <c r="E494" s="10">
        <f>IFERROR(VLOOKUP(C494,'Inventory Master'!$A$3:$L$300,5,FALSE),0)</f>
      </c>
      <c r="F494" s="10">
        <f>D494*E494</f>
      </c>
      <c r="G494" s="8"/>
    </row>
    <row r="495" ht="21" customHeight="1" spans="1:7" x14ac:dyDescent="0.25">
      <c r="A495" s="8"/>
      <c r="B495" s="8"/>
      <c r="C495" s="8"/>
      <c r="D495" s="8"/>
      <c r="E495" s="10">
        <f>IFERROR(VLOOKUP(C495,'Inventory Master'!$A$3:$L$300,5,FALSE),0)</f>
      </c>
      <c r="F495" s="10">
        <f>D495*E495</f>
      </c>
      <c r="G495" s="8"/>
    </row>
    <row r="496" ht="21" customHeight="1" spans="1:7" x14ac:dyDescent="0.25">
      <c r="A496" s="8"/>
      <c r="B496" s="8"/>
      <c r="C496" s="8"/>
      <c r="D496" s="8"/>
      <c r="E496" s="10">
        <f>IFERROR(VLOOKUP(C496,'Inventory Master'!$A$3:$L$300,5,FALSE),0)</f>
      </c>
      <c r="F496" s="10">
        <f>D496*E496</f>
      </c>
      <c r="G496" s="8"/>
    </row>
    <row r="497" ht="21" customHeight="1" spans="1:7" x14ac:dyDescent="0.25">
      <c r="A497" s="8"/>
      <c r="B497" s="8"/>
      <c r="C497" s="8"/>
      <c r="D497" s="8"/>
      <c r="E497" s="10">
        <f>IFERROR(VLOOKUP(C497,'Inventory Master'!$A$3:$L$300,5,FALSE),0)</f>
      </c>
      <c r="F497" s="10">
        <f>D497*E497</f>
      </c>
      <c r="G497" s="8"/>
    </row>
    <row r="498" ht="21" customHeight="1" spans="1:7" x14ac:dyDescent="0.25">
      <c r="A498" s="8"/>
      <c r="B498" s="8"/>
      <c r="C498" s="8"/>
      <c r="D498" s="8"/>
      <c r="E498" s="10">
        <f>IFERROR(VLOOKUP(C498,'Inventory Master'!$A$3:$L$300,5,FALSE),0)</f>
      </c>
      <c r="F498" s="10">
        <f>D498*E498</f>
      </c>
      <c r="G498" s="8"/>
    </row>
    <row r="499" ht="21" customHeight="1" spans="1:7" x14ac:dyDescent="0.25">
      <c r="A499" s="8"/>
      <c r="B499" s="8"/>
      <c r="C499" s="8"/>
      <c r="D499" s="8"/>
      <c r="E499" s="10">
        <f>IFERROR(VLOOKUP(C499,'Inventory Master'!$A$3:$L$300,5,FALSE),0)</f>
      </c>
      <c r="F499" s="10">
        <f>D499*E499</f>
      </c>
      <c r="G499" s="8"/>
    </row>
    <row r="500" ht="21" customHeight="1" spans="1:7" x14ac:dyDescent="0.25">
      <c r="A500" s="8"/>
      <c r="B500" s="8"/>
      <c r="C500" s="8"/>
      <c r="D500" s="8"/>
      <c r="E500" s="10">
        <f>IFERROR(VLOOKUP(C500,'Inventory Master'!$A$3:$L$300,5,FALSE),0)</f>
      </c>
      <c r="F500" s="10">
        <f>D500*E500</f>
      </c>
      <c r="G500" s="8"/>
    </row>
    <row r="501" ht="21" customHeight="1" spans="1:7" x14ac:dyDescent="0.25">
      <c r="A501" s="8"/>
      <c r="B501" s="8"/>
      <c r="C501" s="8"/>
      <c r="D501" s="8"/>
      <c r="E501" s="10">
        <f>IFERROR(VLOOKUP(C501,'Inventory Master'!$A$3:$L$300,5,FALSE),0)</f>
      </c>
      <c r="F501" s="10">
        <f>D501*E501</f>
      </c>
      <c r="G501" s="8"/>
    </row>
    <row r="502" ht="21" customHeight="1" spans="1:7" x14ac:dyDescent="0.25">
      <c r="A502" s="8"/>
      <c r="B502" s="8"/>
      <c r="C502" s="8"/>
      <c r="D502" s="8"/>
      <c r="E502" s="10">
        <f>IFERROR(VLOOKUP(C502,'Inventory Master'!$A$3:$L$300,5,FALSE),0)</f>
      </c>
      <c r="F502" s="10">
        <f>D502*E502</f>
      </c>
      <c r="G502" s="8"/>
    </row>
    <row r="503" ht="21" customHeight="1" spans="1:7" x14ac:dyDescent="0.25">
      <c r="A503" s="8"/>
      <c r="B503" s="8"/>
      <c r="C503" s="8"/>
      <c r="D503" s="8"/>
      <c r="E503" s="10">
        <f>IFERROR(VLOOKUP(C503,'Inventory Master'!$A$3:$L$300,5,FALSE),0)</f>
      </c>
      <c r="F503" s="10">
        <f>D503*E503</f>
      </c>
      <c r="G503" s="8"/>
    </row>
    <row r="504" ht="21" customHeight="1" spans="1:7" x14ac:dyDescent="0.25">
      <c r="A504" s="8"/>
      <c r="B504" s="8"/>
      <c r="C504" s="8"/>
      <c r="D504" s="8"/>
      <c r="E504" s="10">
        <f>IFERROR(VLOOKUP(C504,'Inventory Master'!$A$3:$L$300,5,FALSE),0)</f>
      </c>
      <c r="F504" s="10">
        <f>D504*E504</f>
      </c>
      <c r="G504" s="8"/>
    </row>
    <row r="505" ht="21" customHeight="1" spans="1:7" x14ac:dyDescent="0.25">
      <c r="A505" s="8"/>
      <c r="B505" s="8"/>
      <c r="C505" s="8"/>
      <c r="D505" s="8"/>
      <c r="E505" s="10">
        <f>IFERROR(VLOOKUP(C505,'Inventory Master'!$A$3:$L$300,5,FALSE),0)</f>
      </c>
      <c r="F505" s="10">
        <f>D505*E505</f>
      </c>
      <c r="G505" s="8"/>
    </row>
    <row r="506" ht="21" customHeight="1" spans="1:7" x14ac:dyDescent="0.25">
      <c r="A506" s="8"/>
      <c r="B506" s="8"/>
      <c r="C506" s="8"/>
      <c r="D506" s="8"/>
      <c r="E506" s="10">
        <f>IFERROR(VLOOKUP(C506,'Inventory Master'!$A$3:$L$300,5,FALSE),0)</f>
      </c>
      <c r="F506" s="10">
        <f>D506*E506</f>
      </c>
      <c r="G506" s="8"/>
    </row>
    <row r="507" ht="21" customHeight="1" spans="1:7" x14ac:dyDescent="0.25">
      <c r="A507" s="8"/>
      <c r="B507" s="8"/>
      <c r="C507" s="8"/>
      <c r="D507" s="8"/>
      <c r="E507" s="10">
        <f>IFERROR(VLOOKUP(C507,'Inventory Master'!$A$3:$L$300,5,FALSE),0)</f>
      </c>
      <c r="F507" s="10">
        <f>D507*E507</f>
      </c>
      <c r="G507" s="8"/>
    </row>
    <row r="508" ht="21" customHeight="1" spans="1:7" x14ac:dyDescent="0.25">
      <c r="A508" s="8"/>
      <c r="B508" s="8"/>
      <c r="C508" s="8"/>
      <c r="D508" s="8"/>
      <c r="E508" s="10">
        <f>IFERROR(VLOOKUP(C508,'Inventory Master'!$A$3:$L$300,5,FALSE),0)</f>
      </c>
      <c r="F508" s="10">
        <f>D508*E508</f>
      </c>
      <c r="G508" s="8"/>
    </row>
    <row r="509" ht="21" customHeight="1" spans="1:7" x14ac:dyDescent="0.25">
      <c r="A509" s="8"/>
      <c r="B509" s="8"/>
      <c r="C509" s="8"/>
      <c r="D509" s="8"/>
      <c r="E509" s="10">
        <f>IFERROR(VLOOKUP(C509,'Inventory Master'!$A$3:$L$300,5,FALSE),0)</f>
      </c>
      <c r="F509" s="10">
        <f>D509*E509</f>
      </c>
      <c r="G509" s="8"/>
    </row>
    <row r="510" ht="21" customHeight="1" spans="1:7" x14ac:dyDescent="0.25">
      <c r="A510" s="8"/>
      <c r="B510" s="8"/>
      <c r="C510" s="8"/>
      <c r="D510" s="8"/>
      <c r="E510" s="10">
        <f>IFERROR(VLOOKUP(C510,'Inventory Master'!$A$3:$L$300,5,FALSE),0)</f>
      </c>
      <c r="F510" s="10">
        <f>D510*E510</f>
      </c>
      <c r="G510" s="8"/>
    </row>
    <row r="511" ht="21" customHeight="1" spans="1:7" x14ac:dyDescent="0.25">
      <c r="A511" s="8"/>
      <c r="B511" s="8"/>
      <c r="C511" s="8"/>
      <c r="D511" s="8"/>
      <c r="E511" s="10">
        <f>IFERROR(VLOOKUP(C511,'Inventory Master'!$A$3:$L$300,5,FALSE),0)</f>
      </c>
      <c r="F511" s="10">
        <f>D511*E511</f>
      </c>
      <c r="G511" s="8"/>
    </row>
    <row r="512" ht="21" customHeight="1" spans="1:7" x14ac:dyDescent="0.25">
      <c r="A512" s="8"/>
      <c r="B512" s="8"/>
      <c r="C512" s="8"/>
      <c r="D512" s="8"/>
      <c r="E512" s="10">
        <f>IFERROR(VLOOKUP(C512,'Inventory Master'!$A$3:$L$300,5,FALSE),0)</f>
      </c>
      <c r="F512" s="10">
        <f>D512*E512</f>
      </c>
      <c r="G512" s="8"/>
    </row>
    <row r="513" ht="21" customHeight="1" spans="1:7" x14ac:dyDescent="0.25">
      <c r="A513" s="8"/>
      <c r="B513" s="8"/>
      <c r="C513" s="8"/>
      <c r="D513" s="8"/>
      <c r="E513" s="10">
        <f>IFERROR(VLOOKUP(C513,'Inventory Master'!$A$3:$L$300,5,FALSE),0)</f>
      </c>
      <c r="F513" s="10">
        <f>D513*E513</f>
      </c>
      <c r="G513" s="8"/>
    </row>
    <row r="514" ht="21" customHeight="1" spans="1:7" x14ac:dyDescent="0.25">
      <c r="A514" s="8"/>
      <c r="B514" s="8"/>
      <c r="C514" s="8"/>
      <c r="D514" s="8"/>
      <c r="E514" s="10">
        <f>IFERROR(VLOOKUP(C514,'Inventory Master'!$A$3:$L$300,5,FALSE),0)</f>
      </c>
      <c r="F514" s="10">
        <f>D514*E514</f>
      </c>
      <c r="G514" s="8"/>
    </row>
    <row r="515" ht="21" customHeight="1" spans="1:7" x14ac:dyDescent="0.25">
      <c r="A515" s="8"/>
      <c r="B515" s="8"/>
      <c r="C515" s="8"/>
      <c r="D515" s="8"/>
      <c r="E515" s="10">
        <f>IFERROR(VLOOKUP(C515,'Inventory Master'!$A$3:$L$300,5,FALSE),0)</f>
      </c>
      <c r="F515" s="10">
        <f>D515*E515</f>
      </c>
      <c r="G515" s="8"/>
    </row>
    <row r="516" ht="21" customHeight="1" spans="1:7" x14ac:dyDescent="0.25">
      <c r="A516" s="8"/>
      <c r="B516" s="8"/>
      <c r="C516" s="8"/>
      <c r="D516" s="8"/>
      <c r="E516" s="10">
        <f>IFERROR(VLOOKUP(C516,'Inventory Master'!$A$3:$L$300,5,FALSE),0)</f>
      </c>
      <c r="F516" s="10">
        <f>D516*E516</f>
      </c>
      <c r="G516" s="8"/>
    </row>
    <row r="517" ht="21" customHeight="1" spans="1:7" x14ac:dyDescent="0.25">
      <c r="A517" s="8"/>
      <c r="B517" s="8"/>
      <c r="C517" s="8"/>
      <c r="D517" s="8"/>
      <c r="E517" s="10">
        <f>IFERROR(VLOOKUP(C517,'Inventory Master'!$A$3:$L$300,5,FALSE),0)</f>
      </c>
      <c r="F517" s="10">
        <f>D517*E517</f>
      </c>
      <c r="G517" s="8"/>
    </row>
    <row r="518" ht="21" customHeight="1" spans="1:7" x14ac:dyDescent="0.25">
      <c r="A518" s="8"/>
      <c r="B518" s="8"/>
      <c r="C518" s="8"/>
      <c r="D518" s="8"/>
      <c r="E518" s="10">
        <f>IFERROR(VLOOKUP(C518,'Inventory Master'!$A$3:$L$300,5,FALSE),0)</f>
      </c>
      <c r="F518" s="10">
        <f>D518*E518</f>
      </c>
      <c r="G518" s="8"/>
    </row>
    <row r="519" ht="21" customHeight="1" spans="1:7" x14ac:dyDescent="0.25">
      <c r="A519" s="8"/>
      <c r="B519" s="8"/>
      <c r="C519" s="8"/>
      <c r="D519" s="8"/>
      <c r="E519" s="10">
        <f>IFERROR(VLOOKUP(C519,'Inventory Master'!$A$3:$L$300,5,FALSE),0)</f>
      </c>
      <c r="F519" s="10">
        <f>D519*E519</f>
      </c>
      <c r="G519" s="8"/>
    </row>
    <row r="520" ht="21" customHeight="1" spans="1:7" x14ac:dyDescent="0.25">
      <c r="A520" s="8"/>
      <c r="B520" s="8"/>
      <c r="C520" s="8"/>
      <c r="D520" s="8"/>
      <c r="E520" s="10">
        <f>IFERROR(VLOOKUP(C520,'Inventory Master'!$A$3:$L$300,5,FALSE),0)</f>
      </c>
      <c r="F520" s="10">
        <f>D520*E520</f>
      </c>
      <c r="G520" s="8"/>
    </row>
    <row r="521" ht="21" customHeight="1" spans="1:7" x14ac:dyDescent="0.25">
      <c r="A521" s="8"/>
      <c r="B521" s="8"/>
      <c r="C521" s="8"/>
      <c r="D521" s="8"/>
      <c r="E521" s="10">
        <f>IFERROR(VLOOKUP(C521,'Inventory Master'!$A$3:$L$300,5,FALSE),0)</f>
      </c>
      <c r="F521" s="10">
        <f>D521*E521</f>
      </c>
      <c r="G521" s="8"/>
    </row>
    <row r="522" ht="21" customHeight="1" spans="1:7" x14ac:dyDescent="0.25">
      <c r="A522" s="8"/>
      <c r="B522" s="8"/>
      <c r="C522" s="8"/>
      <c r="D522" s="8"/>
      <c r="E522" s="10">
        <f>IFERROR(VLOOKUP(C522,'Inventory Master'!$A$3:$L$300,5,FALSE),0)</f>
      </c>
      <c r="F522" s="10">
        <f>D522*E522</f>
      </c>
      <c r="G522" s="8"/>
    </row>
    <row r="523" ht="21" customHeight="1" spans="1:7" x14ac:dyDescent="0.25">
      <c r="A523" s="8"/>
      <c r="B523" s="8"/>
      <c r="C523" s="8"/>
      <c r="D523" s="8"/>
      <c r="E523" s="10">
        <f>IFERROR(VLOOKUP(C523,'Inventory Master'!$A$3:$L$300,5,FALSE),0)</f>
      </c>
      <c r="F523" s="10">
        <f>D523*E523</f>
      </c>
      <c r="G523" s="8"/>
    </row>
    <row r="524" ht="21" customHeight="1" spans="1:7" x14ac:dyDescent="0.25">
      <c r="A524" s="8"/>
      <c r="B524" s="8"/>
      <c r="C524" s="8"/>
      <c r="D524" s="8"/>
      <c r="E524" s="10">
        <f>IFERROR(VLOOKUP(C524,'Inventory Master'!$A$3:$L$300,5,FALSE),0)</f>
      </c>
      <c r="F524" s="10">
        <f>D524*E524</f>
      </c>
      <c r="G524" s="8"/>
    </row>
    <row r="525" ht="21" customHeight="1" spans="1:7" x14ac:dyDescent="0.25">
      <c r="A525" s="8"/>
      <c r="B525" s="8"/>
      <c r="C525" s="8"/>
      <c r="D525" s="8"/>
      <c r="E525" s="10">
        <f>IFERROR(VLOOKUP(C525,'Inventory Master'!$A$3:$L$300,5,FALSE),0)</f>
      </c>
      <c r="F525" s="10">
        <f>D525*E525</f>
      </c>
      <c r="G525" s="8"/>
    </row>
    <row r="526" ht="21" customHeight="1" spans="1:7" x14ac:dyDescent="0.25">
      <c r="A526" s="8"/>
      <c r="B526" s="8"/>
      <c r="C526" s="8"/>
      <c r="D526" s="8"/>
      <c r="E526" s="10">
        <f>IFERROR(VLOOKUP(C526,'Inventory Master'!$A$3:$L$300,5,FALSE),0)</f>
      </c>
      <c r="F526" s="10">
        <f>D526*E526</f>
      </c>
      <c r="G526" s="8"/>
    </row>
    <row r="527" ht="21" customHeight="1" spans="1:7" x14ac:dyDescent="0.25">
      <c r="A527" s="8"/>
      <c r="B527" s="8"/>
      <c r="C527" s="8"/>
      <c r="D527" s="8"/>
      <c r="E527" s="10">
        <f>IFERROR(VLOOKUP(C527,'Inventory Master'!$A$3:$L$300,5,FALSE),0)</f>
      </c>
      <c r="F527" s="10">
        <f>D527*E527</f>
      </c>
      <c r="G527" s="8"/>
    </row>
    <row r="528" ht="21" customHeight="1" spans="1:7" x14ac:dyDescent="0.25">
      <c r="A528" s="8"/>
      <c r="B528" s="8"/>
      <c r="C528" s="8"/>
      <c r="D528" s="8"/>
      <c r="E528" s="10">
        <f>IFERROR(VLOOKUP(C528,'Inventory Master'!$A$3:$L$300,5,FALSE),0)</f>
      </c>
      <c r="F528" s="10">
        <f>D528*E528</f>
      </c>
      <c r="G528" s="8"/>
    </row>
    <row r="529" ht="21" customHeight="1" spans="1:7" x14ac:dyDescent="0.25">
      <c r="A529" s="8"/>
      <c r="B529" s="8"/>
      <c r="C529" s="8"/>
      <c r="D529" s="8"/>
      <c r="E529" s="10">
        <f>IFERROR(VLOOKUP(C529,'Inventory Master'!$A$3:$L$300,5,FALSE),0)</f>
      </c>
      <c r="F529" s="10">
        <f>D529*E529</f>
      </c>
      <c r="G529" s="8"/>
    </row>
    <row r="530" ht="21" customHeight="1" spans="1:7" x14ac:dyDescent="0.25">
      <c r="A530" s="8"/>
      <c r="B530" s="8"/>
      <c r="C530" s="8"/>
      <c r="D530" s="8"/>
      <c r="E530" s="10">
        <f>IFERROR(VLOOKUP(C530,'Inventory Master'!$A$3:$L$300,5,FALSE),0)</f>
      </c>
      <c r="F530" s="10">
        <f>D530*E530</f>
      </c>
      <c r="G530" s="8"/>
    </row>
    <row r="531" ht="21" customHeight="1" spans="1:7" x14ac:dyDescent="0.25">
      <c r="A531" s="8"/>
      <c r="B531" s="8"/>
      <c r="C531" s="8"/>
      <c r="D531" s="8"/>
      <c r="E531" s="10">
        <f>IFERROR(VLOOKUP(C531,'Inventory Master'!$A$3:$L$300,5,FALSE),0)</f>
      </c>
      <c r="F531" s="10">
        <f>D531*E531</f>
      </c>
      <c r="G531" s="8"/>
    </row>
    <row r="532" ht="21" customHeight="1" spans="1:7" x14ac:dyDescent="0.25">
      <c r="A532" s="8"/>
      <c r="B532" s="8"/>
      <c r="C532" s="8"/>
      <c r="D532" s="8"/>
      <c r="E532" s="10">
        <f>IFERROR(VLOOKUP(C532,'Inventory Master'!$A$3:$L$300,5,FALSE),0)</f>
      </c>
      <c r="F532" s="10">
        <f>D532*E532</f>
      </c>
      <c r="G532" s="8"/>
    </row>
    <row r="533" ht="21" customHeight="1" spans="1:7" x14ac:dyDescent="0.25">
      <c r="A533" s="8"/>
      <c r="B533" s="8"/>
      <c r="C533" s="8"/>
      <c r="D533" s="8"/>
      <c r="E533" s="10">
        <f>IFERROR(VLOOKUP(C533,'Inventory Master'!$A$3:$L$300,5,FALSE),0)</f>
      </c>
      <c r="F533" s="10">
        <f>D533*E533</f>
      </c>
      <c r="G533" s="8"/>
    </row>
    <row r="534" ht="21" customHeight="1" spans="1:7" x14ac:dyDescent="0.25">
      <c r="A534" s="8"/>
      <c r="B534" s="8"/>
      <c r="C534" s="8"/>
      <c r="D534" s="8"/>
      <c r="E534" s="10">
        <f>IFERROR(VLOOKUP(C534,'Inventory Master'!$A$3:$L$300,5,FALSE),0)</f>
      </c>
      <c r="F534" s="10">
        <f>D534*E534</f>
      </c>
      <c r="G534" s="8"/>
    </row>
    <row r="535" ht="21" customHeight="1" spans="1:7" x14ac:dyDescent="0.25">
      <c r="A535" s="8"/>
      <c r="B535" s="8"/>
      <c r="C535" s="8"/>
      <c r="D535" s="8"/>
      <c r="E535" s="10">
        <f>IFERROR(VLOOKUP(C535,'Inventory Master'!$A$3:$L$300,5,FALSE),0)</f>
      </c>
      <c r="F535" s="10">
        <f>D535*E535</f>
      </c>
      <c r="G535" s="8"/>
    </row>
    <row r="536" ht="21" customHeight="1" spans="1:7" x14ac:dyDescent="0.25">
      <c r="A536" s="8"/>
      <c r="B536" s="8"/>
      <c r="C536" s="8"/>
      <c r="D536" s="8"/>
      <c r="E536" s="10">
        <f>IFERROR(VLOOKUP(C536,'Inventory Master'!$A$3:$L$300,5,FALSE),0)</f>
      </c>
      <c r="F536" s="10">
        <f>D536*E536</f>
      </c>
      <c r="G536" s="8"/>
    </row>
    <row r="537" ht="21" customHeight="1" spans="1:7" x14ac:dyDescent="0.25">
      <c r="A537" s="8"/>
      <c r="B537" s="8"/>
      <c r="C537" s="8"/>
      <c r="D537" s="8"/>
      <c r="E537" s="10">
        <f>IFERROR(VLOOKUP(C537,'Inventory Master'!$A$3:$L$300,5,FALSE),0)</f>
      </c>
      <c r="F537" s="10">
        <f>D537*E537</f>
      </c>
      <c r="G537" s="8"/>
    </row>
    <row r="538" ht="21" customHeight="1" spans="1:7" x14ac:dyDescent="0.25">
      <c r="A538" s="8"/>
      <c r="B538" s="8"/>
      <c r="C538" s="8"/>
      <c r="D538" s="8"/>
      <c r="E538" s="10">
        <f>IFERROR(VLOOKUP(C538,'Inventory Master'!$A$3:$L$300,5,FALSE),0)</f>
      </c>
      <c r="F538" s="10">
        <f>D538*E538</f>
      </c>
      <c r="G538" s="8"/>
    </row>
    <row r="539" ht="21" customHeight="1" spans="1:7" x14ac:dyDescent="0.25">
      <c r="A539" s="8"/>
      <c r="B539" s="8"/>
      <c r="C539" s="8"/>
      <c r="D539" s="8"/>
      <c r="E539" s="10">
        <f>IFERROR(VLOOKUP(C539,'Inventory Master'!$A$3:$L$300,5,FALSE),0)</f>
      </c>
      <c r="F539" s="10">
        <f>D539*E539</f>
      </c>
      <c r="G539" s="8"/>
    </row>
    <row r="540" ht="21" customHeight="1" spans="1:7" x14ac:dyDescent="0.25">
      <c r="A540" s="8"/>
      <c r="B540" s="8"/>
      <c r="C540" s="8"/>
      <c r="D540" s="8"/>
      <c r="E540" s="10">
        <f>IFERROR(VLOOKUP(C540,'Inventory Master'!$A$3:$L$300,5,FALSE),0)</f>
      </c>
      <c r="F540" s="10">
        <f>D540*E540</f>
      </c>
      <c r="G540" s="8"/>
    </row>
    <row r="541" ht="21" customHeight="1" spans="1:7" x14ac:dyDescent="0.25">
      <c r="A541" s="8"/>
      <c r="B541" s="8"/>
      <c r="C541" s="8"/>
      <c r="D541" s="8"/>
      <c r="E541" s="10">
        <f>IFERROR(VLOOKUP(C541,'Inventory Master'!$A$3:$L$300,5,FALSE),0)</f>
      </c>
      <c r="F541" s="10">
        <f>D541*E541</f>
      </c>
      <c r="G541" s="8"/>
    </row>
    <row r="542" ht="21" customHeight="1" spans="1:7" x14ac:dyDescent="0.25">
      <c r="A542" s="8"/>
      <c r="B542" s="8"/>
      <c r="C542" s="8"/>
      <c r="D542" s="8"/>
      <c r="E542" s="10">
        <f>IFERROR(VLOOKUP(C542,'Inventory Master'!$A$3:$L$300,5,FALSE),0)</f>
      </c>
      <c r="F542" s="10">
        <f>D542*E542</f>
      </c>
      <c r="G542" s="8"/>
    </row>
    <row r="543" ht="21" customHeight="1" spans="1:7" x14ac:dyDescent="0.25">
      <c r="A543" s="8"/>
      <c r="B543" s="8"/>
      <c r="C543" s="8"/>
      <c r="D543" s="8"/>
      <c r="E543" s="10">
        <f>IFERROR(VLOOKUP(C543,'Inventory Master'!$A$3:$L$300,5,FALSE),0)</f>
      </c>
      <c r="F543" s="10">
        <f>D543*E543</f>
      </c>
      <c r="G543" s="8"/>
    </row>
    <row r="544" ht="21" customHeight="1" spans="1:7" x14ac:dyDescent="0.25">
      <c r="A544" s="8"/>
      <c r="B544" s="8"/>
      <c r="C544" s="8"/>
      <c r="D544" s="8"/>
      <c r="E544" s="10">
        <f>IFERROR(VLOOKUP(C544,'Inventory Master'!$A$3:$L$300,5,FALSE),0)</f>
      </c>
      <c r="F544" s="10">
        <f>D544*E544</f>
      </c>
      <c r="G544" s="8"/>
    </row>
    <row r="545" ht="21" customHeight="1" spans="1:7" x14ac:dyDescent="0.25">
      <c r="A545" s="8"/>
      <c r="B545" s="8"/>
      <c r="C545" s="8"/>
      <c r="D545" s="8"/>
      <c r="E545" s="10">
        <f>IFERROR(VLOOKUP(C545,'Inventory Master'!$A$3:$L$300,5,FALSE),0)</f>
      </c>
      <c r="F545" s="10">
        <f>D545*E545</f>
      </c>
      <c r="G545" s="8"/>
    </row>
    <row r="546" ht="21" customHeight="1" spans="1:7" x14ac:dyDescent="0.25">
      <c r="A546" s="8"/>
      <c r="B546" s="8"/>
      <c r="C546" s="8"/>
      <c r="D546" s="8"/>
      <c r="E546" s="10">
        <f>IFERROR(VLOOKUP(C546,'Inventory Master'!$A$3:$L$300,5,FALSE),0)</f>
      </c>
      <c r="F546" s="10">
        <f>D546*E546</f>
      </c>
      <c r="G546" s="8"/>
    </row>
    <row r="547" ht="21" customHeight="1" spans="1:7" x14ac:dyDescent="0.25">
      <c r="A547" s="8"/>
      <c r="B547" s="8"/>
      <c r="C547" s="8"/>
      <c r="D547" s="8"/>
      <c r="E547" s="10">
        <f>IFERROR(VLOOKUP(C547,'Inventory Master'!$A$3:$L$300,5,FALSE),0)</f>
      </c>
      <c r="F547" s="10">
        <f>D547*E547</f>
      </c>
      <c r="G547" s="8"/>
    </row>
    <row r="548" ht="21" customHeight="1" spans="1:7" x14ac:dyDescent="0.25">
      <c r="A548" s="8"/>
      <c r="B548" s="8"/>
      <c r="C548" s="8"/>
      <c r="D548" s="8"/>
      <c r="E548" s="10">
        <f>IFERROR(VLOOKUP(C548,'Inventory Master'!$A$3:$L$300,5,FALSE),0)</f>
      </c>
      <c r="F548" s="10">
        <f>D548*E548</f>
      </c>
      <c r="G548" s="8"/>
    </row>
    <row r="549" ht="21" customHeight="1" spans="1:7" x14ac:dyDescent="0.25">
      <c r="A549" s="8"/>
      <c r="B549" s="8"/>
      <c r="C549" s="8"/>
      <c r="D549" s="8"/>
      <c r="E549" s="10">
        <f>IFERROR(VLOOKUP(C549,'Inventory Master'!$A$3:$L$300,5,FALSE),0)</f>
      </c>
      <c r="F549" s="10">
        <f>D549*E549</f>
      </c>
      <c r="G549" s="8"/>
    </row>
    <row r="550" ht="21" customHeight="1" spans="1:7" x14ac:dyDescent="0.25">
      <c r="A550" s="8"/>
      <c r="B550" s="8"/>
      <c r="C550" s="8"/>
      <c r="D550" s="8"/>
      <c r="E550" s="10">
        <f>IFERROR(VLOOKUP(C550,'Inventory Master'!$A$3:$L$300,5,FALSE),0)</f>
      </c>
      <c r="F550" s="10">
        <f>D550*E550</f>
      </c>
      <c r="G550" s="8"/>
    </row>
    <row r="551" ht="21" customHeight="1" spans="1:7" x14ac:dyDescent="0.25">
      <c r="A551" s="8"/>
      <c r="B551" s="8"/>
      <c r="C551" s="8"/>
      <c r="D551" s="8"/>
      <c r="E551" s="10">
        <f>IFERROR(VLOOKUP(C551,'Inventory Master'!$A$3:$L$300,5,FALSE),0)</f>
      </c>
      <c r="F551" s="10">
        <f>D551*E551</f>
      </c>
      <c r="G551" s="8"/>
    </row>
    <row r="552" ht="21" customHeight="1" spans="1:7" x14ac:dyDescent="0.25">
      <c r="A552" s="8"/>
      <c r="B552" s="8"/>
      <c r="C552" s="8"/>
      <c r="D552" s="8"/>
      <c r="E552" s="10">
        <f>IFERROR(VLOOKUP(C552,'Inventory Master'!$A$3:$L$300,5,FALSE),0)</f>
      </c>
      <c r="F552" s="10">
        <f>D552*E552</f>
      </c>
      <c r="G552" s="8"/>
    </row>
    <row r="553" ht="21" customHeight="1" spans="1:7" x14ac:dyDescent="0.25">
      <c r="A553" s="8"/>
      <c r="B553" s="8"/>
      <c r="C553" s="8"/>
      <c r="D553" s="8"/>
      <c r="E553" s="10">
        <f>IFERROR(VLOOKUP(C553,'Inventory Master'!$A$3:$L$300,5,FALSE),0)</f>
      </c>
      <c r="F553" s="10">
        <f>D553*E553</f>
      </c>
      <c r="G553" s="8"/>
    </row>
    <row r="554" ht="21" customHeight="1" spans="1:7" x14ac:dyDescent="0.25">
      <c r="A554" s="8"/>
      <c r="B554" s="8"/>
      <c r="C554" s="8"/>
      <c r="D554" s="8"/>
      <c r="E554" s="10">
        <f>IFERROR(VLOOKUP(C554,'Inventory Master'!$A$3:$L$300,5,FALSE),0)</f>
      </c>
      <c r="F554" s="10">
        <f>D554*E554</f>
      </c>
      <c r="G554" s="8"/>
    </row>
    <row r="555" ht="21" customHeight="1" spans="1:7" x14ac:dyDescent="0.25">
      <c r="A555" s="8"/>
      <c r="B555" s="8"/>
      <c r="C555" s="8"/>
      <c r="D555" s="8"/>
      <c r="E555" s="10">
        <f>IFERROR(VLOOKUP(C555,'Inventory Master'!$A$3:$L$300,5,FALSE),0)</f>
      </c>
      <c r="F555" s="10">
        <f>D555*E555</f>
      </c>
      <c r="G555" s="8"/>
    </row>
    <row r="556" ht="21" customHeight="1" spans="1:7" x14ac:dyDescent="0.25">
      <c r="A556" s="8"/>
      <c r="B556" s="8"/>
      <c r="C556" s="8"/>
      <c r="D556" s="8"/>
      <c r="E556" s="10">
        <f>IFERROR(VLOOKUP(C556,'Inventory Master'!$A$3:$L$300,5,FALSE),0)</f>
      </c>
      <c r="F556" s="10">
        <f>D556*E556</f>
      </c>
      <c r="G556" s="8"/>
    </row>
    <row r="557" ht="21" customHeight="1" spans="1:7" x14ac:dyDescent="0.25">
      <c r="A557" s="8"/>
      <c r="B557" s="8"/>
      <c r="C557" s="8"/>
      <c r="D557" s="8"/>
      <c r="E557" s="10">
        <f>IFERROR(VLOOKUP(C557,'Inventory Master'!$A$3:$L$300,5,FALSE),0)</f>
      </c>
      <c r="F557" s="10">
        <f>D557*E557</f>
      </c>
      <c r="G557" s="8"/>
    </row>
    <row r="558" ht="21" customHeight="1" spans="1:7" x14ac:dyDescent="0.25">
      <c r="A558" s="8"/>
      <c r="B558" s="8"/>
      <c r="C558" s="8"/>
      <c r="D558" s="8"/>
      <c r="E558" s="10">
        <f>IFERROR(VLOOKUP(C558,'Inventory Master'!$A$3:$L$300,5,FALSE),0)</f>
      </c>
      <c r="F558" s="10">
        <f>D558*E558</f>
      </c>
      <c r="G558" s="8"/>
    </row>
    <row r="559" ht="21" customHeight="1" spans="1:7" x14ac:dyDescent="0.25">
      <c r="A559" s="8"/>
      <c r="B559" s="8"/>
      <c r="C559" s="8"/>
      <c r="D559" s="8"/>
      <c r="E559" s="10">
        <f>IFERROR(VLOOKUP(C559,'Inventory Master'!$A$3:$L$300,5,FALSE),0)</f>
      </c>
      <c r="F559" s="10">
        <f>D559*E559</f>
      </c>
      <c r="G559" s="8"/>
    </row>
    <row r="560" ht="21" customHeight="1" spans="1:7" x14ac:dyDescent="0.25">
      <c r="A560" s="8"/>
      <c r="B560" s="8"/>
      <c r="C560" s="8"/>
      <c r="D560" s="8"/>
      <c r="E560" s="10">
        <f>IFERROR(VLOOKUP(C560,'Inventory Master'!$A$3:$L$300,5,FALSE),0)</f>
      </c>
      <c r="F560" s="10">
        <f>D560*E560</f>
      </c>
      <c r="G560" s="8"/>
    </row>
    <row r="561" ht="21" customHeight="1" spans="1:7" x14ac:dyDescent="0.25">
      <c r="A561" s="8"/>
      <c r="B561" s="8"/>
      <c r="C561" s="8"/>
      <c r="D561" s="8"/>
      <c r="E561" s="10">
        <f>IFERROR(VLOOKUP(C561,'Inventory Master'!$A$3:$L$300,5,FALSE),0)</f>
      </c>
      <c r="F561" s="10">
        <f>D561*E561</f>
      </c>
      <c r="G561" s="8"/>
    </row>
    <row r="562" ht="21" customHeight="1" spans="1:7" x14ac:dyDescent="0.25">
      <c r="A562" s="8"/>
      <c r="B562" s="8"/>
      <c r="C562" s="8"/>
      <c r="D562" s="8"/>
      <c r="E562" s="10">
        <f>IFERROR(VLOOKUP(C562,'Inventory Master'!$A$3:$L$300,5,FALSE),0)</f>
      </c>
      <c r="F562" s="10">
        <f>D562*E562</f>
      </c>
      <c r="G562" s="8"/>
    </row>
    <row r="563" ht="21" customHeight="1" spans="1:7" x14ac:dyDescent="0.25">
      <c r="A563" s="8"/>
      <c r="B563" s="8"/>
      <c r="C563" s="8"/>
      <c r="D563" s="8"/>
      <c r="E563" s="10">
        <f>IFERROR(VLOOKUP(C563,'Inventory Master'!$A$3:$L$300,5,FALSE),0)</f>
      </c>
      <c r="F563" s="10">
        <f>D563*E563</f>
      </c>
      <c r="G563" s="8"/>
    </row>
    <row r="564" ht="21" customHeight="1" spans="1:7" x14ac:dyDescent="0.25">
      <c r="A564" s="8"/>
      <c r="B564" s="8"/>
      <c r="C564" s="8"/>
      <c r="D564" s="8"/>
      <c r="E564" s="10">
        <f>IFERROR(VLOOKUP(C564,'Inventory Master'!$A$3:$L$300,5,FALSE),0)</f>
      </c>
      <c r="F564" s="10">
        <f>D564*E564</f>
      </c>
      <c r="G564" s="8"/>
    </row>
    <row r="565" ht="21" customHeight="1" spans="1:7" x14ac:dyDescent="0.25">
      <c r="A565" s="8"/>
      <c r="B565" s="8"/>
      <c r="C565" s="8"/>
      <c r="D565" s="8"/>
      <c r="E565" s="10">
        <f>IFERROR(VLOOKUP(C565,'Inventory Master'!$A$3:$L$300,5,FALSE),0)</f>
      </c>
      <c r="F565" s="10">
        <f>D565*E565</f>
      </c>
      <c r="G565" s="8"/>
    </row>
    <row r="566" ht="21" customHeight="1" spans="1:7" x14ac:dyDescent="0.25">
      <c r="A566" s="8"/>
      <c r="B566" s="8"/>
      <c r="C566" s="8"/>
      <c r="D566" s="8"/>
      <c r="E566" s="10">
        <f>IFERROR(VLOOKUP(C566,'Inventory Master'!$A$3:$L$300,5,FALSE),0)</f>
      </c>
      <c r="F566" s="10">
        <f>D566*E566</f>
      </c>
      <c r="G566" s="8"/>
    </row>
    <row r="567" ht="21" customHeight="1" spans="1:7" x14ac:dyDescent="0.25">
      <c r="A567" s="8"/>
      <c r="B567" s="8"/>
      <c r="C567" s="8"/>
      <c r="D567" s="8"/>
      <c r="E567" s="10">
        <f>IFERROR(VLOOKUP(C567,'Inventory Master'!$A$3:$L$300,5,FALSE),0)</f>
      </c>
      <c r="F567" s="10">
        <f>D567*E567</f>
      </c>
      <c r="G567" s="8"/>
    </row>
    <row r="568" ht="21" customHeight="1" spans="1:7" x14ac:dyDescent="0.25">
      <c r="A568" s="8"/>
      <c r="B568" s="8"/>
      <c r="C568" s="8"/>
      <c r="D568" s="8"/>
      <c r="E568" s="10">
        <f>IFERROR(VLOOKUP(C568,'Inventory Master'!$A$3:$L$300,5,FALSE),0)</f>
      </c>
      <c r="F568" s="10">
        <f>D568*E568</f>
      </c>
      <c r="G568" s="8"/>
    </row>
    <row r="569" ht="21" customHeight="1" spans="1:7" x14ac:dyDescent="0.25">
      <c r="A569" s="8"/>
      <c r="B569" s="8"/>
      <c r="C569" s="8"/>
      <c r="D569" s="8"/>
      <c r="E569" s="10">
        <f>IFERROR(VLOOKUP(C569,'Inventory Master'!$A$3:$L$300,5,FALSE),0)</f>
      </c>
      <c r="F569" s="10">
        <f>D569*E569</f>
      </c>
      <c r="G569" s="8"/>
    </row>
    <row r="570" ht="21" customHeight="1" spans="1:7" x14ac:dyDescent="0.25">
      <c r="A570" s="8"/>
      <c r="B570" s="8"/>
      <c r="C570" s="8"/>
      <c r="D570" s="8"/>
      <c r="E570" s="10">
        <f>IFERROR(VLOOKUP(C570,'Inventory Master'!$A$3:$L$300,5,FALSE),0)</f>
      </c>
      <c r="F570" s="10">
        <f>D570*E570</f>
      </c>
      <c r="G570" s="8"/>
    </row>
    <row r="571" ht="21" customHeight="1" spans="1:7" x14ac:dyDescent="0.25">
      <c r="A571" s="8"/>
      <c r="B571" s="8"/>
      <c r="C571" s="8"/>
      <c r="D571" s="8"/>
      <c r="E571" s="10">
        <f>IFERROR(VLOOKUP(C571,'Inventory Master'!$A$3:$L$300,5,FALSE),0)</f>
      </c>
      <c r="F571" s="10">
        <f>D571*E571</f>
      </c>
      <c r="G571" s="8"/>
    </row>
    <row r="572" ht="21" customHeight="1" spans="1:7" x14ac:dyDescent="0.25">
      <c r="A572" s="8"/>
      <c r="B572" s="8"/>
      <c r="C572" s="8"/>
      <c r="D572" s="8"/>
      <c r="E572" s="10">
        <f>IFERROR(VLOOKUP(C572,'Inventory Master'!$A$3:$L$300,5,FALSE),0)</f>
      </c>
      <c r="F572" s="10">
        <f>D572*E572</f>
      </c>
      <c r="G572" s="8"/>
    </row>
    <row r="573" ht="21" customHeight="1" spans="1:7" x14ac:dyDescent="0.25">
      <c r="A573" s="8"/>
      <c r="B573" s="8"/>
      <c r="C573" s="8"/>
      <c r="D573" s="8"/>
      <c r="E573" s="10">
        <f>IFERROR(VLOOKUP(C573,'Inventory Master'!$A$3:$L$300,5,FALSE),0)</f>
      </c>
      <c r="F573" s="10">
        <f>D573*E573</f>
      </c>
      <c r="G573" s="8"/>
    </row>
    <row r="574" ht="21" customHeight="1" spans="1:7" x14ac:dyDescent="0.25">
      <c r="A574" s="8"/>
      <c r="B574" s="8"/>
      <c r="C574" s="8"/>
      <c r="D574" s="8"/>
      <c r="E574" s="10">
        <f>IFERROR(VLOOKUP(C574,'Inventory Master'!$A$3:$L$300,5,FALSE),0)</f>
      </c>
      <c r="F574" s="10">
        <f>D574*E574</f>
      </c>
      <c r="G574" s="8"/>
    </row>
    <row r="575" ht="21" customHeight="1" spans="1:7" x14ac:dyDescent="0.25">
      <c r="A575" s="8"/>
      <c r="B575" s="8"/>
      <c r="C575" s="8"/>
      <c r="D575" s="8"/>
      <c r="E575" s="10">
        <f>IFERROR(VLOOKUP(C575,'Inventory Master'!$A$3:$L$300,5,FALSE),0)</f>
      </c>
      <c r="F575" s="10">
        <f>D575*E575</f>
      </c>
      <c r="G575" s="8"/>
    </row>
    <row r="576" ht="21" customHeight="1" spans="1:7" x14ac:dyDescent="0.25">
      <c r="A576" s="8"/>
      <c r="B576" s="8"/>
      <c r="C576" s="8"/>
      <c r="D576" s="8"/>
      <c r="E576" s="10">
        <f>IFERROR(VLOOKUP(C576,'Inventory Master'!$A$3:$L$300,5,FALSE),0)</f>
      </c>
      <c r="F576" s="10">
        <f>D576*E576</f>
      </c>
      <c r="G576" s="8"/>
    </row>
    <row r="577" ht="21" customHeight="1" spans="1:7" x14ac:dyDescent="0.25">
      <c r="A577" s="8"/>
      <c r="B577" s="8"/>
      <c r="C577" s="8"/>
      <c r="D577" s="8"/>
      <c r="E577" s="10">
        <f>IFERROR(VLOOKUP(C577,'Inventory Master'!$A$3:$L$300,5,FALSE),0)</f>
      </c>
      <c r="F577" s="10">
        <f>D577*E577</f>
      </c>
      <c r="G577" s="8"/>
    </row>
    <row r="578" ht="21" customHeight="1" spans="1:7" x14ac:dyDescent="0.25">
      <c r="A578" s="8"/>
      <c r="B578" s="8"/>
      <c r="C578" s="8"/>
      <c r="D578" s="8"/>
      <c r="E578" s="10">
        <f>IFERROR(VLOOKUP(C578,'Inventory Master'!$A$3:$L$300,5,FALSE),0)</f>
      </c>
      <c r="F578" s="10">
        <f>D578*E578</f>
      </c>
      <c r="G578" s="8"/>
    </row>
    <row r="579" ht="21" customHeight="1" spans="1:7" x14ac:dyDescent="0.25">
      <c r="A579" s="8"/>
      <c r="B579" s="8"/>
      <c r="C579" s="8"/>
      <c r="D579" s="8"/>
      <c r="E579" s="10">
        <f>IFERROR(VLOOKUP(C579,'Inventory Master'!$A$3:$L$300,5,FALSE),0)</f>
      </c>
      <c r="F579" s="10">
        <f>D579*E579</f>
      </c>
      <c r="G579" s="8"/>
    </row>
    <row r="580" ht="21" customHeight="1" spans="1:7" x14ac:dyDescent="0.25">
      <c r="A580" s="8"/>
      <c r="B580" s="8"/>
      <c r="C580" s="8"/>
      <c r="D580" s="8"/>
      <c r="E580" s="10">
        <f>IFERROR(VLOOKUP(C580,'Inventory Master'!$A$3:$L$300,5,FALSE),0)</f>
      </c>
      <c r="F580" s="10">
        <f>D580*E580</f>
      </c>
      <c r="G580" s="8"/>
    </row>
    <row r="581" ht="21" customHeight="1" spans="1:7" x14ac:dyDescent="0.25">
      <c r="A581" s="8"/>
      <c r="B581" s="8"/>
      <c r="C581" s="8"/>
      <c r="D581" s="8"/>
      <c r="E581" s="10">
        <f>IFERROR(VLOOKUP(C581,'Inventory Master'!$A$3:$L$300,5,FALSE),0)</f>
      </c>
      <c r="F581" s="10">
        <f>D581*E581</f>
      </c>
      <c r="G581" s="8"/>
    </row>
    <row r="582" ht="21" customHeight="1" spans="1:7" x14ac:dyDescent="0.25">
      <c r="A582" s="8"/>
      <c r="B582" s="8"/>
      <c r="C582" s="8"/>
      <c r="D582" s="8"/>
      <c r="E582" s="10">
        <f>IFERROR(VLOOKUP(C582,'Inventory Master'!$A$3:$L$300,5,FALSE),0)</f>
      </c>
      <c r="F582" s="10">
        <f>D582*E582</f>
      </c>
      <c r="G582" s="8"/>
    </row>
    <row r="583" ht="21" customHeight="1" spans="1:7" x14ac:dyDescent="0.25">
      <c r="A583" s="8"/>
      <c r="B583" s="8"/>
      <c r="C583" s="8"/>
      <c r="D583" s="8"/>
      <c r="E583" s="10">
        <f>IFERROR(VLOOKUP(C583,'Inventory Master'!$A$3:$L$300,5,FALSE),0)</f>
      </c>
      <c r="F583" s="10">
        <f>D583*E583</f>
      </c>
      <c r="G583" s="8"/>
    </row>
    <row r="584" ht="21" customHeight="1" spans="1:7" x14ac:dyDescent="0.25">
      <c r="A584" s="8"/>
      <c r="B584" s="8"/>
      <c r="C584" s="8"/>
      <c r="D584" s="8"/>
      <c r="E584" s="10">
        <f>IFERROR(VLOOKUP(C584,'Inventory Master'!$A$3:$L$300,5,FALSE),0)</f>
      </c>
      <c r="F584" s="10">
        <f>D584*E584</f>
      </c>
      <c r="G584" s="8"/>
    </row>
    <row r="585" ht="21" customHeight="1" spans="1:7" x14ac:dyDescent="0.25">
      <c r="A585" s="8"/>
      <c r="B585" s="8"/>
      <c r="C585" s="8"/>
      <c r="D585" s="8"/>
      <c r="E585" s="10">
        <f>IFERROR(VLOOKUP(C585,'Inventory Master'!$A$3:$L$300,5,FALSE),0)</f>
      </c>
      <c r="F585" s="10">
        <f>D585*E585</f>
      </c>
      <c r="G585" s="8"/>
    </row>
    <row r="586" ht="21" customHeight="1" spans="1:7" x14ac:dyDescent="0.25">
      <c r="A586" s="8"/>
      <c r="B586" s="8"/>
      <c r="C586" s="8"/>
      <c r="D586" s="8"/>
      <c r="E586" s="10">
        <f>IFERROR(VLOOKUP(C586,'Inventory Master'!$A$3:$L$300,5,FALSE),0)</f>
      </c>
      <c r="F586" s="10">
        <f>D586*E586</f>
      </c>
      <c r="G586" s="8"/>
    </row>
    <row r="587" ht="21" customHeight="1" spans="1:7" x14ac:dyDescent="0.25">
      <c r="A587" s="8"/>
      <c r="B587" s="8"/>
      <c r="C587" s="8"/>
      <c r="D587" s="8"/>
      <c r="E587" s="10">
        <f>IFERROR(VLOOKUP(C587,'Inventory Master'!$A$3:$L$300,5,FALSE),0)</f>
      </c>
      <c r="F587" s="10">
        <f>D587*E587</f>
      </c>
      <c r="G587" s="8"/>
    </row>
    <row r="588" ht="21" customHeight="1" spans="1:7" x14ac:dyDescent="0.25">
      <c r="A588" s="8"/>
      <c r="B588" s="8"/>
      <c r="C588" s="8"/>
      <c r="D588" s="8"/>
      <c r="E588" s="10">
        <f>IFERROR(VLOOKUP(C588,'Inventory Master'!$A$3:$L$300,5,FALSE),0)</f>
      </c>
      <c r="F588" s="10">
        <f>D588*E588</f>
      </c>
      <c r="G588" s="8"/>
    </row>
    <row r="589" ht="21" customHeight="1" spans="1:7" x14ac:dyDescent="0.25">
      <c r="A589" s="8"/>
      <c r="B589" s="8"/>
      <c r="C589" s="8"/>
      <c r="D589" s="8"/>
      <c r="E589" s="10">
        <f>IFERROR(VLOOKUP(C589,'Inventory Master'!$A$3:$L$300,5,FALSE),0)</f>
      </c>
      <c r="F589" s="10">
        <f>D589*E589</f>
      </c>
      <c r="G589" s="8"/>
    </row>
    <row r="590" ht="21" customHeight="1" spans="1:7" x14ac:dyDescent="0.25">
      <c r="A590" s="8"/>
      <c r="B590" s="8"/>
      <c r="C590" s="8"/>
      <c r="D590" s="8"/>
      <c r="E590" s="10">
        <f>IFERROR(VLOOKUP(C590,'Inventory Master'!$A$3:$L$300,5,FALSE),0)</f>
      </c>
      <c r="F590" s="10">
        <f>D590*E590</f>
      </c>
      <c r="G590" s="8"/>
    </row>
    <row r="591" ht="21" customHeight="1" spans="1:7" x14ac:dyDescent="0.25">
      <c r="A591" s="8"/>
      <c r="B591" s="8"/>
      <c r="C591" s="8"/>
      <c r="D591" s="8"/>
      <c r="E591" s="10">
        <f>IFERROR(VLOOKUP(C591,'Inventory Master'!$A$3:$L$300,5,FALSE),0)</f>
      </c>
      <c r="F591" s="10">
        <f>D591*E591</f>
      </c>
      <c r="G591" s="8"/>
    </row>
    <row r="592" ht="21" customHeight="1" spans="1:7" x14ac:dyDescent="0.25">
      <c r="A592" s="8"/>
      <c r="B592" s="8"/>
      <c r="C592" s="8"/>
      <c r="D592" s="8"/>
      <c r="E592" s="10">
        <f>IFERROR(VLOOKUP(C592,'Inventory Master'!$A$3:$L$300,5,FALSE),0)</f>
      </c>
      <c r="F592" s="10">
        <f>D592*E592</f>
      </c>
      <c r="G592" s="8"/>
    </row>
    <row r="593" ht="21" customHeight="1" spans="1:7" x14ac:dyDescent="0.25">
      <c r="A593" s="8"/>
      <c r="B593" s="8"/>
      <c r="C593" s="8"/>
      <c r="D593" s="8"/>
      <c r="E593" s="10">
        <f>IFERROR(VLOOKUP(C593,'Inventory Master'!$A$3:$L$300,5,FALSE),0)</f>
      </c>
      <c r="F593" s="10">
        <f>D593*E593</f>
      </c>
      <c r="G593" s="8"/>
    </row>
    <row r="594" ht="21" customHeight="1" spans="1:7" x14ac:dyDescent="0.25">
      <c r="A594" s="8"/>
      <c r="B594" s="8"/>
      <c r="C594" s="8"/>
      <c r="D594" s="8"/>
      <c r="E594" s="10">
        <f>IFERROR(VLOOKUP(C594,'Inventory Master'!$A$3:$L$300,5,FALSE),0)</f>
      </c>
      <c r="F594" s="10">
        <f>D594*E594</f>
      </c>
      <c r="G594" s="8"/>
    </row>
    <row r="595" ht="21" customHeight="1" spans="1:7" x14ac:dyDescent="0.25">
      <c r="A595" s="8"/>
      <c r="B595" s="8"/>
      <c r="C595" s="8"/>
      <c r="D595" s="8"/>
      <c r="E595" s="10">
        <f>IFERROR(VLOOKUP(C595,'Inventory Master'!$A$3:$L$300,5,FALSE),0)</f>
      </c>
      <c r="F595" s="10">
        <f>D595*E595</f>
      </c>
      <c r="G595" s="8"/>
    </row>
    <row r="596" ht="21" customHeight="1" spans="1:7" x14ac:dyDescent="0.25">
      <c r="A596" s="8"/>
      <c r="B596" s="8"/>
      <c r="C596" s="8"/>
      <c r="D596" s="8"/>
      <c r="E596" s="10">
        <f>IFERROR(VLOOKUP(C596,'Inventory Master'!$A$3:$L$300,5,FALSE),0)</f>
      </c>
      <c r="F596" s="10">
        <f>D596*E596</f>
      </c>
      <c r="G596" s="8"/>
    </row>
    <row r="597" ht="21" customHeight="1" spans="1:7" x14ac:dyDescent="0.25">
      <c r="A597" s="8"/>
      <c r="B597" s="8"/>
      <c r="C597" s="8"/>
      <c r="D597" s="8"/>
      <c r="E597" s="10">
        <f>IFERROR(VLOOKUP(C597,'Inventory Master'!$A$3:$L$300,5,FALSE),0)</f>
      </c>
      <c r="F597" s="10">
        <f>D597*E597</f>
      </c>
      <c r="G597" s="8"/>
    </row>
    <row r="598" ht="21" customHeight="1" spans="1:7" x14ac:dyDescent="0.25">
      <c r="A598" s="8"/>
      <c r="B598" s="8"/>
      <c r="C598" s="8"/>
      <c r="D598" s="8"/>
      <c r="E598" s="10">
        <f>IFERROR(VLOOKUP(C598,'Inventory Master'!$A$3:$L$300,5,FALSE),0)</f>
      </c>
      <c r="F598" s="10">
        <f>D598*E598</f>
      </c>
      <c r="G598" s="8"/>
    </row>
    <row r="599" ht="21" customHeight="1" spans="1:7" x14ac:dyDescent="0.25">
      <c r="A599" s="8"/>
      <c r="B599" s="8"/>
      <c r="C599" s="8"/>
      <c r="D599" s="8"/>
      <c r="E599" s="10">
        <f>IFERROR(VLOOKUP(C599,'Inventory Master'!$A$3:$L$300,5,FALSE),0)</f>
      </c>
      <c r="F599" s="10">
        <f>D599*E599</f>
      </c>
      <c r="G599" s="8"/>
    </row>
    <row r="600" ht="21" customHeight="1" spans="1:7" x14ac:dyDescent="0.25">
      <c r="A600" s="8"/>
      <c r="B600" s="8"/>
      <c r="C600" s="8"/>
      <c r="D600" s="8"/>
      <c r="E600" s="10">
        <f>IFERROR(VLOOKUP(C600,'Inventory Master'!$A$3:$L$300,5,FALSE),0)</f>
      </c>
      <c r="F600" s="10">
        <f>D600*E600</f>
      </c>
      <c r="G600" s="8"/>
    </row>
    <row r="601" ht="21" customHeight="1" spans="1:7" x14ac:dyDescent="0.25">
      <c r="A601" s="8"/>
      <c r="B601" s="8"/>
      <c r="C601" s="8"/>
      <c r="D601" s="8"/>
      <c r="E601" s="10">
        <f>IFERROR(VLOOKUP(C601,'Inventory Master'!$A$3:$L$300,5,FALSE),0)</f>
      </c>
      <c r="F601" s="10">
        <f>D601*E601</f>
      </c>
      <c r="G601" s="8"/>
    </row>
    <row r="602" ht="21" customHeight="1" spans="1:7" x14ac:dyDescent="0.25">
      <c r="A602" s="8"/>
      <c r="B602" s="8"/>
      <c r="C602" s="8"/>
      <c r="D602" s="8"/>
      <c r="E602" s="10">
        <f>IFERROR(VLOOKUP(C602,'Inventory Master'!$A$3:$L$300,5,FALSE),0)</f>
      </c>
      <c r="F602" s="10">
        <f>D602*E602</f>
      </c>
      <c r="G602" s="8"/>
    </row>
    <row r="603" ht="21" customHeight="1" spans="1:7" x14ac:dyDescent="0.25">
      <c r="A603" s="8"/>
      <c r="B603" s="8"/>
      <c r="C603" s="8"/>
      <c r="D603" s="8"/>
      <c r="E603" s="10">
        <f>IFERROR(VLOOKUP(C603,'Inventory Master'!$A$3:$L$300,5,FALSE),0)</f>
      </c>
      <c r="F603" s="10">
        <f>D603*E603</f>
      </c>
      <c r="G603" s="8"/>
    </row>
    <row r="604" ht="21" customHeight="1" spans="1:7" x14ac:dyDescent="0.25">
      <c r="A604" s="8"/>
      <c r="B604" s="8"/>
      <c r="C604" s="8"/>
      <c r="D604" s="8"/>
      <c r="E604" s="10">
        <f>IFERROR(VLOOKUP(C604,'Inventory Master'!$A$3:$L$300,5,FALSE),0)</f>
      </c>
      <c r="F604" s="10">
        <f>D604*E604</f>
      </c>
      <c r="G604" s="8"/>
    </row>
    <row r="605" ht="21" customHeight="1" spans="1:7" x14ac:dyDescent="0.25">
      <c r="A605" s="8"/>
      <c r="B605" s="8"/>
      <c r="C605" s="8"/>
      <c r="D605" s="8"/>
      <c r="E605" s="10">
        <f>IFERROR(VLOOKUP(C605,'Inventory Master'!$A$3:$L$300,5,FALSE),0)</f>
      </c>
      <c r="F605" s="10">
        <f>D605*E605</f>
      </c>
      <c r="G605" s="8"/>
    </row>
    <row r="606" ht="21" customHeight="1" spans="1:7" x14ac:dyDescent="0.25">
      <c r="A606" s="8"/>
      <c r="B606" s="8"/>
      <c r="C606" s="8"/>
      <c r="D606" s="8"/>
      <c r="E606" s="10">
        <f>IFERROR(VLOOKUP(C606,'Inventory Master'!$A$3:$L$300,5,FALSE),0)</f>
      </c>
      <c r="F606" s="10">
        <f>D606*E606</f>
      </c>
      <c r="G606" s="8"/>
    </row>
    <row r="607" ht="21" customHeight="1" spans="1:7" x14ac:dyDescent="0.25">
      <c r="A607" s="8"/>
      <c r="B607" s="8"/>
      <c r="C607" s="8"/>
      <c r="D607" s="8"/>
      <c r="E607" s="10">
        <f>IFERROR(VLOOKUP(C607,'Inventory Master'!$A$3:$L$300,5,FALSE),0)</f>
      </c>
      <c r="F607" s="10">
        <f>D607*E607</f>
      </c>
      <c r="G607" s="8"/>
    </row>
    <row r="608" ht="21" customHeight="1" spans="1:7" x14ac:dyDescent="0.25">
      <c r="A608" s="8"/>
      <c r="B608" s="8"/>
      <c r="C608" s="8"/>
      <c r="D608" s="8"/>
      <c r="E608" s="10">
        <f>IFERROR(VLOOKUP(C608,'Inventory Master'!$A$3:$L$300,5,FALSE),0)</f>
      </c>
      <c r="F608" s="10">
        <f>D608*E608</f>
      </c>
      <c r="G608" s="8"/>
    </row>
    <row r="609" ht="21" customHeight="1" spans="1:7" x14ac:dyDescent="0.25">
      <c r="A609" s="8"/>
      <c r="B609" s="8"/>
      <c r="C609" s="8"/>
      <c r="D609" s="8"/>
      <c r="E609" s="10">
        <f>IFERROR(VLOOKUP(C609,'Inventory Master'!$A$3:$L$300,5,FALSE),0)</f>
      </c>
      <c r="F609" s="10">
        <f>D609*E609</f>
      </c>
      <c r="G609" s="8"/>
    </row>
    <row r="610" ht="21" customHeight="1" spans="1:7" x14ac:dyDescent="0.25">
      <c r="A610" s="8"/>
      <c r="B610" s="8"/>
      <c r="C610" s="8"/>
      <c r="D610" s="8"/>
      <c r="E610" s="10">
        <f>IFERROR(VLOOKUP(C610,'Inventory Master'!$A$3:$L$300,5,FALSE),0)</f>
      </c>
      <c r="F610" s="10">
        <f>D610*E610</f>
      </c>
      <c r="G610" s="8"/>
    </row>
    <row r="611" ht="21" customHeight="1" spans="1:7" x14ac:dyDescent="0.25">
      <c r="A611" s="8"/>
      <c r="B611" s="8"/>
      <c r="C611" s="8"/>
      <c r="D611" s="8"/>
      <c r="E611" s="10">
        <f>IFERROR(VLOOKUP(C611,'Inventory Master'!$A$3:$L$300,5,FALSE),0)</f>
      </c>
      <c r="F611" s="10">
        <f>D611*E611</f>
      </c>
      <c r="G611" s="8"/>
    </row>
    <row r="612" ht="21" customHeight="1" spans="1:7" x14ac:dyDescent="0.25">
      <c r="A612" s="8"/>
      <c r="B612" s="8"/>
      <c r="C612" s="8"/>
      <c r="D612" s="8"/>
      <c r="E612" s="10">
        <f>IFERROR(VLOOKUP(C612,'Inventory Master'!$A$3:$L$300,5,FALSE),0)</f>
      </c>
      <c r="F612" s="10">
        <f>D612*E612</f>
      </c>
      <c r="G612" s="8"/>
    </row>
    <row r="613" ht="21" customHeight="1" spans="1:7" x14ac:dyDescent="0.25">
      <c r="A613" s="8"/>
      <c r="B613" s="8"/>
      <c r="C613" s="8"/>
      <c r="D613" s="8"/>
      <c r="E613" s="10">
        <f>IFERROR(VLOOKUP(C613,'Inventory Master'!$A$3:$L$300,5,FALSE),0)</f>
      </c>
      <c r="F613" s="10">
        <f>D613*E613</f>
      </c>
      <c r="G613" s="8"/>
    </row>
    <row r="614" ht="21" customHeight="1" spans="1:7" x14ac:dyDescent="0.25">
      <c r="A614" s="8"/>
      <c r="B614" s="8"/>
      <c r="C614" s="8"/>
      <c r="D614" s="8"/>
      <c r="E614" s="10">
        <f>IFERROR(VLOOKUP(C614,'Inventory Master'!$A$3:$L$300,5,FALSE),0)</f>
      </c>
      <c r="F614" s="10">
        <f>D614*E614</f>
      </c>
      <c r="G614" s="8"/>
    </row>
    <row r="615" ht="21" customHeight="1" spans="1:7" x14ac:dyDescent="0.25">
      <c r="A615" s="8"/>
      <c r="B615" s="8"/>
      <c r="C615" s="8"/>
      <c r="D615" s="8"/>
      <c r="E615" s="10">
        <f>IFERROR(VLOOKUP(C615,'Inventory Master'!$A$3:$L$300,5,FALSE),0)</f>
      </c>
      <c r="F615" s="10">
        <f>D615*E615</f>
      </c>
      <c r="G615" s="8"/>
    </row>
    <row r="616" ht="21" customHeight="1" spans="1:7" x14ac:dyDescent="0.25">
      <c r="A616" s="8"/>
      <c r="B616" s="8"/>
      <c r="C616" s="8"/>
      <c r="D616" s="8"/>
      <c r="E616" s="10">
        <f>IFERROR(VLOOKUP(C616,'Inventory Master'!$A$3:$L$300,5,FALSE),0)</f>
      </c>
      <c r="F616" s="10">
        <f>D616*E616</f>
      </c>
      <c r="G616" s="8"/>
    </row>
    <row r="617" ht="21" customHeight="1" spans="1:7" x14ac:dyDescent="0.25">
      <c r="A617" s="8"/>
      <c r="B617" s="8"/>
      <c r="C617" s="8"/>
      <c r="D617" s="8"/>
      <c r="E617" s="10">
        <f>IFERROR(VLOOKUP(C617,'Inventory Master'!$A$3:$L$300,5,FALSE),0)</f>
      </c>
      <c r="F617" s="10">
        <f>D617*E617</f>
      </c>
      <c r="G617" s="8"/>
    </row>
    <row r="618" ht="21" customHeight="1" spans="1:7" x14ac:dyDescent="0.25">
      <c r="A618" s="8"/>
      <c r="B618" s="8"/>
      <c r="C618" s="8"/>
      <c r="D618" s="8"/>
      <c r="E618" s="10">
        <f>IFERROR(VLOOKUP(C618,'Inventory Master'!$A$3:$L$300,5,FALSE),0)</f>
      </c>
      <c r="F618" s="10">
        <f>D618*E618</f>
      </c>
      <c r="G618" s="8"/>
    </row>
    <row r="619" ht="21" customHeight="1" spans="1:7" x14ac:dyDescent="0.25">
      <c r="A619" s="8"/>
      <c r="B619" s="8"/>
      <c r="C619" s="8"/>
      <c r="D619" s="8"/>
      <c r="E619" s="10">
        <f>IFERROR(VLOOKUP(C619,'Inventory Master'!$A$3:$L$300,5,FALSE),0)</f>
      </c>
      <c r="F619" s="10">
        <f>D619*E619</f>
      </c>
      <c r="G619" s="8"/>
    </row>
    <row r="620" ht="21" customHeight="1" spans="1:7" x14ac:dyDescent="0.25">
      <c r="A620" s="8"/>
      <c r="B620" s="8"/>
      <c r="C620" s="8"/>
      <c r="D620" s="8"/>
      <c r="E620" s="10">
        <f>IFERROR(VLOOKUP(C620,'Inventory Master'!$A$3:$L$300,5,FALSE),0)</f>
      </c>
      <c r="F620" s="10">
        <f>D620*E620</f>
      </c>
      <c r="G620" s="8"/>
    </row>
    <row r="621" ht="21" customHeight="1" spans="1:7" x14ac:dyDescent="0.25">
      <c r="A621" s="8"/>
      <c r="B621" s="8"/>
      <c r="C621" s="8"/>
      <c r="D621" s="8"/>
      <c r="E621" s="10">
        <f>IFERROR(VLOOKUP(C621,'Inventory Master'!$A$3:$L$300,5,FALSE),0)</f>
      </c>
      <c r="F621" s="10">
        <f>D621*E621</f>
      </c>
      <c r="G621" s="8"/>
    </row>
    <row r="622" ht="21" customHeight="1" spans="1:7" x14ac:dyDescent="0.25">
      <c r="A622" s="8"/>
      <c r="B622" s="8"/>
      <c r="C622" s="8"/>
      <c r="D622" s="8"/>
      <c r="E622" s="10">
        <f>IFERROR(VLOOKUP(C622,'Inventory Master'!$A$3:$L$300,5,FALSE),0)</f>
      </c>
      <c r="F622" s="10">
        <f>D622*E622</f>
      </c>
      <c r="G622" s="8"/>
    </row>
    <row r="623" ht="21" customHeight="1" spans="1:7" x14ac:dyDescent="0.25">
      <c r="A623" s="8"/>
      <c r="B623" s="8"/>
      <c r="C623" s="8"/>
      <c r="D623" s="8"/>
      <c r="E623" s="10">
        <f>IFERROR(VLOOKUP(C623,'Inventory Master'!$A$3:$L$300,5,FALSE),0)</f>
      </c>
      <c r="F623" s="10">
        <f>D623*E623</f>
      </c>
      <c r="G623" s="8"/>
    </row>
    <row r="624" ht="21" customHeight="1" spans="1:7" x14ac:dyDescent="0.25">
      <c r="A624" s="8"/>
      <c r="B624" s="8"/>
      <c r="C624" s="8"/>
      <c r="D624" s="8"/>
      <c r="E624" s="10">
        <f>IFERROR(VLOOKUP(C624,'Inventory Master'!$A$3:$L$300,5,FALSE),0)</f>
      </c>
      <c r="F624" s="10">
        <f>D624*E624</f>
      </c>
      <c r="G624" s="8"/>
    </row>
    <row r="625" ht="21" customHeight="1" spans="1:7" x14ac:dyDescent="0.25">
      <c r="A625" s="8"/>
      <c r="B625" s="8"/>
      <c r="C625" s="8"/>
      <c r="D625" s="8"/>
      <c r="E625" s="10">
        <f>IFERROR(VLOOKUP(C625,'Inventory Master'!$A$3:$L$300,5,FALSE),0)</f>
      </c>
      <c r="F625" s="10">
        <f>D625*E625</f>
      </c>
      <c r="G625" s="8"/>
    </row>
    <row r="626" ht="21" customHeight="1" spans="1:7" x14ac:dyDescent="0.25">
      <c r="A626" s="8"/>
      <c r="B626" s="8"/>
      <c r="C626" s="8"/>
      <c r="D626" s="8"/>
      <c r="E626" s="10">
        <f>IFERROR(VLOOKUP(C626,'Inventory Master'!$A$3:$L$300,5,FALSE),0)</f>
      </c>
      <c r="F626" s="10">
        <f>D626*E626</f>
      </c>
      <c r="G626" s="8"/>
    </row>
    <row r="627" ht="21" customHeight="1" spans="1:7" x14ac:dyDescent="0.25">
      <c r="A627" s="8"/>
      <c r="B627" s="8"/>
      <c r="C627" s="8"/>
      <c r="D627" s="8"/>
      <c r="E627" s="10">
        <f>IFERROR(VLOOKUP(C627,'Inventory Master'!$A$3:$L$300,5,FALSE),0)</f>
      </c>
      <c r="F627" s="10">
        <f>D627*E627</f>
      </c>
      <c r="G627" s="8"/>
    </row>
    <row r="628" ht="21" customHeight="1" spans="1:7" x14ac:dyDescent="0.25">
      <c r="A628" s="8"/>
      <c r="B628" s="8"/>
      <c r="C628" s="8"/>
      <c r="D628" s="8"/>
      <c r="E628" s="10">
        <f>IFERROR(VLOOKUP(C628,'Inventory Master'!$A$3:$L$300,5,FALSE),0)</f>
      </c>
      <c r="F628" s="10">
        <f>D628*E628</f>
      </c>
      <c r="G628" s="8"/>
    </row>
    <row r="629" ht="21" customHeight="1" spans="1:7" x14ac:dyDescent="0.25">
      <c r="A629" s="8"/>
      <c r="B629" s="8"/>
      <c r="C629" s="8"/>
      <c r="D629" s="8"/>
      <c r="E629" s="10">
        <f>IFERROR(VLOOKUP(C629,'Inventory Master'!$A$3:$L$300,5,FALSE),0)</f>
      </c>
      <c r="F629" s="10">
        <f>D629*E629</f>
      </c>
      <c r="G629" s="8"/>
    </row>
    <row r="630" ht="21" customHeight="1" spans="1:7" x14ac:dyDescent="0.25">
      <c r="A630" s="8"/>
      <c r="B630" s="8"/>
      <c r="C630" s="8"/>
      <c r="D630" s="8"/>
      <c r="E630" s="10">
        <f>IFERROR(VLOOKUP(C630,'Inventory Master'!$A$3:$L$300,5,FALSE),0)</f>
      </c>
      <c r="F630" s="10">
        <f>D630*E630</f>
      </c>
      <c r="G630" s="8"/>
    </row>
    <row r="631" ht="21" customHeight="1" spans="1:7" x14ac:dyDescent="0.25">
      <c r="A631" s="8"/>
      <c r="B631" s="8"/>
      <c r="C631" s="8"/>
      <c r="D631" s="8"/>
      <c r="E631" s="10">
        <f>IFERROR(VLOOKUP(C631,'Inventory Master'!$A$3:$L$300,5,FALSE),0)</f>
      </c>
      <c r="F631" s="10">
        <f>D631*E631</f>
      </c>
      <c r="G631" s="8"/>
    </row>
    <row r="632" ht="21" customHeight="1" spans="1:7" x14ac:dyDescent="0.25">
      <c r="A632" s="8"/>
      <c r="B632" s="8"/>
      <c r="C632" s="8"/>
      <c r="D632" s="8"/>
      <c r="E632" s="10">
        <f>IFERROR(VLOOKUP(C632,'Inventory Master'!$A$3:$L$300,5,FALSE),0)</f>
      </c>
      <c r="F632" s="10">
        <f>D632*E632</f>
      </c>
      <c r="G632" s="8"/>
    </row>
    <row r="633" ht="21" customHeight="1" spans="1:7" x14ac:dyDescent="0.25">
      <c r="A633" s="8"/>
      <c r="B633" s="8"/>
      <c r="C633" s="8"/>
      <c r="D633" s="8"/>
      <c r="E633" s="10">
        <f>IFERROR(VLOOKUP(C633,'Inventory Master'!$A$3:$L$300,5,FALSE),0)</f>
      </c>
      <c r="F633" s="10">
        <f>D633*E633</f>
      </c>
      <c r="G633" s="8"/>
    </row>
    <row r="634" ht="21" customHeight="1" spans="1:7" x14ac:dyDescent="0.25">
      <c r="A634" s="8"/>
      <c r="B634" s="8"/>
      <c r="C634" s="8"/>
      <c r="D634" s="8"/>
      <c r="E634" s="10">
        <f>IFERROR(VLOOKUP(C634,'Inventory Master'!$A$3:$L$300,5,FALSE),0)</f>
      </c>
      <c r="F634" s="10">
        <f>D634*E634</f>
      </c>
      <c r="G634" s="8"/>
    </row>
    <row r="635" ht="21" customHeight="1" spans="1:7" x14ac:dyDescent="0.25">
      <c r="A635" s="8"/>
      <c r="B635" s="8"/>
      <c r="C635" s="8"/>
      <c r="D635" s="8"/>
      <c r="E635" s="10">
        <f>IFERROR(VLOOKUP(C635,'Inventory Master'!$A$3:$L$300,5,FALSE),0)</f>
      </c>
      <c r="F635" s="10">
        <f>D635*E635</f>
      </c>
      <c r="G635" s="8"/>
    </row>
    <row r="636" ht="21" customHeight="1" spans="1:7" x14ac:dyDescent="0.25">
      <c r="A636" s="8"/>
      <c r="B636" s="8"/>
      <c r="C636" s="8"/>
      <c r="D636" s="8"/>
      <c r="E636" s="10">
        <f>IFERROR(VLOOKUP(C636,'Inventory Master'!$A$3:$L$300,5,FALSE),0)</f>
      </c>
      <c r="F636" s="10">
        <f>D636*E636</f>
      </c>
      <c r="G636" s="8"/>
    </row>
    <row r="637" ht="21" customHeight="1" spans="1:7" x14ac:dyDescent="0.25">
      <c r="A637" s="8"/>
      <c r="B637" s="8"/>
      <c r="C637" s="8"/>
      <c r="D637" s="8"/>
      <c r="E637" s="10">
        <f>IFERROR(VLOOKUP(C637,'Inventory Master'!$A$3:$L$300,5,FALSE),0)</f>
      </c>
      <c r="F637" s="10">
        <f>D637*E637</f>
      </c>
      <c r="G637" s="8"/>
    </row>
    <row r="638" ht="21" customHeight="1" spans="1:7" x14ac:dyDescent="0.25">
      <c r="A638" s="8"/>
      <c r="B638" s="8"/>
      <c r="C638" s="8"/>
      <c r="D638" s="8"/>
      <c r="E638" s="10">
        <f>IFERROR(VLOOKUP(C638,'Inventory Master'!$A$3:$L$300,5,FALSE),0)</f>
      </c>
      <c r="F638" s="10">
        <f>D638*E638</f>
      </c>
      <c r="G638" s="8"/>
    </row>
    <row r="639" ht="21" customHeight="1" spans="1:7" x14ac:dyDescent="0.25">
      <c r="A639" s="8"/>
      <c r="B639" s="8"/>
      <c r="C639" s="8"/>
      <c r="D639" s="8"/>
      <c r="E639" s="10">
        <f>IFERROR(VLOOKUP(C639,'Inventory Master'!$A$3:$L$300,5,FALSE),0)</f>
      </c>
      <c r="F639" s="10">
        <f>D639*E639</f>
      </c>
      <c r="G639" s="8"/>
    </row>
    <row r="640" ht="21" customHeight="1" spans="1:7" x14ac:dyDescent="0.25">
      <c r="A640" s="8"/>
      <c r="B640" s="8"/>
      <c r="C640" s="8"/>
      <c r="D640" s="8"/>
      <c r="E640" s="10">
        <f>IFERROR(VLOOKUP(C640,'Inventory Master'!$A$3:$L$300,5,FALSE),0)</f>
      </c>
      <c r="F640" s="10">
        <f>D640*E640</f>
      </c>
      <c r="G640" s="8"/>
    </row>
    <row r="641" ht="21" customHeight="1" spans="1:7" x14ac:dyDescent="0.25">
      <c r="A641" s="8"/>
      <c r="B641" s="8"/>
      <c r="C641" s="8"/>
      <c r="D641" s="8"/>
      <c r="E641" s="10">
        <f>IFERROR(VLOOKUP(C641,'Inventory Master'!$A$3:$L$300,5,FALSE),0)</f>
      </c>
      <c r="F641" s="10">
        <f>D641*E641</f>
      </c>
      <c r="G641" s="8"/>
    </row>
    <row r="642" ht="21" customHeight="1" spans="1:7" x14ac:dyDescent="0.25">
      <c r="A642" s="8"/>
      <c r="B642" s="8"/>
      <c r="C642" s="8"/>
      <c r="D642" s="8"/>
      <c r="E642" s="10">
        <f>IFERROR(VLOOKUP(C642,'Inventory Master'!$A$3:$L$300,5,FALSE),0)</f>
      </c>
      <c r="F642" s="10">
        <f>D642*E642</f>
      </c>
      <c r="G642" s="8"/>
    </row>
    <row r="643" ht="21" customHeight="1" spans="1:7" x14ac:dyDescent="0.25">
      <c r="A643" s="8"/>
      <c r="B643" s="8"/>
      <c r="C643" s="8"/>
      <c r="D643" s="8"/>
      <c r="E643" s="10">
        <f>IFERROR(VLOOKUP(C643,'Inventory Master'!$A$3:$L$300,5,FALSE),0)</f>
      </c>
      <c r="F643" s="10">
        <f>D643*E643</f>
      </c>
      <c r="G643" s="8"/>
    </row>
    <row r="644" ht="21" customHeight="1" spans="1:7" x14ac:dyDescent="0.25">
      <c r="A644" s="8"/>
      <c r="B644" s="8"/>
      <c r="C644" s="8"/>
      <c r="D644" s="8"/>
      <c r="E644" s="10">
        <f>IFERROR(VLOOKUP(C644,'Inventory Master'!$A$3:$L$300,5,FALSE),0)</f>
      </c>
      <c r="F644" s="10">
        <f>D644*E644</f>
      </c>
      <c r="G644" s="8"/>
    </row>
    <row r="645" ht="21" customHeight="1" spans="1:7" x14ac:dyDescent="0.25">
      <c r="A645" s="8"/>
      <c r="B645" s="8"/>
      <c r="C645" s="8"/>
      <c r="D645" s="8"/>
      <c r="E645" s="10">
        <f>IFERROR(VLOOKUP(C645,'Inventory Master'!$A$3:$L$300,5,FALSE),0)</f>
      </c>
      <c r="F645" s="10">
        <f>D645*E645</f>
      </c>
      <c r="G645" s="8"/>
    </row>
    <row r="646" ht="21" customHeight="1" spans="1:7" x14ac:dyDescent="0.25">
      <c r="A646" s="8"/>
      <c r="B646" s="8"/>
      <c r="C646" s="8"/>
      <c r="D646" s="8"/>
      <c r="E646" s="10">
        <f>IFERROR(VLOOKUP(C646,'Inventory Master'!$A$3:$L$300,5,FALSE),0)</f>
      </c>
      <c r="F646" s="10">
        <f>D646*E646</f>
      </c>
      <c r="G646" s="8"/>
    </row>
    <row r="647" ht="21" customHeight="1" spans="1:7" x14ac:dyDescent="0.25">
      <c r="A647" s="8"/>
      <c r="B647" s="8"/>
      <c r="C647" s="8"/>
      <c r="D647" s="8"/>
      <c r="E647" s="10">
        <f>IFERROR(VLOOKUP(C647,'Inventory Master'!$A$3:$L$300,5,FALSE),0)</f>
      </c>
      <c r="F647" s="10">
        <f>D647*E647</f>
      </c>
      <c r="G647" s="8"/>
    </row>
    <row r="648" ht="21" customHeight="1" spans="1:7" x14ac:dyDescent="0.25">
      <c r="A648" s="8"/>
      <c r="B648" s="8"/>
      <c r="C648" s="8"/>
      <c r="D648" s="8"/>
      <c r="E648" s="10">
        <f>IFERROR(VLOOKUP(C648,'Inventory Master'!$A$3:$L$300,5,FALSE),0)</f>
      </c>
      <c r="F648" s="10">
        <f>D648*E648</f>
      </c>
      <c r="G648" s="8"/>
    </row>
    <row r="649" ht="21" customHeight="1" spans="1:7" x14ac:dyDescent="0.25">
      <c r="A649" s="8"/>
      <c r="B649" s="8"/>
      <c r="C649" s="8"/>
      <c r="D649" s="8"/>
      <c r="E649" s="10">
        <f>IFERROR(VLOOKUP(C649,'Inventory Master'!$A$3:$L$300,5,FALSE),0)</f>
      </c>
      <c r="F649" s="10">
        <f>D649*E649</f>
      </c>
      <c r="G649" s="8"/>
    </row>
    <row r="650" ht="21" customHeight="1" spans="1:7" x14ac:dyDescent="0.25">
      <c r="A650" s="8"/>
      <c r="B650" s="8"/>
      <c r="C650" s="8"/>
      <c r="D650" s="8"/>
      <c r="E650" s="10">
        <f>IFERROR(VLOOKUP(C650,'Inventory Master'!$A$3:$L$300,5,FALSE),0)</f>
      </c>
      <c r="F650" s="10">
        <f>D650*E650</f>
      </c>
      <c r="G650" s="8"/>
    </row>
    <row r="651" ht="21" customHeight="1" spans="1:7" x14ac:dyDescent="0.25">
      <c r="A651" s="8"/>
      <c r="B651" s="8"/>
      <c r="C651" s="8"/>
      <c r="D651" s="8"/>
      <c r="E651" s="10">
        <f>IFERROR(VLOOKUP(C651,'Inventory Master'!$A$3:$L$300,5,FALSE),0)</f>
      </c>
      <c r="F651" s="10">
        <f>D651*E651</f>
      </c>
      <c r="G651" s="8"/>
    </row>
    <row r="652" ht="21" customHeight="1" spans="1:7" x14ac:dyDescent="0.25">
      <c r="A652" s="8"/>
      <c r="B652" s="8"/>
      <c r="C652" s="8"/>
      <c r="D652" s="8"/>
      <c r="E652" s="10">
        <f>IFERROR(VLOOKUP(C652,'Inventory Master'!$A$3:$L$300,5,FALSE),0)</f>
      </c>
      <c r="F652" s="10">
        <f>D652*E652</f>
      </c>
      <c r="G652" s="8"/>
    </row>
    <row r="653" ht="21" customHeight="1" spans="1:7" x14ac:dyDescent="0.25">
      <c r="A653" s="8"/>
      <c r="B653" s="8"/>
      <c r="C653" s="8"/>
      <c r="D653" s="8"/>
      <c r="E653" s="10">
        <f>IFERROR(VLOOKUP(C653,'Inventory Master'!$A$3:$L$300,5,FALSE),0)</f>
      </c>
      <c r="F653" s="10">
        <f>D653*E653</f>
      </c>
      <c r="G653" s="8"/>
    </row>
    <row r="654" ht="21" customHeight="1" spans="1:7" x14ac:dyDescent="0.25">
      <c r="A654" s="8"/>
      <c r="B654" s="8"/>
      <c r="C654" s="8"/>
      <c r="D654" s="8"/>
      <c r="E654" s="10">
        <f>IFERROR(VLOOKUP(C654,'Inventory Master'!$A$3:$L$300,5,FALSE),0)</f>
      </c>
      <c r="F654" s="10">
        <f>D654*E654</f>
      </c>
      <c r="G654" s="8"/>
    </row>
    <row r="655" ht="21" customHeight="1" spans="1:7" x14ac:dyDescent="0.25">
      <c r="A655" s="8"/>
      <c r="B655" s="8"/>
      <c r="C655" s="8"/>
      <c r="D655" s="8"/>
      <c r="E655" s="10">
        <f>IFERROR(VLOOKUP(C655,'Inventory Master'!$A$3:$L$300,5,FALSE),0)</f>
      </c>
      <c r="F655" s="10">
        <f>D655*E655</f>
      </c>
      <c r="G655" s="8"/>
    </row>
    <row r="656" ht="21" customHeight="1" spans="1:7" x14ac:dyDescent="0.25">
      <c r="A656" s="8"/>
      <c r="B656" s="8"/>
      <c r="C656" s="8"/>
      <c r="D656" s="8"/>
      <c r="E656" s="10">
        <f>IFERROR(VLOOKUP(C656,'Inventory Master'!$A$3:$L$300,5,FALSE),0)</f>
      </c>
      <c r="F656" s="10">
        <f>D656*E656</f>
      </c>
      <c r="G656" s="8"/>
    </row>
    <row r="657" ht="21" customHeight="1" spans="1:7" x14ac:dyDescent="0.25">
      <c r="A657" s="8"/>
      <c r="B657" s="8"/>
      <c r="C657" s="8"/>
      <c r="D657" s="8"/>
      <c r="E657" s="10">
        <f>IFERROR(VLOOKUP(C657,'Inventory Master'!$A$3:$L$300,5,FALSE),0)</f>
      </c>
      <c r="F657" s="10">
        <f>D657*E657</f>
      </c>
      <c r="G657" s="8"/>
    </row>
    <row r="658" ht="21" customHeight="1" spans="1:7" x14ac:dyDescent="0.25">
      <c r="A658" s="8"/>
      <c r="B658" s="8"/>
      <c r="C658" s="8"/>
      <c r="D658" s="8"/>
      <c r="E658" s="10">
        <f>IFERROR(VLOOKUP(C658,'Inventory Master'!$A$3:$L$300,5,FALSE),0)</f>
      </c>
      <c r="F658" s="10">
        <f>D658*E658</f>
      </c>
      <c r="G658" s="8"/>
    </row>
    <row r="659" ht="21" customHeight="1" spans="1:7" x14ac:dyDescent="0.25">
      <c r="A659" s="8"/>
      <c r="B659" s="8"/>
      <c r="C659" s="8"/>
      <c r="D659" s="8"/>
      <c r="E659" s="10">
        <f>IFERROR(VLOOKUP(C659,'Inventory Master'!$A$3:$L$300,5,FALSE),0)</f>
      </c>
      <c r="F659" s="10">
        <f>D659*E659</f>
      </c>
      <c r="G659" s="8"/>
    </row>
    <row r="660" ht="21" customHeight="1" spans="1:7" x14ac:dyDescent="0.25">
      <c r="A660" s="8"/>
      <c r="B660" s="8"/>
      <c r="C660" s="8"/>
      <c r="D660" s="8"/>
      <c r="E660" s="10">
        <f>IFERROR(VLOOKUP(C660,'Inventory Master'!$A$3:$L$300,5,FALSE),0)</f>
      </c>
      <c r="F660" s="10">
        <f>D660*E660</f>
      </c>
      <c r="G660" s="8"/>
    </row>
    <row r="661" ht="21" customHeight="1" spans="1:7" x14ac:dyDescent="0.25">
      <c r="A661" s="8"/>
      <c r="B661" s="8"/>
      <c r="C661" s="8"/>
      <c r="D661" s="8"/>
      <c r="E661" s="10">
        <f>IFERROR(VLOOKUP(C661,'Inventory Master'!$A$3:$L$300,5,FALSE),0)</f>
      </c>
      <c r="F661" s="10">
        <f>D661*E661</f>
      </c>
      <c r="G661" s="8"/>
    </row>
    <row r="662" ht="21" customHeight="1" spans="1:7" x14ac:dyDescent="0.25">
      <c r="A662" s="8"/>
      <c r="B662" s="8"/>
      <c r="C662" s="8"/>
      <c r="D662" s="8"/>
      <c r="E662" s="10">
        <f>IFERROR(VLOOKUP(C662,'Inventory Master'!$A$3:$L$300,5,FALSE),0)</f>
      </c>
      <c r="F662" s="10">
        <f>D662*E662</f>
      </c>
      <c r="G662" s="8"/>
    </row>
    <row r="663" ht="21" customHeight="1" spans="1:7" x14ac:dyDescent="0.25">
      <c r="A663" s="8"/>
      <c r="B663" s="8"/>
      <c r="C663" s="8"/>
      <c r="D663" s="8"/>
      <c r="E663" s="10">
        <f>IFERROR(VLOOKUP(C663,'Inventory Master'!$A$3:$L$300,5,FALSE),0)</f>
      </c>
      <c r="F663" s="10">
        <f>D663*E663</f>
      </c>
      <c r="G663" s="8"/>
    </row>
    <row r="664" ht="21" customHeight="1" spans="1:7" x14ac:dyDescent="0.25">
      <c r="A664" s="8"/>
      <c r="B664" s="8"/>
      <c r="C664" s="8"/>
      <c r="D664" s="8"/>
      <c r="E664" s="10">
        <f>IFERROR(VLOOKUP(C664,'Inventory Master'!$A$3:$L$300,5,FALSE),0)</f>
      </c>
      <c r="F664" s="10">
        <f>D664*E664</f>
      </c>
      <c r="G664" s="8"/>
    </row>
    <row r="665" ht="21" customHeight="1" spans="1:7" x14ac:dyDescent="0.25">
      <c r="A665" s="8"/>
      <c r="B665" s="8"/>
      <c r="C665" s="8"/>
      <c r="D665" s="8"/>
      <c r="E665" s="10">
        <f>IFERROR(VLOOKUP(C665,'Inventory Master'!$A$3:$L$300,5,FALSE),0)</f>
      </c>
      <c r="F665" s="10">
        <f>D665*E665</f>
      </c>
      <c r="G665" s="8"/>
    </row>
    <row r="666" ht="21" customHeight="1" spans="1:7" x14ac:dyDescent="0.25">
      <c r="A666" s="8"/>
      <c r="B666" s="8"/>
      <c r="C666" s="8"/>
      <c r="D666" s="8"/>
      <c r="E666" s="10">
        <f>IFERROR(VLOOKUP(C666,'Inventory Master'!$A$3:$L$300,5,FALSE),0)</f>
      </c>
      <c r="F666" s="10">
        <f>D666*E666</f>
      </c>
      <c r="G666" s="8"/>
    </row>
    <row r="667" ht="21" customHeight="1" spans="1:7" x14ac:dyDescent="0.25">
      <c r="A667" s="8"/>
      <c r="B667" s="8"/>
      <c r="C667" s="8"/>
      <c r="D667" s="8"/>
      <c r="E667" s="10">
        <f>IFERROR(VLOOKUP(C667,'Inventory Master'!$A$3:$L$300,5,FALSE),0)</f>
      </c>
      <c r="F667" s="10">
        <f>D667*E667</f>
      </c>
      <c r="G667" s="8"/>
    </row>
    <row r="668" ht="21" customHeight="1" spans="1:7" x14ac:dyDescent="0.25">
      <c r="A668" s="8"/>
      <c r="B668" s="8"/>
      <c r="C668" s="8"/>
      <c r="D668" s="8"/>
      <c r="E668" s="10">
        <f>IFERROR(VLOOKUP(C668,'Inventory Master'!$A$3:$L$300,5,FALSE),0)</f>
      </c>
      <c r="F668" s="10">
        <f>D668*E668</f>
      </c>
      <c r="G668" s="8"/>
    </row>
    <row r="669" ht="21" customHeight="1" spans="1:7" x14ac:dyDescent="0.25">
      <c r="A669" s="8"/>
      <c r="B669" s="8"/>
      <c r="C669" s="8"/>
      <c r="D669" s="8"/>
      <c r="E669" s="10">
        <f>IFERROR(VLOOKUP(C669,'Inventory Master'!$A$3:$L$300,5,FALSE),0)</f>
      </c>
      <c r="F669" s="10">
        <f>D669*E669</f>
      </c>
      <c r="G669" s="8"/>
    </row>
    <row r="670" ht="21" customHeight="1" spans="1:7" x14ac:dyDescent="0.25">
      <c r="A670" s="8"/>
      <c r="B670" s="8"/>
      <c r="C670" s="8"/>
      <c r="D670" s="8"/>
      <c r="E670" s="10">
        <f>IFERROR(VLOOKUP(C670,'Inventory Master'!$A$3:$L$300,5,FALSE),0)</f>
      </c>
      <c r="F670" s="10">
        <f>D670*E670</f>
      </c>
      <c r="G670" s="8"/>
    </row>
    <row r="671" ht="21" customHeight="1" spans="1:7" x14ac:dyDescent="0.25">
      <c r="A671" s="8"/>
      <c r="B671" s="8"/>
      <c r="C671" s="8"/>
      <c r="D671" s="8"/>
      <c r="E671" s="10">
        <f>IFERROR(VLOOKUP(C671,'Inventory Master'!$A$3:$L$300,5,FALSE),0)</f>
      </c>
      <c r="F671" s="10">
        <f>D671*E671</f>
      </c>
      <c r="G671" s="8"/>
    </row>
    <row r="672" ht="21" customHeight="1" spans="1:7" x14ac:dyDescent="0.25">
      <c r="A672" s="8"/>
      <c r="B672" s="8"/>
      <c r="C672" s="8"/>
      <c r="D672" s="8"/>
      <c r="E672" s="10">
        <f>IFERROR(VLOOKUP(C672,'Inventory Master'!$A$3:$L$300,5,FALSE),0)</f>
      </c>
      <c r="F672" s="10">
        <f>D672*E672</f>
      </c>
      <c r="G672" s="8"/>
    </row>
    <row r="673" ht="21" customHeight="1" spans="1:7" x14ac:dyDescent="0.25">
      <c r="A673" s="8"/>
      <c r="B673" s="8"/>
      <c r="C673" s="8"/>
      <c r="D673" s="8"/>
      <c r="E673" s="10">
        <f>IFERROR(VLOOKUP(C673,'Inventory Master'!$A$3:$L$300,5,FALSE),0)</f>
      </c>
      <c r="F673" s="10">
        <f>D673*E673</f>
      </c>
      <c r="G673" s="8"/>
    </row>
    <row r="674" ht="21" customHeight="1" spans="1:7" x14ac:dyDescent="0.25">
      <c r="A674" s="8"/>
      <c r="B674" s="8"/>
      <c r="C674" s="8"/>
      <c r="D674" s="8"/>
      <c r="E674" s="10">
        <f>IFERROR(VLOOKUP(C674,'Inventory Master'!$A$3:$L$300,5,FALSE),0)</f>
      </c>
      <c r="F674" s="10">
        <f>D674*E674</f>
      </c>
      <c r="G674" s="8"/>
    </row>
    <row r="675" ht="21" customHeight="1" spans="1:7" x14ac:dyDescent="0.25">
      <c r="A675" s="8"/>
      <c r="B675" s="8"/>
      <c r="C675" s="8"/>
      <c r="D675" s="8"/>
      <c r="E675" s="10">
        <f>IFERROR(VLOOKUP(C675,'Inventory Master'!$A$3:$L$300,5,FALSE),0)</f>
      </c>
      <c r="F675" s="10">
        <f>D675*E675</f>
      </c>
      <c r="G675" s="8"/>
    </row>
    <row r="676" ht="21" customHeight="1" spans="1:7" x14ac:dyDescent="0.25">
      <c r="A676" s="8"/>
      <c r="B676" s="8"/>
      <c r="C676" s="8"/>
      <c r="D676" s="8"/>
      <c r="E676" s="10">
        <f>IFERROR(VLOOKUP(C676,'Inventory Master'!$A$3:$L$300,5,FALSE),0)</f>
      </c>
      <c r="F676" s="10">
        <f>D676*E676</f>
      </c>
      <c r="G676" s="8"/>
    </row>
    <row r="677" ht="21" customHeight="1" spans="1:7" x14ac:dyDescent="0.25">
      <c r="A677" s="8"/>
      <c r="B677" s="8"/>
      <c r="C677" s="8"/>
      <c r="D677" s="8"/>
      <c r="E677" s="10">
        <f>IFERROR(VLOOKUP(C677,'Inventory Master'!$A$3:$L$300,5,FALSE),0)</f>
      </c>
      <c r="F677" s="10">
        <f>D677*E677</f>
      </c>
      <c r="G677" s="8"/>
    </row>
    <row r="678" ht="21" customHeight="1" spans="1:7" x14ac:dyDescent="0.25">
      <c r="A678" s="8"/>
      <c r="B678" s="8"/>
      <c r="C678" s="8"/>
      <c r="D678" s="8"/>
      <c r="E678" s="10">
        <f>IFERROR(VLOOKUP(C678,'Inventory Master'!$A$3:$L$300,5,FALSE),0)</f>
      </c>
      <c r="F678" s="10">
        <f>D678*E678</f>
      </c>
      <c r="G678" s="8"/>
    </row>
    <row r="679" ht="21" customHeight="1" spans="1:7" x14ac:dyDescent="0.25">
      <c r="A679" s="8"/>
      <c r="B679" s="8"/>
      <c r="C679" s="8"/>
      <c r="D679" s="8"/>
      <c r="E679" s="10">
        <f>IFERROR(VLOOKUP(C679,'Inventory Master'!$A$3:$L$300,5,FALSE),0)</f>
      </c>
      <c r="F679" s="10">
        <f>D679*E679</f>
      </c>
      <c r="G679" s="8"/>
    </row>
    <row r="680" ht="21" customHeight="1" spans="1:7" x14ac:dyDescent="0.25">
      <c r="A680" s="8"/>
      <c r="B680" s="8"/>
      <c r="C680" s="8"/>
      <c r="D680" s="8"/>
      <c r="E680" s="10">
        <f>IFERROR(VLOOKUP(C680,'Inventory Master'!$A$3:$L$300,5,FALSE),0)</f>
      </c>
      <c r="F680" s="10">
        <f>D680*E680</f>
      </c>
      <c r="G680" s="8"/>
    </row>
    <row r="681" ht="21" customHeight="1" spans="1:7" x14ac:dyDescent="0.25">
      <c r="A681" s="8"/>
      <c r="B681" s="8"/>
      <c r="C681" s="8"/>
      <c r="D681" s="8"/>
      <c r="E681" s="10">
        <f>IFERROR(VLOOKUP(C681,'Inventory Master'!$A$3:$L$300,5,FALSE),0)</f>
      </c>
      <c r="F681" s="10">
        <f>D681*E681</f>
      </c>
      <c r="G681" s="8"/>
    </row>
    <row r="682" ht="21" customHeight="1" spans="1:7" x14ac:dyDescent="0.25">
      <c r="A682" s="8"/>
      <c r="B682" s="8"/>
      <c r="C682" s="8"/>
      <c r="D682" s="8"/>
      <c r="E682" s="10">
        <f>IFERROR(VLOOKUP(C682,'Inventory Master'!$A$3:$L$300,5,FALSE),0)</f>
      </c>
      <c r="F682" s="10">
        <f>D682*E682</f>
      </c>
      <c r="G682" s="8"/>
    </row>
    <row r="683" ht="21" customHeight="1" spans="1:7" x14ac:dyDescent="0.25">
      <c r="A683" s="8"/>
      <c r="B683" s="8"/>
      <c r="C683" s="8"/>
      <c r="D683" s="8"/>
      <c r="E683" s="10">
        <f>IFERROR(VLOOKUP(C683,'Inventory Master'!$A$3:$L$300,5,FALSE),0)</f>
      </c>
      <c r="F683" s="10">
        <f>D683*E683</f>
      </c>
      <c r="G683" s="8"/>
    </row>
    <row r="684" ht="21" customHeight="1" spans="1:7" x14ac:dyDescent="0.25">
      <c r="A684" s="8"/>
      <c r="B684" s="8"/>
      <c r="C684" s="8"/>
      <c r="D684" s="8"/>
      <c r="E684" s="10">
        <f>IFERROR(VLOOKUP(C684,'Inventory Master'!$A$3:$L$300,5,FALSE),0)</f>
      </c>
      <c r="F684" s="10">
        <f>D684*E684</f>
      </c>
      <c r="G684" s="8"/>
    </row>
    <row r="685" ht="21" customHeight="1" spans="1:7" x14ac:dyDescent="0.25">
      <c r="A685" s="8"/>
      <c r="B685" s="8"/>
      <c r="C685" s="8"/>
      <c r="D685" s="8"/>
      <c r="E685" s="10">
        <f>IFERROR(VLOOKUP(C685,'Inventory Master'!$A$3:$L$300,5,FALSE),0)</f>
      </c>
      <c r="F685" s="10">
        <f>D685*E685</f>
      </c>
      <c r="G685" s="8"/>
    </row>
    <row r="686" ht="21" customHeight="1" spans="1:7" x14ac:dyDescent="0.25">
      <c r="A686" s="8"/>
      <c r="B686" s="8"/>
      <c r="C686" s="8"/>
      <c r="D686" s="8"/>
      <c r="E686" s="10">
        <f>IFERROR(VLOOKUP(C686,'Inventory Master'!$A$3:$L$300,5,FALSE),0)</f>
      </c>
      <c r="F686" s="10">
        <f>D686*E686</f>
      </c>
      <c r="G686" s="8"/>
    </row>
    <row r="687" ht="21" customHeight="1" spans="1:7" x14ac:dyDescent="0.25">
      <c r="A687" s="8"/>
      <c r="B687" s="8"/>
      <c r="C687" s="8"/>
      <c r="D687" s="8"/>
      <c r="E687" s="10">
        <f>IFERROR(VLOOKUP(C687,'Inventory Master'!$A$3:$L$300,5,FALSE),0)</f>
      </c>
      <c r="F687" s="10">
        <f>D687*E687</f>
      </c>
      <c r="G687" s="8"/>
    </row>
    <row r="688" ht="21" customHeight="1" spans="1:7" x14ac:dyDescent="0.25">
      <c r="A688" s="8"/>
      <c r="B688" s="8"/>
      <c r="C688" s="8"/>
      <c r="D688" s="8"/>
      <c r="E688" s="10">
        <f>IFERROR(VLOOKUP(C688,'Inventory Master'!$A$3:$L$300,5,FALSE),0)</f>
      </c>
      <c r="F688" s="10">
        <f>D688*E688</f>
      </c>
      <c r="G688" s="8"/>
    </row>
    <row r="689" ht="21" customHeight="1" spans="1:7" x14ac:dyDescent="0.25">
      <c r="A689" s="8"/>
      <c r="B689" s="8"/>
      <c r="C689" s="8"/>
      <c r="D689" s="8"/>
      <c r="E689" s="10">
        <f>IFERROR(VLOOKUP(C689,'Inventory Master'!$A$3:$L$300,5,FALSE),0)</f>
      </c>
      <c r="F689" s="10">
        <f>D689*E689</f>
      </c>
      <c r="G689" s="8"/>
    </row>
    <row r="690" ht="21" customHeight="1" spans="1:7" x14ac:dyDescent="0.25">
      <c r="A690" s="8"/>
      <c r="B690" s="8"/>
      <c r="C690" s="8"/>
      <c r="D690" s="8"/>
      <c r="E690" s="10">
        <f>IFERROR(VLOOKUP(C690,'Inventory Master'!$A$3:$L$300,5,FALSE),0)</f>
      </c>
      <c r="F690" s="10">
        <f>D690*E690</f>
      </c>
      <c r="G690" s="8"/>
    </row>
    <row r="691" ht="21" customHeight="1" spans="1:7" x14ac:dyDescent="0.25">
      <c r="A691" s="8"/>
      <c r="B691" s="8"/>
      <c r="C691" s="8"/>
      <c r="D691" s="8"/>
      <c r="E691" s="10">
        <f>IFERROR(VLOOKUP(C691,'Inventory Master'!$A$3:$L$300,5,FALSE),0)</f>
      </c>
      <c r="F691" s="10">
        <f>D691*E691</f>
      </c>
      <c r="G691" s="8"/>
    </row>
    <row r="692" ht="21" customHeight="1" spans="1:7" x14ac:dyDescent="0.25">
      <c r="A692" s="8"/>
      <c r="B692" s="8"/>
      <c r="C692" s="8"/>
      <c r="D692" s="8"/>
      <c r="E692" s="10">
        <f>IFERROR(VLOOKUP(C692,'Inventory Master'!$A$3:$L$300,5,FALSE),0)</f>
      </c>
      <c r="F692" s="10">
        <f>D692*E692</f>
      </c>
      <c r="G692" s="8"/>
    </row>
    <row r="693" ht="21" customHeight="1" spans="1:7" x14ac:dyDescent="0.25">
      <c r="A693" s="8"/>
      <c r="B693" s="8"/>
      <c r="C693" s="8"/>
      <c r="D693" s="8"/>
      <c r="E693" s="10">
        <f>IFERROR(VLOOKUP(C693,'Inventory Master'!$A$3:$L$300,5,FALSE),0)</f>
      </c>
      <c r="F693" s="10">
        <f>D693*E693</f>
      </c>
      <c r="G693" s="8"/>
    </row>
    <row r="694" ht="21" customHeight="1" spans="1:7" x14ac:dyDescent="0.25">
      <c r="A694" s="8"/>
      <c r="B694" s="8"/>
      <c r="C694" s="8"/>
      <c r="D694" s="8"/>
      <c r="E694" s="10">
        <f>IFERROR(VLOOKUP(C694,'Inventory Master'!$A$3:$L$300,5,FALSE),0)</f>
      </c>
      <c r="F694" s="10">
        <f>D694*E694</f>
      </c>
      <c r="G694" s="8"/>
    </row>
    <row r="695" ht="21" customHeight="1" spans="1:7" x14ac:dyDescent="0.25">
      <c r="A695" s="8"/>
      <c r="B695" s="8"/>
      <c r="C695" s="8"/>
      <c r="D695" s="8"/>
      <c r="E695" s="10">
        <f>IFERROR(VLOOKUP(C695,'Inventory Master'!$A$3:$L$300,5,FALSE),0)</f>
      </c>
      <c r="F695" s="10">
        <f>D695*E695</f>
      </c>
      <c r="G695" s="8"/>
    </row>
    <row r="696" ht="21" customHeight="1" spans="1:7" x14ac:dyDescent="0.25">
      <c r="A696" s="8"/>
      <c r="B696" s="8"/>
      <c r="C696" s="8"/>
      <c r="D696" s="8"/>
      <c r="E696" s="10">
        <f>IFERROR(VLOOKUP(C696,'Inventory Master'!$A$3:$L$300,5,FALSE),0)</f>
      </c>
      <c r="F696" s="10">
        <f>D696*E696</f>
      </c>
      <c r="G696" s="8"/>
    </row>
    <row r="697" ht="21" customHeight="1" spans="1:7" x14ac:dyDescent="0.25">
      <c r="A697" s="8"/>
      <c r="B697" s="8"/>
      <c r="C697" s="8"/>
      <c r="D697" s="8"/>
      <c r="E697" s="10">
        <f>IFERROR(VLOOKUP(C697,'Inventory Master'!$A$3:$L$300,5,FALSE),0)</f>
      </c>
      <c r="F697" s="10">
        <f>D697*E697</f>
      </c>
      <c r="G697" s="8"/>
    </row>
    <row r="698" ht="21" customHeight="1" spans="1:7" x14ac:dyDescent="0.25">
      <c r="A698" s="8"/>
      <c r="B698" s="8"/>
      <c r="C698" s="8"/>
      <c r="D698" s="8"/>
      <c r="E698" s="10">
        <f>IFERROR(VLOOKUP(C698,'Inventory Master'!$A$3:$L$300,5,FALSE),0)</f>
      </c>
      <c r="F698" s="10">
        <f>D698*E698</f>
      </c>
      <c r="G698" s="8"/>
    </row>
    <row r="699" ht="21" customHeight="1" spans="1:7" x14ac:dyDescent="0.25">
      <c r="A699" s="8"/>
      <c r="B699" s="8"/>
      <c r="C699" s="8"/>
      <c r="D699" s="8"/>
      <c r="E699" s="10">
        <f>IFERROR(VLOOKUP(C699,'Inventory Master'!$A$3:$L$300,5,FALSE),0)</f>
      </c>
      <c r="F699" s="10">
        <f>D699*E699</f>
      </c>
      <c r="G699" s="8"/>
    </row>
    <row r="700" ht="21" customHeight="1" spans="1:7" x14ac:dyDescent="0.25">
      <c r="A700" s="8"/>
      <c r="B700" s="8"/>
      <c r="C700" s="8"/>
      <c r="D700" s="8"/>
      <c r="E700" s="10">
        <f>IFERROR(VLOOKUP(C700,'Inventory Master'!$A$3:$L$300,5,FALSE),0)</f>
      </c>
      <c r="F700" s="10">
        <f>D700*E700</f>
      </c>
      <c r="G700" s="8"/>
    </row>
    <row r="701" ht="21" customHeight="1" spans="1:7" x14ac:dyDescent="0.25">
      <c r="A701" s="8"/>
      <c r="B701" s="8"/>
      <c r="C701" s="8"/>
      <c r="D701" s="8"/>
      <c r="E701" s="10">
        <f>IFERROR(VLOOKUP(C701,'Inventory Master'!$A$3:$L$300,5,FALSE),0)</f>
      </c>
      <c r="F701" s="10">
        <f>D701*E701</f>
      </c>
      <c r="G701" s="8"/>
    </row>
    <row r="702" ht="21" customHeight="1" spans="1:7" x14ac:dyDescent="0.25">
      <c r="A702" s="8"/>
      <c r="B702" s="8"/>
      <c r="C702" s="8"/>
      <c r="D702" s="8"/>
      <c r="E702" s="10">
        <f>IFERROR(VLOOKUP(C702,'Inventory Master'!$A$3:$L$300,5,FALSE),0)</f>
      </c>
      <c r="F702" s="10">
        <f>D702*E702</f>
      </c>
      <c r="G702" s="8"/>
    </row>
    <row r="703" ht="21" customHeight="1" spans="1:7" x14ac:dyDescent="0.25">
      <c r="A703" s="8"/>
      <c r="B703" s="8"/>
      <c r="C703" s="8"/>
      <c r="D703" s="8"/>
      <c r="E703" s="10">
        <f>IFERROR(VLOOKUP(C703,'Inventory Master'!$A$3:$L$300,5,FALSE),0)</f>
      </c>
      <c r="F703" s="10">
        <f>D703*E703</f>
      </c>
      <c r="G703" s="8"/>
    </row>
    <row r="704" ht="21" customHeight="1" spans="1:7" x14ac:dyDescent="0.25">
      <c r="A704" s="8"/>
      <c r="B704" s="8"/>
      <c r="C704" s="8"/>
      <c r="D704" s="8"/>
      <c r="E704" s="10">
        <f>IFERROR(VLOOKUP(C704,'Inventory Master'!$A$3:$L$300,5,FALSE),0)</f>
      </c>
      <c r="F704" s="10">
        <f>D704*E704</f>
      </c>
      <c r="G704" s="8"/>
    </row>
    <row r="705" ht="21" customHeight="1" spans="1:7" x14ac:dyDescent="0.25">
      <c r="A705" s="8"/>
      <c r="B705" s="8"/>
      <c r="C705" s="8"/>
      <c r="D705" s="8"/>
      <c r="E705" s="10">
        <f>IFERROR(VLOOKUP(C705,'Inventory Master'!$A$3:$L$300,5,FALSE),0)</f>
      </c>
      <c r="F705" s="10">
        <f>D705*E705</f>
      </c>
      <c r="G705" s="8"/>
    </row>
    <row r="706" ht="21" customHeight="1" spans="1:7" x14ac:dyDescent="0.25">
      <c r="A706" s="8"/>
      <c r="B706" s="8"/>
      <c r="C706" s="8"/>
      <c r="D706" s="8"/>
      <c r="E706" s="10">
        <f>IFERROR(VLOOKUP(C706,'Inventory Master'!$A$3:$L$300,5,FALSE),0)</f>
      </c>
      <c r="F706" s="10">
        <f>D706*E706</f>
      </c>
      <c r="G706" s="8"/>
    </row>
    <row r="707" ht="21" customHeight="1" spans="1:7" x14ac:dyDescent="0.25">
      <c r="A707" s="8"/>
      <c r="B707" s="8"/>
      <c r="C707" s="8"/>
      <c r="D707" s="8"/>
      <c r="E707" s="10">
        <f>IFERROR(VLOOKUP(C707,'Inventory Master'!$A$3:$L$300,5,FALSE),0)</f>
      </c>
      <c r="F707" s="10">
        <f>D707*E707</f>
      </c>
      <c r="G707" s="8"/>
    </row>
    <row r="708" ht="21" customHeight="1" spans="1:7" x14ac:dyDescent="0.25">
      <c r="A708" s="8"/>
      <c r="B708" s="8"/>
      <c r="C708" s="8"/>
      <c r="D708" s="8"/>
      <c r="E708" s="10">
        <f>IFERROR(VLOOKUP(C708,'Inventory Master'!$A$3:$L$300,5,FALSE),0)</f>
      </c>
      <c r="F708" s="10">
        <f>D708*E708</f>
      </c>
      <c r="G708" s="8"/>
    </row>
    <row r="709" ht="21" customHeight="1" spans="1:7" x14ac:dyDescent="0.25">
      <c r="A709" s="8"/>
      <c r="B709" s="8"/>
      <c r="C709" s="8"/>
      <c r="D709" s="8"/>
      <c r="E709" s="10">
        <f>IFERROR(VLOOKUP(C709,'Inventory Master'!$A$3:$L$300,5,FALSE),0)</f>
      </c>
      <c r="F709" s="10">
        <f>D709*E709</f>
      </c>
      <c r="G709" s="8"/>
    </row>
    <row r="710" ht="21" customHeight="1" spans="1:7" x14ac:dyDescent="0.25">
      <c r="A710" s="8"/>
      <c r="B710" s="8"/>
      <c r="C710" s="8"/>
      <c r="D710" s="8"/>
      <c r="E710" s="10">
        <f>IFERROR(VLOOKUP(C710,'Inventory Master'!$A$3:$L$300,5,FALSE),0)</f>
      </c>
      <c r="F710" s="10">
        <f>D710*E710</f>
      </c>
      <c r="G710" s="8"/>
    </row>
    <row r="711" ht="21" customHeight="1" spans="1:7" x14ac:dyDescent="0.25">
      <c r="A711" s="8"/>
      <c r="B711" s="8"/>
      <c r="C711" s="8"/>
      <c r="D711" s="8"/>
      <c r="E711" s="10">
        <f>IFERROR(VLOOKUP(C711,'Inventory Master'!$A$3:$L$300,5,FALSE),0)</f>
      </c>
      <c r="F711" s="10">
        <f>D711*E711</f>
      </c>
      <c r="G711" s="8"/>
    </row>
    <row r="712" ht="21" customHeight="1" spans="1:7" x14ac:dyDescent="0.25">
      <c r="A712" s="8"/>
      <c r="B712" s="8"/>
      <c r="C712" s="8"/>
      <c r="D712" s="8"/>
      <c r="E712" s="10">
        <f>IFERROR(VLOOKUP(C712,'Inventory Master'!$A$3:$L$300,5,FALSE),0)</f>
      </c>
      <c r="F712" s="10">
        <f>D712*E712</f>
      </c>
      <c r="G712" s="8"/>
    </row>
    <row r="713" ht="21" customHeight="1" spans="1:7" x14ac:dyDescent="0.25">
      <c r="A713" s="8"/>
      <c r="B713" s="8"/>
      <c r="C713" s="8"/>
      <c r="D713" s="8"/>
      <c r="E713" s="10">
        <f>IFERROR(VLOOKUP(C713,'Inventory Master'!$A$3:$L$300,5,FALSE),0)</f>
      </c>
      <c r="F713" s="10">
        <f>D713*E713</f>
      </c>
      <c r="G713" s="8"/>
    </row>
    <row r="714" ht="21" customHeight="1" spans="1:7" x14ac:dyDescent="0.25">
      <c r="A714" s="8"/>
      <c r="B714" s="8"/>
      <c r="C714" s="8"/>
      <c r="D714" s="8"/>
      <c r="E714" s="10">
        <f>IFERROR(VLOOKUP(C714,'Inventory Master'!$A$3:$L$300,5,FALSE),0)</f>
      </c>
      <c r="F714" s="10">
        <f>D714*E714</f>
      </c>
      <c r="G714" s="8"/>
    </row>
    <row r="715" ht="21" customHeight="1" spans="1:7" x14ac:dyDescent="0.25">
      <c r="A715" s="8"/>
      <c r="B715" s="8"/>
      <c r="C715" s="8"/>
      <c r="D715" s="8"/>
      <c r="E715" s="10">
        <f>IFERROR(VLOOKUP(C715,'Inventory Master'!$A$3:$L$300,5,FALSE),0)</f>
      </c>
      <c r="F715" s="10">
        <f>D715*E715</f>
      </c>
      <c r="G715" s="8"/>
    </row>
    <row r="716" ht="21" customHeight="1" spans="1:7" x14ac:dyDescent="0.25">
      <c r="A716" s="8"/>
      <c r="B716" s="8"/>
      <c r="C716" s="8"/>
      <c r="D716" s="8"/>
      <c r="E716" s="10">
        <f>IFERROR(VLOOKUP(C716,'Inventory Master'!$A$3:$L$300,5,FALSE),0)</f>
      </c>
      <c r="F716" s="10">
        <f>D716*E716</f>
      </c>
      <c r="G716" s="8"/>
    </row>
    <row r="717" ht="21" customHeight="1" spans="1:7" x14ac:dyDescent="0.25">
      <c r="A717" s="8"/>
      <c r="B717" s="8"/>
      <c r="C717" s="8"/>
      <c r="D717" s="8"/>
      <c r="E717" s="10">
        <f>IFERROR(VLOOKUP(C717,'Inventory Master'!$A$3:$L$300,5,FALSE),0)</f>
      </c>
      <c r="F717" s="10">
        <f>D717*E717</f>
      </c>
      <c r="G717" s="8"/>
    </row>
    <row r="718" ht="21" customHeight="1" spans="1:7" x14ac:dyDescent="0.25">
      <c r="A718" s="8"/>
      <c r="B718" s="8"/>
      <c r="C718" s="8"/>
      <c r="D718" s="8"/>
      <c r="E718" s="10">
        <f>IFERROR(VLOOKUP(C718,'Inventory Master'!$A$3:$L$300,5,FALSE),0)</f>
      </c>
      <c r="F718" s="10">
        <f>D718*E718</f>
      </c>
      <c r="G718" s="8"/>
    </row>
    <row r="719" ht="21" customHeight="1" spans="1:7" x14ac:dyDescent="0.25">
      <c r="A719" s="8"/>
      <c r="B719" s="8"/>
      <c r="C719" s="8"/>
      <c r="D719" s="8"/>
      <c r="E719" s="10">
        <f>IFERROR(VLOOKUP(C719,'Inventory Master'!$A$3:$L$300,5,FALSE),0)</f>
      </c>
      <c r="F719" s="10">
        <f>D719*E719</f>
      </c>
      <c r="G719" s="8"/>
    </row>
    <row r="720" ht="21" customHeight="1" spans="1:7" x14ac:dyDescent="0.25">
      <c r="A720" s="8"/>
      <c r="B720" s="8"/>
      <c r="C720" s="8"/>
      <c r="D720" s="8"/>
      <c r="E720" s="10">
        <f>IFERROR(VLOOKUP(C720,'Inventory Master'!$A$3:$L$300,5,FALSE),0)</f>
      </c>
      <c r="F720" s="10">
        <f>D720*E720</f>
      </c>
      <c r="G720" s="8"/>
    </row>
    <row r="721" ht="21" customHeight="1" spans="1:7" x14ac:dyDescent="0.25">
      <c r="A721" s="8"/>
      <c r="B721" s="8"/>
      <c r="C721" s="8"/>
      <c r="D721" s="8"/>
      <c r="E721" s="10">
        <f>IFERROR(VLOOKUP(C721,'Inventory Master'!$A$3:$L$300,5,FALSE),0)</f>
      </c>
      <c r="F721" s="10">
        <f>D721*E721</f>
      </c>
      <c r="G721" s="8"/>
    </row>
    <row r="722" ht="21" customHeight="1" spans="1:7" x14ac:dyDescent="0.25">
      <c r="A722" s="8"/>
      <c r="B722" s="8"/>
      <c r="C722" s="8"/>
      <c r="D722" s="8"/>
      <c r="E722" s="10">
        <f>IFERROR(VLOOKUP(C722,'Inventory Master'!$A$3:$L$300,5,FALSE),0)</f>
      </c>
      <c r="F722" s="10">
        <f>D722*E722</f>
      </c>
      <c r="G722" s="8"/>
    </row>
    <row r="723" ht="21" customHeight="1" spans="1:7" x14ac:dyDescent="0.25">
      <c r="A723" s="8"/>
      <c r="B723" s="8"/>
      <c r="C723" s="8"/>
      <c r="D723" s="8"/>
      <c r="E723" s="10">
        <f>IFERROR(VLOOKUP(C723,'Inventory Master'!$A$3:$L$300,5,FALSE),0)</f>
      </c>
      <c r="F723" s="10">
        <f>D723*E723</f>
      </c>
      <c r="G723" s="8"/>
    </row>
    <row r="724" ht="21" customHeight="1" spans="1:7" x14ac:dyDescent="0.25">
      <c r="A724" s="8"/>
      <c r="B724" s="8"/>
      <c r="C724" s="8"/>
      <c r="D724" s="8"/>
      <c r="E724" s="10">
        <f>IFERROR(VLOOKUP(C724,'Inventory Master'!$A$3:$L$300,5,FALSE),0)</f>
      </c>
      <c r="F724" s="10">
        <f>D724*E724</f>
      </c>
      <c r="G724" s="8"/>
    </row>
    <row r="725" ht="21" customHeight="1" spans="1:7" x14ac:dyDescent="0.25">
      <c r="A725" s="8"/>
      <c r="B725" s="8"/>
      <c r="C725" s="8"/>
      <c r="D725" s="8"/>
      <c r="E725" s="10">
        <f>IFERROR(VLOOKUP(C725,'Inventory Master'!$A$3:$L$300,5,FALSE),0)</f>
      </c>
      <c r="F725" s="10">
        <f>D725*E725</f>
      </c>
      <c r="G725" s="8"/>
    </row>
    <row r="726" ht="21" customHeight="1" spans="1:7" x14ac:dyDescent="0.25">
      <c r="A726" s="8"/>
      <c r="B726" s="8"/>
      <c r="C726" s="8"/>
      <c r="D726" s="8"/>
      <c r="E726" s="10">
        <f>IFERROR(VLOOKUP(C726,'Inventory Master'!$A$3:$L$300,5,FALSE),0)</f>
      </c>
      <c r="F726" s="10">
        <f>D726*E726</f>
      </c>
      <c r="G726" s="8"/>
    </row>
    <row r="727" ht="21" customHeight="1" spans="1:7" x14ac:dyDescent="0.25">
      <c r="A727" s="8"/>
      <c r="B727" s="8"/>
      <c r="C727" s="8"/>
      <c r="D727" s="8"/>
      <c r="E727" s="10">
        <f>IFERROR(VLOOKUP(C727,'Inventory Master'!$A$3:$L$300,5,FALSE),0)</f>
      </c>
      <c r="F727" s="10">
        <f>D727*E727</f>
      </c>
      <c r="G727" s="8"/>
    </row>
    <row r="728" ht="21" customHeight="1" spans="1:7" x14ac:dyDescent="0.25">
      <c r="A728" s="8"/>
      <c r="B728" s="8"/>
      <c r="C728" s="8"/>
      <c r="D728" s="8"/>
      <c r="E728" s="10">
        <f>IFERROR(VLOOKUP(C728,'Inventory Master'!$A$3:$L$300,5,FALSE),0)</f>
      </c>
      <c r="F728" s="10">
        <f>D728*E728</f>
      </c>
      <c r="G728" s="8"/>
    </row>
    <row r="729" ht="21" customHeight="1" spans="1:7" x14ac:dyDescent="0.25">
      <c r="A729" s="8"/>
      <c r="B729" s="8"/>
      <c r="C729" s="8"/>
      <c r="D729" s="8"/>
      <c r="E729" s="10">
        <f>IFERROR(VLOOKUP(C729,'Inventory Master'!$A$3:$L$300,5,FALSE),0)</f>
      </c>
      <c r="F729" s="10">
        <f>D729*E729</f>
      </c>
      <c r="G729" s="8"/>
    </row>
    <row r="730" ht="21" customHeight="1" spans="1:7" x14ac:dyDescent="0.25">
      <c r="A730" s="8"/>
      <c r="B730" s="8"/>
      <c r="C730" s="8"/>
      <c r="D730" s="8"/>
      <c r="E730" s="10">
        <f>IFERROR(VLOOKUP(C730,'Inventory Master'!$A$3:$L$300,5,FALSE),0)</f>
      </c>
      <c r="F730" s="10">
        <f>D730*E730</f>
      </c>
      <c r="G730" s="8"/>
    </row>
    <row r="731" ht="21" customHeight="1" spans="1:7" x14ac:dyDescent="0.25">
      <c r="A731" s="8"/>
      <c r="B731" s="8"/>
      <c r="C731" s="8"/>
      <c r="D731" s="8"/>
      <c r="E731" s="10">
        <f>IFERROR(VLOOKUP(C731,'Inventory Master'!$A$3:$L$300,5,FALSE),0)</f>
      </c>
      <c r="F731" s="10">
        <f>D731*E731</f>
      </c>
      <c r="G731" s="8"/>
    </row>
    <row r="732" ht="21" customHeight="1" spans="1:7" x14ac:dyDescent="0.25">
      <c r="A732" s="8"/>
      <c r="B732" s="8"/>
      <c r="C732" s="8"/>
      <c r="D732" s="8"/>
      <c r="E732" s="10">
        <f>IFERROR(VLOOKUP(C732,'Inventory Master'!$A$3:$L$300,5,FALSE),0)</f>
      </c>
      <c r="F732" s="10">
        <f>D732*E732</f>
      </c>
      <c r="G732" s="8"/>
    </row>
    <row r="733" ht="21" customHeight="1" spans="1:7" x14ac:dyDescent="0.25">
      <c r="A733" s="8"/>
      <c r="B733" s="8"/>
      <c r="C733" s="8"/>
      <c r="D733" s="8"/>
      <c r="E733" s="10">
        <f>IFERROR(VLOOKUP(C733,'Inventory Master'!$A$3:$L$300,5,FALSE),0)</f>
      </c>
      <c r="F733" s="10">
        <f>D733*E733</f>
      </c>
      <c r="G733" s="8"/>
    </row>
    <row r="734" ht="21" customHeight="1" spans="1:7" x14ac:dyDescent="0.25">
      <c r="A734" s="8"/>
      <c r="B734" s="8"/>
      <c r="C734" s="8"/>
      <c r="D734" s="8"/>
      <c r="E734" s="10">
        <f>IFERROR(VLOOKUP(C734,'Inventory Master'!$A$3:$L$300,5,FALSE),0)</f>
      </c>
      <c r="F734" s="10">
        <f>D734*E734</f>
      </c>
      <c r="G734" s="8"/>
    </row>
    <row r="735" ht="21" customHeight="1" spans="1:7" x14ac:dyDescent="0.25">
      <c r="A735" s="8"/>
      <c r="B735" s="8"/>
      <c r="C735" s="8"/>
      <c r="D735" s="8"/>
      <c r="E735" s="10">
        <f>IFERROR(VLOOKUP(C735,'Inventory Master'!$A$3:$L$300,5,FALSE),0)</f>
      </c>
      <c r="F735" s="10">
        <f>D735*E735</f>
      </c>
      <c r="G735" s="8"/>
    </row>
    <row r="736" ht="21" customHeight="1" spans="1:7" x14ac:dyDescent="0.25">
      <c r="A736" s="8"/>
      <c r="B736" s="8"/>
      <c r="C736" s="8"/>
      <c r="D736" s="8"/>
      <c r="E736" s="10">
        <f>IFERROR(VLOOKUP(C736,'Inventory Master'!$A$3:$L$300,5,FALSE),0)</f>
      </c>
      <c r="F736" s="10">
        <f>D736*E736</f>
      </c>
      <c r="G736" s="8"/>
    </row>
    <row r="737" ht="21" customHeight="1" spans="1:7" x14ac:dyDescent="0.25">
      <c r="A737" s="8"/>
      <c r="B737" s="8"/>
      <c r="C737" s="8"/>
      <c r="D737" s="8"/>
      <c r="E737" s="10">
        <f>IFERROR(VLOOKUP(C737,'Inventory Master'!$A$3:$L$300,5,FALSE),0)</f>
      </c>
      <c r="F737" s="10">
        <f>D737*E737</f>
      </c>
      <c r="G737" s="8"/>
    </row>
    <row r="738" ht="21" customHeight="1" spans="1:7" x14ac:dyDescent="0.25">
      <c r="A738" s="8"/>
      <c r="B738" s="8"/>
      <c r="C738" s="8"/>
      <c r="D738" s="8"/>
      <c r="E738" s="10">
        <f>IFERROR(VLOOKUP(C738,'Inventory Master'!$A$3:$L$300,5,FALSE),0)</f>
      </c>
      <c r="F738" s="10">
        <f>D738*E738</f>
      </c>
      <c r="G738" s="8"/>
    </row>
    <row r="739" ht="21" customHeight="1" spans="1:7" x14ac:dyDescent="0.25">
      <c r="A739" s="8"/>
      <c r="B739" s="8"/>
      <c r="C739" s="8"/>
      <c r="D739" s="8"/>
      <c r="E739" s="10">
        <f>IFERROR(VLOOKUP(C739,'Inventory Master'!$A$3:$L$300,5,FALSE),0)</f>
      </c>
      <c r="F739" s="10">
        <f>D739*E739</f>
      </c>
      <c r="G739" s="8"/>
    </row>
    <row r="740" ht="21" customHeight="1" spans="1:7" x14ac:dyDescent="0.25">
      <c r="A740" s="8"/>
      <c r="B740" s="8"/>
      <c r="C740" s="8"/>
      <c r="D740" s="8"/>
      <c r="E740" s="10">
        <f>IFERROR(VLOOKUP(C740,'Inventory Master'!$A$3:$L$300,5,FALSE),0)</f>
      </c>
      <c r="F740" s="10">
        <f>D740*E740</f>
      </c>
      <c r="G740" s="8"/>
    </row>
    <row r="741" ht="21" customHeight="1" spans="1:7" x14ac:dyDescent="0.25">
      <c r="A741" s="8"/>
      <c r="B741" s="8"/>
      <c r="C741" s="8"/>
      <c r="D741" s="8"/>
      <c r="E741" s="10">
        <f>IFERROR(VLOOKUP(C741,'Inventory Master'!$A$3:$L$300,5,FALSE),0)</f>
      </c>
      <c r="F741" s="10">
        <f>D741*E741</f>
      </c>
      <c r="G741" s="8"/>
    </row>
    <row r="742" ht="21" customHeight="1" spans="1:7" x14ac:dyDescent="0.25">
      <c r="A742" s="8"/>
      <c r="B742" s="8"/>
      <c r="C742" s="8"/>
      <c r="D742" s="8"/>
      <c r="E742" s="10">
        <f>IFERROR(VLOOKUP(C742,'Inventory Master'!$A$3:$L$300,5,FALSE),0)</f>
      </c>
      <c r="F742" s="10">
        <f>D742*E742</f>
      </c>
      <c r="G742" s="8"/>
    </row>
    <row r="743" ht="21" customHeight="1" spans="1:7" x14ac:dyDescent="0.25">
      <c r="A743" s="8"/>
      <c r="B743" s="8"/>
      <c r="C743" s="8"/>
      <c r="D743" s="8"/>
      <c r="E743" s="10">
        <f>IFERROR(VLOOKUP(C743,'Inventory Master'!$A$3:$L$300,5,FALSE),0)</f>
      </c>
      <c r="F743" s="10">
        <f>D743*E743</f>
      </c>
      <c r="G743" s="8"/>
    </row>
    <row r="744" ht="21" customHeight="1" spans="1:7" x14ac:dyDescent="0.25">
      <c r="A744" s="8"/>
      <c r="B744" s="8"/>
      <c r="C744" s="8"/>
      <c r="D744" s="8"/>
      <c r="E744" s="10">
        <f>IFERROR(VLOOKUP(C744,'Inventory Master'!$A$3:$L$300,5,FALSE),0)</f>
      </c>
      <c r="F744" s="10">
        <f>D744*E744</f>
      </c>
      <c r="G744" s="8"/>
    </row>
    <row r="745" ht="21" customHeight="1" spans="1:7" x14ac:dyDescent="0.25">
      <c r="A745" s="8"/>
      <c r="B745" s="8"/>
      <c r="C745" s="8"/>
      <c r="D745" s="8"/>
      <c r="E745" s="10">
        <f>IFERROR(VLOOKUP(C745,'Inventory Master'!$A$3:$L$300,5,FALSE),0)</f>
      </c>
      <c r="F745" s="10">
        <f>D745*E745</f>
      </c>
      <c r="G745" s="8"/>
    </row>
    <row r="746" ht="21" customHeight="1" spans="1:7" x14ac:dyDescent="0.25">
      <c r="A746" s="8"/>
      <c r="B746" s="8"/>
      <c r="C746" s="8"/>
      <c r="D746" s="8"/>
      <c r="E746" s="10">
        <f>IFERROR(VLOOKUP(C746,'Inventory Master'!$A$3:$L$300,5,FALSE),0)</f>
      </c>
      <c r="F746" s="10">
        <f>D746*E746</f>
      </c>
      <c r="G746" s="8"/>
    </row>
    <row r="747" ht="21" customHeight="1" spans="1:7" x14ac:dyDescent="0.25">
      <c r="A747" s="8"/>
      <c r="B747" s="8"/>
      <c r="C747" s="8"/>
      <c r="D747" s="8"/>
      <c r="E747" s="10">
        <f>IFERROR(VLOOKUP(C747,'Inventory Master'!$A$3:$L$300,5,FALSE),0)</f>
      </c>
      <c r="F747" s="10">
        <f>D747*E747</f>
      </c>
      <c r="G747" s="8"/>
    </row>
    <row r="748" ht="21" customHeight="1" spans="1:7" x14ac:dyDescent="0.25">
      <c r="A748" s="8"/>
      <c r="B748" s="8"/>
      <c r="C748" s="8"/>
      <c r="D748" s="8"/>
      <c r="E748" s="10">
        <f>IFERROR(VLOOKUP(C748,'Inventory Master'!$A$3:$L$300,5,FALSE),0)</f>
      </c>
      <c r="F748" s="10">
        <f>D748*E748</f>
      </c>
      <c r="G748" s="8"/>
    </row>
    <row r="749" ht="21" customHeight="1" spans="1:7" x14ac:dyDescent="0.25">
      <c r="A749" s="8"/>
      <c r="B749" s="8"/>
      <c r="C749" s="8"/>
      <c r="D749" s="8"/>
      <c r="E749" s="10">
        <f>IFERROR(VLOOKUP(C749,'Inventory Master'!$A$3:$L$300,5,FALSE),0)</f>
      </c>
      <c r="F749" s="10">
        <f>D749*E749</f>
      </c>
      <c r="G749" s="8"/>
    </row>
    <row r="750" ht="21" customHeight="1" spans="1:7" x14ac:dyDescent="0.25">
      <c r="A750" s="8"/>
      <c r="B750" s="8"/>
      <c r="C750" s="8"/>
      <c r="D750" s="8"/>
      <c r="E750" s="10">
        <f>IFERROR(VLOOKUP(C750,'Inventory Master'!$A$3:$L$300,5,FALSE),0)</f>
      </c>
      <c r="F750" s="10">
        <f>D750*E750</f>
      </c>
      <c r="G750" s="8"/>
    </row>
    <row r="751" ht="21" customHeight="1" spans="1:7" x14ac:dyDescent="0.25">
      <c r="A751" s="8"/>
      <c r="B751" s="8"/>
      <c r="C751" s="8"/>
      <c r="D751" s="8"/>
      <c r="E751" s="10">
        <f>IFERROR(VLOOKUP(C751,'Inventory Master'!$A$3:$L$300,5,FALSE),0)</f>
      </c>
      <c r="F751" s="10">
        <f>D751*E751</f>
      </c>
      <c r="G751" s="8"/>
    </row>
    <row r="752" ht="21" customHeight="1" spans="1:7" x14ac:dyDescent="0.25">
      <c r="A752" s="8"/>
      <c r="B752" s="8"/>
      <c r="C752" s="8"/>
      <c r="D752" s="8"/>
      <c r="E752" s="10">
        <f>IFERROR(VLOOKUP(C752,'Inventory Master'!$A$3:$L$300,5,FALSE),0)</f>
      </c>
      <c r="F752" s="10">
        <f>D752*E752</f>
      </c>
      <c r="G752" s="8"/>
    </row>
    <row r="753" ht="21" customHeight="1" spans="1:7" x14ac:dyDescent="0.25">
      <c r="A753" s="8"/>
      <c r="B753" s="8"/>
      <c r="C753" s="8"/>
      <c r="D753" s="8"/>
      <c r="E753" s="10">
        <f>IFERROR(VLOOKUP(C753,'Inventory Master'!$A$3:$L$300,5,FALSE),0)</f>
      </c>
      <c r="F753" s="10">
        <f>D753*E753</f>
      </c>
      <c r="G753" s="8"/>
    </row>
    <row r="754" ht="21" customHeight="1" spans="1:7" x14ac:dyDescent="0.25">
      <c r="A754" s="8"/>
      <c r="B754" s="8"/>
      <c r="C754" s="8"/>
      <c r="D754" s="8"/>
      <c r="E754" s="10">
        <f>IFERROR(VLOOKUP(C754,'Inventory Master'!$A$3:$L$300,5,FALSE),0)</f>
      </c>
      <c r="F754" s="10">
        <f>D754*E754</f>
      </c>
      <c r="G754" s="8"/>
    </row>
    <row r="755" ht="21" customHeight="1" spans="1:7" x14ac:dyDescent="0.25">
      <c r="A755" s="8"/>
      <c r="B755" s="8"/>
      <c r="C755" s="8"/>
      <c r="D755" s="8"/>
      <c r="E755" s="10">
        <f>IFERROR(VLOOKUP(C755,'Inventory Master'!$A$3:$L$300,5,FALSE),0)</f>
      </c>
      <c r="F755" s="10">
        <f>D755*E755</f>
      </c>
      <c r="G755" s="8"/>
    </row>
    <row r="756" ht="21" customHeight="1" spans="1:7" x14ac:dyDescent="0.25">
      <c r="A756" s="8"/>
      <c r="B756" s="8"/>
      <c r="C756" s="8"/>
      <c r="D756" s="8"/>
      <c r="E756" s="10">
        <f>IFERROR(VLOOKUP(C756,'Inventory Master'!$A$3:$L$300,5,FALSE),0)</f>
      </c>
      <c r="F756" s="10">
        <f>D756*E756</f>
      </c>
      <c r="G756" s="8"/>
    </row>
    <row r="757" ht="21" customHeight="1" spans="1:7" x14ac:dyDescent="0.25">
      <c r="A757" s="8"/>
      <c r="B757" s="8"/>
      <c r="C757" s="8"/>
      <c r="D757" s="8"/>
      <c r="E757" s="10">
        <f>IFERROR(VLOOKUP(C757,'Inventory Master'!$A$3:$L$300,5,FALSE),0)</f>
      </c>
      <c r="F757" s="10">
        <f>D757*E757</f>
      </c>
      <c r="G757" s="8"/>
    </row>
    <row r="758" ht="21" customHeight="1" spans="1:7" x14ac:dyDescent="0.25">
      <c r="A758" s="8"/>
      <c r="B758" s="8"/>
      <c r="C758" s="8"/>
      <c r="D758" s="8"/>
      <c r="E758" s="10">
        <f>IFERROR(VLOOKUP(C758,'Inventory Master'!$A$3:$L$300,5,FALSE),0)</f>
      </c>
      <c r="F758" s="10">
        <f>D758*E758</f>
      </c>
      <c r="G758" s="8"/>
    </row>
    <row r="759" ht="21" customHeight="1" spans="1:7" x14ac:dyDescent="0.25">
      <c r="A759" s="8"/>
      <c r="B759" s="8"/>
      <c r="C759" s="8"/>
      <c r="D759" s="8"/>
      <c r="E759" s="10">
        <f>IFERROR(VLOOKUP(C759,'Inventory Master'!$A$3:$L$300,5,FALSE),0)</f>
      </c>
      <c r="F759" s="10">
        <f>D759*E759</f>
      </c>
      <c r="G759" s="8"/>
    </row>
    <row r="760" ht="21" customHeight="1" spans="1:7" x14ac:dyDescent="0.25">
      <c r="A760" s="8"/>
      <c r="B760" s="8"/>
      <c r="C760" s="8"/>
      <c r="D760" s="8"/>
      <c r="E760" s="10">
        <f>IFERROR(VLOOKUP(C760,'Inventory Master'!$A$3:$L$300,5,FALSE),0)</f>
      </c>
      <c r="F760" s="10">
        <f>D760*E760</f>
      </c>
      <c r="G760" s="8"/>
    </row>
    <row r="761" ht="21" customHeight="1" spans="1:7" x14ac:dyDescent="0.25">
      <c r="A761" s="8"/>
      <c r="B761" s="8"/>
      <c r="C761" s="8"/>
      <c r="D761" s="8"/>
      <c r="E761" s="10">
        <f>IFERROR(VLOOKUP(C761,'Inventory Master'!$A$3:$L$300,5,FALSE),0)</f>
      </c>
      <c r="F761" s="10">
        <f>D761*E761</f>
      </c>
      <c r="G761" s="8"/>
    </row>
    <row r="762" ht="21" customHeight="1" spans="1:7" x14ac:dyDescent="0.25">
      <c r="A762" s="8"/>
      <c r="B762" s="8"/>
      <c r="C762" s="8"/>
      <c r="D762" s="8"/>
      <c r="E762" s="10">
        <f>IFERROR(VLOOKUP(C762,'Inventory Master'!$A$3:$L$300,5,FALSE),0)</f>
      </c>
      <c r="F762" s="10">
        <f>D762*E762</f>
      </c>
      <c r="G762" s="8"/>
    </row>
    <row r="763" ht="21" customHeight="1" spans="1:7" x14ac:dyDescent="0.25">
      <c r="A763" s="8"/>
      <c r="B763" s="8"/>
      <c r="C763" s="8"/>
      <c r="D763" s="8"/>
      <c r="E763" s="10">
        <f>IFERROR(VLOOKUP(C763,'Inventory Master'!$A$3:$L$300,5,FALSE),0)</f>
      </c>
      <c r="F763" s="10">
        <f>D763*E763</f>
      </c>
      <c r="G763" s="8"/>
    </row>
    <row r="764" ht="21" customHeight="1" spans="1:7" x14ac:dyDescent="0.25">
      <c r="A764" s="8"/>
      <c r="B764" s="8"/>
      <c r="C764" s="8"/>
      <c r="D764" s="8"/>
      <c r="E764" s="10">
        <f>IFERROR(VLOOKUP(C764,'Inventory Master'!$A$3:$L$300,5,FALSE),0)</f>
      </c>
      <c r="F764" s="10">
        <f>D764*E764</f>
      </c>
      <c r="G764" s="8"/>
    </row>
    <row r="765" ht="21" customHeight="1" spans="1:7" x14ac:dyDescent="0.25">
      <c r="A765" s="8"/>
      <c r="B765" s="8"/>
      <c r="C765" s="8"/>
      <c r="D765" s="8"/>
      <c r="E765" s="10">
        <f>IFERROR(VLOOKUP(C765,'Inventory Master'!$A$3:$L$300,5,FALSE),0)</f>
      </c>
      <c r="F765" s="10">
        <f>D765*E765</f>
      </c>
      <c r="G765" s="8"/>
    </row>
    <row r="766" ht="21" customHeight="1" spans="1:7" x14ac:dyDescent="0.25">
      <c r="A766" s="8"/>
      <c r="B766" s="8"/>
      <c r="C766" s="8"/>
      <c r="D766" s="8"/>
      <c r="E766" s="10">
        <f>IFERROR(VLOOKUP(C766,'Inventory Master'!$A$3:$L$300,5,FALSE),0)</f>
      </c>
      <c r="F766" s="10">
        <f>D766*E766</f>
      </c>
      <c r="G766" s="8"/>
    </row>
    <row r="767" ht="21" customHeight="1" spans="1:7" x14ac:dyDescent="0.25">
      <c r="A767" s="8"/>
      <c r="B767" s="8"/>
      <c r="C767" s="8"/>
      <c r="D767" s="8"/>
      <c r="E767" s="10">
        <f>IFERROR(VLOOKUP(C767,'Inventory Master'!$A$3:$L$300,5,FALSE),0)</f>
      </c>
      <c r="F767" s="10">
        <f>D767*E767</f>
      </c>
      <c r="G767" s="8"/>
    </row>
    <row r="768" ht="21" customHeight="1" spans="1:7" x14ac:dyDescent="0.25">
      <c r="A768" s="8"/>
      <c r="B768" s="8"/>
      <c r="C768" s="8"/>
      <c r="D768" s="8"/>
      <c r="E768" s="10">
        <f>IFERROR(VLOOKUP(C768,'Inventory Master'!$A$3:$L$300,5,FALSE),0)</f>
      </c>
      <c r="F768" s="10">
        <f>D768*E768</f>
      </c>
      <c r="G768" s="8"/>
    </row>
    <row r="769" ht="21" customHeight="1" spans="1:7" x14ac:dyDescent="0.25">
      <c r="A769" s="8"/>
      <c r="B769" s="8"/>
      <c r="C769" s="8"/>
      <c r="D769" s="8"/>
      <c r="E769" s="10">
        <f>IFERROR(VLOOKUP(C769,'Inventory Master'!$A$3:$L$300,5,FALSE),0)</f>
      </c>
      <c r="F769" s="10">
        <f>D769*E769</f>
      </c>
      <c r="G769" s="8"/>
    </row>
    <row r="770" ht="21" customHeight="1" spans="1:7" x14ac:dyDescent="0.25">
      <c r="A770" s="8"/>
      <c r="B770" s="8"/>
      <c r="C770" s="8"/>
      <c r="D770" s="8"/>
      <c r="E770" s="10">
        <f>IFERROR(VLOOKUP(C770,'Inventory Master'!$A$3:$L$300,5,FALSE),0)</f>
      </c>
      <c r="F770" s="10">
        <f>D770*E770</f>
      </c>
      <c r="G770" s="8"/>
    </row>
    <row r="771" ht="21" customHeight="1" spans="1:7" x14ac:dyDescent="0.25">
      <c r="A771" s="8"/>
      <c r="B771" s="8"/>
      <c r="C771" s="8"/>
      <c r="D771" s="8"/>
      <c r="E771" s="10">
        <f>IFERROR(VLOOKUP(C771,'Inventory Master'!$A$3:$L$300,5,FALSE),0)</f>
      </c>
      <c r="F771" s="10">
        <f>D771*E771</f>
      </c>
      <c r="G771" s="8"/>
    </row>
    <row r="772" ht="21" customHeight="1" spans="1:7" x14ac:dyDescent="0.25">
      <c r="A772" s="8"/>
      <c r="B772" s="8"/>
      <c r="C772" s="8"/>
      <c r="D772" s="8"/>
      <c r="E772" s="10">
        <f>IFERROR(VLOOKUP(C772,'Inventory Master'!$A$3:$L$300,5,FALSE),0)</f>
      </c>
      <c r="F772" s="10">
        <f>D772*E772</f>
      </c>
      <c r="G772" s="8"/>
    </row>
    <row r="773" ht="21" customHeight="1" spans="1:7" x14ac:dyDescent="0.25">
      <c r="A773" s="8"/>
      <c r="B773" s="8"/>
      <c r="C773" s="8"/>
      <c r="D773" s="8"/>
      <c r="E773" s="10">
        <f>IFERROR(VLOOKUP(C773,'Inventory Master'!$A$3:$L$300,5,FALSE),0)</f>
      </c>
      <c r="F773" s="10">
        <f>D773*E773</f>
      </c>
      <c r="G773" s="8"/>
    </row>
    <row r="774" ht="21" customHeight="1" spans="1:7" x14ac:dyDescent="0.25">
      <c r="A774" s="8"/>
      <c r="B774" s="8"/>
      <c r="C774" s="8"/>
      <c r="D774" s="8"/>
      <c r="E774" s="10">
        <f>IFERROR(VLOOKUP(C774,'Inventory Master'!$A$3:$L$300,5,FALSE),0)</f>
      </c>
      <c r="F774" s="10">
        <f>D774*E774</f>
      </c>
      <c r="G774" s="8"/>
    </row>
    <row r="775" ht="21" customHeight="1" spans="1:7" x14ac:dyDescent="0.25">
      <c r="A775" s="8"/>
      <c r="B775" s="8"/>
      <c r="C775" s="8"/>
      <c r="D775" s="8"/>
      <c r="E775" s="10">
        <f>IFERROR(VLOOKUP(C775,'Inventory Master'!$A$3:$L$300,5,FALSE),0)</f>
      </c>
      <c r="F775" s="10">
        <f>D775*E775</f>
      </c>
      <c r="G775" s="8"/>
    </row>
    <row r="776" ht="21" customHeight="1" spans="1:7" x14ac:dyDescent="0.25">
      <c r="A776" s="8"/>
      <c r="B776" s="8"/>
      <c r="C776" s="8"/>
      <c r="D776" s="8"/>
      <c r="E776" s="10">
        <f>IFERROR(VLOOKUP(C776,'Inventory Master'!$A$3:$L$300,5,FALSE),0)</f>
      </c>
      <c r="F776" s="10">
        <f>D776*E776</f>
      </c>
      <c r="G776" s="8"/>
    </row>
    <row r="777" ht="21" customHeight="1" spans="1:7" x14ac:dyDescent="0.25">
      <c r="A777" s="8"/>
      <c r="B777" s="8"/>
      <c r="C777" s="8"/>
      <c r="D777" s="8"/>
      <c r="E777" s="10">
        <f>IFERROR(VLOOKUP(C777,'Inventory Master'!$A$3:$L$300,5,FALSE),0)</f>
      </c>
      <c r="F777" s="10">
        <f>D777*E777</f>
      </c>
      <c r="G777" s="8"/>
    </row>
    <row r="778" ht="21" customHeight="1" spans="1:7" x14ac:dyDescent="0.25">
      <c r="A778" s="8"/>
      <c r="B778" s="8"/>
      <c r="C778" s="8"/>
      <c r="D778" s="8"/>
      <c r="E778" s="10">
        <f>IFERROR(VLOOKUP(C778,'Inventory Master'!$A$3:$L$300,5,FALSE),0)</f>
      </c>
      <c r="F778" s="10">
        <f>D778*E778</f>
      </c>
      <c r="G778" s="8"/>
    </row>
    <row r="779" ht="21" customHeight="1" spans="1:7" x14ac:dyDescent="0.25">
      <c r="A779" s="8"/>
      <c r="B779" s="8"/>
      <c r="C779" s="8"/>
      <c r="D779" s="8"/>
      <c r="E779" s="10">
        <f>IFERROR(VLOOKUP(C779,'Inventory Master'!$A$3:$L$300,5,FALSE),0)</f>
      </c>
      <c r="F779" s="10">
        <f>D779*E779</f>
      </c>
      <c r="G779" s="8"/>
    </row>
    <row r="780" ht="21" customHeight="1" spans="1:7" x14ac:dyDescent="0.25">
      <c r="A780" s="8"/>
      <c r="B780" s="8"/>
      <c r="C780" s="8"/>
      <c r="D780" s="8"/>
      <c r="E780" s="10">
        <f>IFERROR(VLOOKUP(C780,'Inventory Master'!$A$3:$L$300,5,FALSE),0)</f>
      </c>
      <c r="F780" s="10">
        <f>D780*E780</f>
      </c>
      <c r="G780" s="8"/>
    </row>
    <row r="781" ht="21" customHeight="1" spans="1:7" x14ac:dyDescent="0.25">
      <c r="A781" s="8"/>
      <c r="B781" s="8"/>
      <c r="C781" s="8"/>
      <c r="D781" s="8"/>
      <c r="E781" s="10">
        <f>IFERROR(VLOOKUP(C781,'Inventory Master'!$A$3:$L$300,5,FALSE),0)</f>
      </c>
      <c r="F781" s="10">
        <f>D781*E781</f>
      </c>
      <c r="G781" s="8"/>
    </row>
    <row r="782" ht="21" customHeight="1" spans="1:7" x14ac:dyDescent="0.25">
      <c r="A782" s="8"/>
      <c r="B782" s="8"/>
      <c r="C782" s="8"/>
      <c r="D782" s="8"/>
      <c r="E782" s="10">
        <f>IFERROR(VLOOKUP(C782,'Inventory Master'!$A$3:$L$300,5,FALSE),0)</f>
      </c>
      <c r="F782" s="10">
        <f>D782*E782</f>
      </c>
      <c r="G782" s="8"/>
    </row>
    <row r="783" ht="21" customHeight="1" spans="1:7" x14ac:dyDescent="0.25">
      <c r="A783" s="8"/>
      <c r="B783" s="8"/>
      <c r="C783" s="8"/>
      <c r="D783" s="8"/>
      <c r="E783" s="10">
        <f>IFERROR(VLOOKUP(C783,'Inventory Master'!$A$3:$L$300,5,FALSE),0)</f>
      </c>
      <c r="F783" s="10">
        <f>D783*E783</f>
      </c>
      <c r="G783" s="8"/>
    </row>
    <row r="784" ht="21" customHeight="1" spans="1:7" x14ac:dyDescent="0.25">
      <c r="A784" s="8"/>
      <c r="B784" s="8"/>
      <c r="C784" s="8"/>
      <c r="D784" s="8"/>
      <c r="E784" s="10">
        <f>IFERROR(VLOOKUP(C784,'Inventory Master'!$A$3:$L$300,5,FALSE),0)</f>
      </c>
      <c r="F784" s="10">
        <f>D784*E784</f>
      </c>
      <c r="G784" s="8"/>
    </row>
    <row r="785" ht="21" customHeight="1" spans="1:7" x14ac:dyDescent="0.25">
      <c r="A785" s="8"/>
      <c r="B785" s="8"/>
      <c r="C785" s="8"/>
      <c r="D785" s="8"/>
      <c r="E785" s="10">
        <f>IFERROR(VLOOKUP(C785,'Inventory Master'!$A$3:$L$300,5,FALSE),0)</f>
      </c>
      <c r="F785" s="10">
        <f>D785*E785</f>
      </c>
      <c r="G785" s="8"/>
    </row>
    <row r="786" ht="21" customHeight="1" spans="1:7" x14ac:dyDescent="0.25">
      <c r="A786" s="8"/>
      <c r="B786" s="8"/>
      <c r="C786" s="8"/>
      <c r="D786" s="8"/>
      <c r="E786" s="10">
        <f>IFERROR(VLOOKUP(C786,'Inventory Master'!$A$3:$L$300,5,FALSE),0)</f>
      </c>
      <c r="F786" s="10">
        <f>D786*E786</f>
      </c>
      <c r="G786" s="8"/>
    </row>
    <row r="787" ht="21" customHeight="1" spans="1:7" x14ac:dyDescent="0.25">
      <c r="A787" s="8"/>
      <c r="B787" s="8"/>
      <c r="C787" s="8"/>
      <c r="D787" s="8"/>
      <c r="E787" s="10">
        <f>IFERROR(VLOOKUP(C787,'Inventory Master'!$A$3:$L$300,5,FALSE),0)</f>
      </c>
      <c r="F787" s="10">
        <f>D787*E787</f>
      </c>
      <c r="G787" s="8"/>
    </row>
    <row r="788" ht="21" customHeight="1" spans="1:7" x14ac:dyDescent="0.25">
      <c r="A788" s="8"/>
      <c r="B788" s="8"/>
      <c r="C788" s="8"/>
      <c r="D788" s="8"/>
      <c r="E788" s="10">
        <f>IFERROR(VLOOKUP(C788,'Inventory Master'!$A$3:$L$300,5,FALSE),0)</f>
      </c>
      <c r="F788" s="10">
        <f>D788*E788</f>
      </c>
      <c r="G788" s="8"/>
    </row>
    <row r="789" ht="21" customHeight="1" spans="1:7" x14ac:dyDescent="0.25">
      <c r="A789" s="8"/>
      <c r="B789" s="8"/>
      <c r="C789" s="8"/>
      <c r="D789" s="8"/>
      <c r="E789" s="10">
        <f>IFERROR(VLOOKUP(C789,'Inventory Master'!$A$3:$L$300,5,FALSE),0)</f>
      </c>
      <c r="F789" s="10">
        <f>D789*E789</f>
      </c>
      <c r="G789" s="8"/>
    </row>
    <row r="790" ht="21" customHeight="1" spans="1:7" x14ac:dyDescent="0.25">
      <c r="A790" s="8"/>
      <c r="B790" s="8"/>
      <c r="C790" s="8"/>
      <c r="D790" s="8"/>
      <c r="E790" s="10">
        <f>IFERROR(VLOOKUP(C790,'Inventory Master'!$A$3:$L$300,5,FALSE),0)</f>
      </c>
      <c r="F790" s="10">
        <f>D790*E790</f>
      </c>
      <c r="G790" s="8"/>
    </row>
    <row r="791" ht="21" customHeight="1" spans="1:7" x14ac:dyDescent="0.25">
      <c r="A791" s="8"/>
      <c r="B791" s="8"/>
      <c r="C791" s="8"/>
      <c r="D791" s="8"/>
      <c r="E791" s="10">
        <f>IFERROR(VLOOKUP(C791,'Inventory Master'!$A$3:$L$300,5,FALSE),0)</f>
      </c>
      <c r="F791" s="10">
        <f>D791*E791</f>
      </c>
      <c r="G791" s="8"/>
    </row>
    <row r="792" ht="21" customHeight="1" spans="1:7" x14ac:dyDescent="0.25">
      <c r="A792" s="8"/>
      <c r="B792" s="8"/>
      <c r="C792" s="8"/>
      <c r="D792" s="8"/>
      <c r="E792" s="10">
        <f>IFERROR(VLOOKUP(C792,'Inventory Master'!$A$3:$L$300,5,FALSE),0)</f>
      </c>
      <c r="F792" s="10">
        <f>D792*E792</f>
      </c>
      <c r="G792" s="8"/>
    </row>
    <row r="793" ht="21" customHeight="1" spans="1:7" x14ac:dyDescent="0.25">
      <c r="A793" s="8"/>
      <c r="B793" s="8"/>
      <c r="C793" s="8"/>
      <c r="D793" s="8"/>
      <c r="E793" s="10">
        <f>IFERROR(VLOOKUP(C793,'Inventory Master'!$A$3:$L$300,5,FALSE),0)</f>
      </c>
      <c r="F793" s="10">
        <f>D793*E793</f>
      </c>
      <c r="G793" s="8"/>
    </row>
    <row r="794" ht="21" customHeight="1" spans="1:7" x14ac:dyDescent="0.25">
      <c r="A794" s="8"/>
      <c r="B794" s="8"/>
      <c r="C794" s="8"/>
      <c r="D794" s="8"/>
      <c r="E794" s="10">
        <f>IFERROR(VLOOKUP(C794,'Inventory Master'!$A$3:$L$300,5,FALSE),0)</f>
      </c>
      <c r="F794" s="10">
        <f>D794*E794</f>
      </c>
      <c r="G794" s="8"/>
    </row>
    <row r="795" ht="21" customHeight="1" spans="1:7" x14ac:dyDescent="0.25">
      <c r="A795" s="8"/>
      <c r="B795" s="8"/>
      <c r="C795" s="8"/>
      <c r="D795" s="8"/>
      <c r="E795" s="10">
        <f>IFERROR(VLOOKUP(C795,'Inventory Master'!$A$3:$L$300,5,FALSE),0)</f>
      </c>
      <c r="F795" s="10">
        <f>D795*E795</f>
      </c>
      <c r="G795" s="8"/>
    </row>
    <row r="796" ht="21" customHeight="1" spans="1:7" x14ac:dyDescent="0.25">
      <c r="A796" s="8"/>
      <c r="B796" s="8"/>
      <c r="C796" s="8"/>
      <c r="D796" s="8"/>
      <c r="E796" s="10">
        <f>IFERROR(VLOOKUP(C796,'Inventory Master'!$A$3:$L$300,5,FALSE),0)</f>
      </c>
      <c r="F796" s="10">
        <f>D796*E796</f>
      </c>
      <c r="G796" s="8"/>
    </row>
    <row r="797" ht="21" customHeight="1" spans="1:7" x14ac:dyDescent="0.25">
      <c r="A797" s="8"/>
      <c r="B797" s="8"/>
      <c r="C797" s="8"/>
      <c r="D797" s="8"/>
      <c r="E797" s="10">
        <f>IFERROR(VLOOKUP(C797,'Inventory Master'!$A$3:$L$300,5,FALSE),0)</f>
      </c>
      <c r="F797" s="10">
        <f>D797*E797</f>
      </c>
      <c r="G797" s="8"/>
    </row>
    <row r="798" ht="21" customHeight="1" spans="1:7" x14ac:dyDescent="0.25">
      <c r="A798" s="8"/>
      <c r="B798" s="8"/>
      <c r="C798" s="8"/>
      <c r="D798" s="8"/>
      <c r="E798" s="10">
        <f>IFERROR(VLOOKUP(C798,'Inventory Master'!$A$3:$L$300,5,FALSE),0)</f>
      </c>
      <c r="F798" s="10">
        <f>D798*E798</f>
      </c>
      <c r="G798" s="8"/>
    </row>
    <row r="799" ht="21" customHeight="1" spans="1:7" x14ac:dyDescent="0.25">
      <c r="A799" s="8"/>
      <c r="B799" s="8"/>
      <c r="C799" s="8"/>
      <c r="D799" s="8"/>
      <c r="E799" s="10">
        <f>IFERROR(VLOOKUP(C799,'Inventory Master'!$A$3:$L$300,5,FALSE),0)</f>
      </c>
      <c r="F799" s="10">
        <f>D799*E799</f>
      </c>
      <c r="G799" s="8"/>
    </row>
    <row r="800" ht="21" customHeight="1" spans="1:7" x14ac:dyDescent="0.25">
      <c r="A800" s="8"/>
      <c r="B800" s="8"/>
      <c r="C800" s="8"/>
      <c r="D800" s="8"/>
      <c r="E800" s="10">
        <f>IFERROR(VLOOKUP(C800,'Inventory Master'!$A$3:$L$300,5,FALSE),0)</f>
      </c>
      <c r="F800" s="10">
        <f>D800*E800</f>
      </c>
      <c r="G800" s="8"/>
    </row>
    <row r="801" ht="21" customHeight="1" spans="1:7" x14ac:dyDescent="0.25">
      <c r="A801" s="8"/>
      <c r="B801" s="8"/>
      <c r="C801" s="8"/>
      <c r="D801" s="8"/>
      <c r="E801" s="10">
        <f>IFERROR(VLOOKUP(C801,'Inventory Master'!$A$3:$L$300,5,FALSE),0)</f>
      </c>
      <c r="F801" s="10">
        <f>D801*E801</f>
      </c>
      <c r="G801" s="8"/>
    </row>
    <row r="802" ht="21" customHeight="1" spans="1:7" x14ac:dyDescent="0.25">
      <c r="A802" s="8"/>
      <c r="B802" s="8"/>
      <c r="C802" s="8"/>
      <c r="D802" s="8"/>
      <c r="E802" s="10">
        <f>IFERROR(VLOOKUP(C802,'Inventory Master'!$A$3:$L$300,5,FALSE),0)</f>
      </c>
      <c r="F802" s="10">
        <f>D802*E802</f>
      </c>
      <c r="G802" s="8"/>
    </row>
    <row r="803" ht="21" customHeight="1" spans="1:7" x14ac:dyDescent="0.25">
      <c r="A803" s="8"/>
      <c r="B803" s="8"/>
      <c r="C803" s="8"/>
      <c r="D803" s="8"/>
      <c r="E803" s="10">
        <f>IFERROR(VLOOKUP(C803,'Inventory Master'!$A$3:$L$300,5,FALSE),0)</f>
      </c>
      <c r="F803" s="10">
        <f>D803*E803</f>
      </c>
      <c r="G803" s="8"/>
    </row>
    <row r="804" ht="21" customHeight="1" spans="1:7" x14ac:dyDescent="0.25">
      <c r="A804" s="8"/>
      <c r="B804" s="8"/>
      <c r="C804" s="8"/>
      <c r="D804" s="8"/>
      <c r="E804" s="10">
        <f>IFERROR(VLOOKUP(C804,'Inventory Master'!$A$3:$L$300,5,FALSE),0)</f>
      </c>
      <c r="F804" s="10">
        <f>D804*E804</f>
      </c>
      <c r="G804" s="8"/>
    </row>
    <row r="805" ht="21" customHeight="1" spans="1:7" x14ac:dyDescent="0.25">
      <c r="A805" s="8"/>
      <c r="B805" s="8"/>
      <c r="C805" s="8"/>
      <c r="D805" s="8"/>
      <c r="E805" s="10">
        <f>IFERROR(VLOOKUP(C805,'Inventory Master'!$A$3:$L$300,5,FALSE),0)</f>
      </c>
      <c r="F805" s="10">
        <f>D805*E805</f>
      </c>
      <c r="G805" s="8"/>
    </row>
    <row r="806" ht="21" customHeight="1" spans="1:7" x14ac:dyDescent="0.25">
      <c r="A806" s="8"/>
      <c r="B806" s="8"/>
      <c r="C806" s="8"/>
      <c r="D806" s="8"/>
      <c r="E806" s="10">
        <f>IFERROR(VLOOKUP(C806,'Inventory Master'!$A$3:$L$300,5,FALSE),0)</f>
      </c>
      <c r="F806" s="10">
        <f>D806*E806</f>
      </c>
      <c r="G806" s="8"/>
    </row>
    <row r="807" ht="21" customHeight="1" spans="1:7" x14ac:dyDescent="0.25">
      <c r="A807" s="8"/>
      <c r="B807" s="8"/>
      <c r="C807" s="8"/>
      <c r="D807" s="8"/>
      <c r="E807" s="10">
        <f>IFERROR(VLOOKUP(C807,'Inventory Master'!$A$3:$L$300,5,FALSE),0)</f>
      </c>
      <c r="F807" s="10">
        <f>D807*E807</f>
      </c>
      <c r="G807" s="8"/>
    </row>
    <row r="808" ht="21" customHeight="1" spans="1:7" x14ac:dyDescent="0.25">
      <c r="A808" s="8"/>
      <c r="B808" s="8"/>
      <c r="C808" s="8"/>
      <c r="D808" s="8"/>
      <c r="E808" s="10">
        <f>IFERROR(VLOOKUP(C808,'Inventory Master'!$A$3:$L$300,5,FALSE),0)</f>
      </c>
      <c r="F808" s="10">
        <f>D808*E808</f>
      </c>
      <c r="G808" s="8"/>
    </row>
    <row r="809" ht="21" customHeight="1" spans="1:7" x14ac:dyDescent="0.25">
      <c r="A809" s="8"/>
      <c r="B809" s="8"/>
      <c r="C809" s="8"/>
      <c r="D809" s="8"/>
      <c r="E809" s="10">
        <f>IFERROR(VLOOKUP(C809,'Inventory Master'!$A$3:$L$300,5,FALSE),0)</f>
      </c>
      <c r="F809" s="10">
        <f>D809*E809</f>
      </c>
      <c r="G809" s="8"/>
    </row>
    <row r="810" ht="21" customHeight="1" spans="1:7" x14ac:dyDescent="0.25">
      <c r="A810" s="8"/>
      <c r="B810" s="8"/>
      <c r="C810" s="8"/>
      <c r="D810" s="8"/>
      <c r="E810" s="10">
        <f>IFERROR(VLOOKUP(C810,'Inventory Master'!$A$3:$L$300,5,FALSE),0)</f>
      </c>
      <c r="F810" s="10">
        <f>D810*E810</f>
      </c>
      <c r="G810" s="8"/>
    </row>
    <row r="811" ht="21" customHeight="1" spans="1:7" x14ac:dyDescent="0.25">
      <c r="A811" s="8"/>
      <c r="B811" s="8"/>
      <c r="C811" s="8"/>
      <c r="D811" s="8"/>
      <c r="E811" s="10">
        <f>IFERROR(VLOOKUP(C811,'Inventory Master'!$A$3:$L$300,5,FALSE),0)</f>
      </c>
      <c r="F811" s="10">
        <f>D811*E811</f>
      </c>
      <c r="G811" s="8"/>
    </row>
    <row r="812" ht="21" customHeight="1" spans="1:7" x14ac:dyDescent="0.25">
      <c r="A812" s="8"/>
      <c r="B812" s="8"/>
      <c r="C812" s="8"/>
      <c r="D812" s="8"/>
      <c r="E812" s="10">
        <f>IFERROR(VLOOKUP(C812,'Inventory Master'!$A$3:$L$300,5,FALSE),0)</f>
      </c>
      <c r="F812" s="10">
        <f>D812*E812</f>
      </c>
      <c r="G812" s="8"/>
    </row>
    <row r="813" ht="21" customHeight="1" spans="1:7" x14ac:dyDescent="0.25">
      <c r="A813" s="8"/>
      <c r="B813" s="8"/>
      <c r="C813" s="8"/>
      <c r="D813" s="8"/>
      <c r="E813" s="10">
        <f>IFERROR(VLOOKUP(C813,'Inventory Master'!$A$3:$L$300,5,FALSE),0)</f>
      </c>
      <c r="F813" s="10">
        <f>D813*E813</f>
      </c>
      <c r="G813" s="8"/>
    </row>
    <row r="814" ht="21" customHeight="1" spans="1:7" x14ac:dyDescent="0.25">
      <c r="A814" s="8"/>
      <c r="B814" s="8"/>
      <c r="C814" s="8"/>
      <c r="D814" s="8"/>
      <c r="E814" s="10">
        <f>IFERROR(VLOOKUP(C814,'Inventory Master'!$A$3:$L$300,5,FALSE),0)</f>
      </c>
      <c r="F814" s="10">
        <f>D814*E814</f>
      </c>
      <c r="G814" s="8"/>
    </row>
    <row r="815" ht="21" customHeight="1" spans="1:7" x14ac:dyDescent="0.25">
      <c r="A815" s="8"/>
      <c r="B815" s="8"/>
      <c r="C815" s="8"/>
      <c r="D815" s="8"/>
      <c r="E815" s="10">
        <f>IFERROR(VLOOKUP(C815,'Inventory Master'!$A$3:$L$300,5,FALSE),0)</f>
      </c>
      <c r="F815" s="10">
        <f>D815*E815</f>
      </c>
      <c r="G815" s="8"/>
    </row>
    <row r="816" ht="21" customHeight="1" spans="1:7" x14ac:dyDescent="0.25">
      <c r="A816" s="8"/>
      <c r="B816" s="8"/>
      <c r="C816" s="8"/>
      <c r="D816" s="8"/>
      <c r="E816" s="10">
        <f>IFERROR(VLOOKUP(C816,'Inventory Master'!$A$3:$L$300,5,FALSE),0)</f>
      </c>
      <c r="F816" s="10">
        <f>D816*E816</f>
      </c>
      <c r="G816" s="8"/>
    </row>
    <row r="817" ht="21" customHeight="1" spans="1:7" x14ac:dyDescent="0.25">
      <c r="A817" s="8"/>
      <c r="B817" s="8"/>
      <c r="C817" s="8"/>
      <c r="D817" s="8"/>
      <c r="E817" s="10">
        <f>IFERROR(VLOOKUP(C817,'Inventory Master'!$A$3:$L$300,5,FALSE),0)</f>
      </c>
      <c r="F817" s="10">
        <f>D817*E817</f>
      </c>
      <c r="G817" s="8"/>
    </row>
    <row r="818" ht="21" customHeight="1" spans="1:7" x14ac:dyDescent="0.25">
      <c r="A818" s="8"/>
      <c r="B818" s="8"/>
      <c r="C818" s="8"/>
      <c r="D818" s="8"/>
      <c r="E818" s="10">
        <f>IFERROR(VLOOKUP(C818,'Inventory Master'!$A$3:$L$300,5,FALSE),0)</f>
      </c>
      <c r="F818" s="10">
        <f>D818*E818</f>
      </c>
      <c r="G818" s="8"/>
    </row>
    <row r="819" ht="21" customHeight="1" spans="1:7" x14ac:dyDescent="0.25">
      <c r="A819" s="8"/>
      <c r="B819" s="8"/>
      <c r="C819" s="8"/>
      <c r="D819" s="8"/>
      <c r="E819" s="10">
        <f>IFERROR(VLOOKUP(C819,'Inventory Master'!$A$3:$L$300,5,FALSE),0)</f>
      </c>
      <c r="F819" s="10">
        <f>D819*E819</f>
      </c>
      <c r="G819" s="8"/>
    </row>
    <row r="820" ht="21" customHeight="1" spans="1:7" x14ac:dyDescent="0.25">
      <c r="A820" s="8"/>
      <c r="B820" s="8"/>
      <c r="C820" s="8"/>
      <c r="D820" s="8"/>
      <c r="E820" s="10">
        <f>IFERROR(VLOOKUP(C820,'Inventory Master'!$A$3:$L$300,5,FALSE),0)</f>
      </c>
      <c r="F820" s="10">
        <f>D820*E820</f>
      </c>
      <c r="G820" s="8"/>
    </row>
    <row r="821" ht="21" customHeight="1" spans="1:7" x14ac:dyDescent="0.25">
      <c r="A821" s="8"/>
      <c r="B821" s="8"/>
      <c r="C821" s="8"/>
      <c r="D821" s="8"/>
      <c r="E821" s="10">
        <f>IFERROR(VLOOKUP(C821,'Inventory Master'!$A$3:$L$300,5,FALSE),0)</f>
      </c>
      <c r="F821" s="10">
        <f>D821*E821</f>
      </c>
      <c r="G821" s="8"/>
    </row>
    <row r="822" ht="21" customHeight="1" spans="1:7" x14ac:dyDescent="0.25">
      <c r="A822" s="8"/>
      <c r="B822" s="8"/>
      <c r="C822" s="8"/>
      <c r="D822" s="8"/>
      <c r="E822" s="10">
        <f>IFERROR(VLOOKUP(C822,'Inventory Master'!$A$3:$L$300,5,FALSE),0)</f>
      </c>
      <c r="F822" s="10">
        <f>D822*E822</f>
      </c>
      <c r="G822" s="8"/>
    </row>
    <row r="823" ht="21" customHeight="1" spans="1:7" x14ac:dyDescent="0.25">
      <c r="A823" s="8"/>
      <c r="B823" s="8"/>
      <c r="C823" s="8"/>
      <c r="D823" s="8"/>
      <c r="E823" s="10">
        <f>IFERROR(VLOOKUP(C823,'Inventory Master'!$A$3:$L$300,5,FALSE),0)</f>
      </c>
      <c r="F823" s="10">
        <f>D823*E823</f>
      </c>
      <c r="G823" s="8"/>
    </row>
    <row r="824" ht="21" customHeight="1" spans="1:7" x14ac:dyDescent="0.25">
      <c r="A824" s="8"/>
      <c r="B824" s="8"/>
      <c r="C824" s="8"/>
      <c r="D824" s="8"/>
      <c r="E824" s="10">
        <f>IFERROR(VLOOKUP(C824,'Inventory Master'!$A$3:$L$300,5,FALSE),0)</f>
      </c>
      <c r="F824" s="10">
        <f>D824*E824</f>
      </c>
      <c r="G824" s="8"/>
    </row>
    <row r="825" ht="21" customHeight="1" spans="1:7" x14ac:dyDescent="0.25">
      <c r="A825" s="8"/>
      <c r="B825" s="8"/>
      <c r="C825" s="8"/>
      <c r="D825" s="8"/>
      <c r="E825" s="10">
        <f>IFERROR(VLOOKUP(C825,'Inventory Master'!$A$3:$L$300,5,FALSE),0)</f>
      </c>
      <c r="F825" s="10">
        <f>D825*E825</f>
      </c>
      <c r="G825" s="8"/>
    </row>
    <row r="826" ht="21" customHeight="1" spans="1:7" x14ac:dyDescent="0.25">
      <c r="A826" s="8"/>
      <c r="B826" s="8"/>
      <c r="C826" s="8"/>
      <c r="D826" s="8"/>
      <c r="E826" s="10">
        <f>IFERROR(VLOOKUP(C826,'Inventory Master'!$A$3:$L$300,5,FALSE),0)</f>
      </c>
      <c r="F826" s="10">
        <f>D826*E826</f>
      </c>
      <c r="G826" s="8"/>
    </row>
    <row r="827" ht="21" customHeight="1" spans="1:7" x14ac:dyDescent="0.25">
      <c r="A827" s="8"/>
      <c r="B827" s="8"/>
      <c r="C827" s="8"/>
      <c r="D827" s="8"/>
      <c r="E827" s="10">
        <f>IFERROR(VLOOKUP(C827,'Inventory Master'!$A$3:$L$300,5,FALSE),0)</f>
      </c>
      <c r="F827" s="10">
        <f>D827*E827</f>
      </c>
      <c r="G827" s="8"/>
    </row>
    <row r="828" ht="21" customHeight="1" spans="1:7" x14ac:dyDescent="0.25">
      <c r="A828" s="8"/>
      <c r="B828" s="8"/>
      <c r="C828" s="8"/>
      <c r="D828" s="8"/>
      <c r="E828" s="10">
        <f>IFERROR(VLOOKUP(C828,'Inventory Master'!$A$3:$L$300,5,FALSE),0)</f>
      </c>
      <c r="F828" s="10">
        <f>D828*E828</f>
      </c>
      <c r="G828" s="8"/>
    </row>
    <row r="829" ht="21" customHeight="1" spans="1:7" x14ac:dyDescent="0.25">
      <c r="A829" s="8"/>
      <c r="B829" s="8"/>
      <c r="C829" s="8"/>
      <c r="D829" s="8"/>
      <c r="E829" s="10">
        <f>IFERROR(VLOOKUP(C829,'Inventory Master'!$A$3:$L$300,5,FALSE),0)</f>
      </c>
      <c r="F829" s="10">
        <f>D829*E829</f>
      </c>
      <c r="G829" s="8"/>
    </row>
    <row r="830" ht="21" customHeight="1" spans="1:7" x14ac:dyDescent="0.25">
      <c r="A830" s="8"/>
      <c r="B830" s="8"/>
      <c r="C830" s="8"/>
      <c r="D830" s="8"/>
      <c r="E830" s="10">
        <f>IFERROR(VLOOKUP(C830,'Inventory Master'!$A$3:$L$300,5,FALSE),0)</f>
      </c>
      <c r="F830" s="10">
        <f>D830*E830</f>
      </c>
      <c r="G830" s="8"/>
    </row>
    <row r="831" ht="21" customHeight="1" spans="1:7" x14ac:dyDescent="0.25">
      <c r="A831" s="8"/>
      <c r="B831" s="8"/>
      <c r="C831" s="8"/>
      <c r="D831" s="8"/>
      <c r="E831" s="10">
        <f>IFERROR(VLOOKUP(C831,'Inventory Master'!$A$3:$L$300,5,FALSE),0)</f>
      </c>
      <c r="F831" s="10">
        <f>D831*E831</f>
      </c>
      <c r="G831" s="8"/>
    </row>
    <row r="832" ht="21" customHeight="1" spans="1:7" x14ac:dyDescent="0.25">
      <c r="A832" s="8"/>
      <c r="B832" s="8"/>
      <c r="C832" s="8"/>
      <c r="D832" s="8"/>
      <c r="E832" s="10">
        <f>IFERROR(VLOOKUP(C832,'Inventory Master'!$A$3:$L$300,5,FALSE),0)</f>
      </c>
      <c r="F832" s="10">
        <f>D832*E832</f>
      </c>
      <c r="G832" s="8"/>
    </row>
    <row r="833" ht="21" customHeight="1" spans="1:7" x14ac:dyDescent="0.25">
      <c r="A833" s="8"/>
      <c r="B833" s="8"/>
      <c r="C833" s="8"/>
      <c r="D833" s="8"/>
      <c r="E833" s="10">
        <f>IFERROR(VLOOKUP(C833,'Inventory Master'!$A$3:$L$300,5,FALSE),0)</f>
      </c>
      <c r="F833" s="10">
        <f>D833*E833</f>
      </c>
      <c r="G833" s="8"/>
    </row>
    <row r="834" ht="21" customHeight="1" spans="1:7" x14ac:dyDescent="0.25">
      <c r="A834" s="8"/>
      <c r="B834" s="8"/>
      <c r="C834" s="8"/>
      <c r="D834" s="8"/>
      <c r="E834" s="10">
        <f>IFERROR(VLOOKUP(C834,'Inventory Master'!$A$3:$L$300,5,FALSE),0)</f>
      </c>
      <c r="F834" s="10">
        <f>D834*E834</f>
      </c>
      <c r="G834" s="8"/>
    </row>
    <row r="835" ht="21" customHeight="1" spans="1:7" x14ac:dyDescent="0.25">
      <c r="A835" s="8"/>
      <c r="B835" s="8"/>
      <c r="C835" s="8"/>
      <c r="D835" s="8"/>
      <c r="E835" s="10">
        <f>IFERROR(VLOOKUP(C835,'Inventory Master'!$A$3:$L$300,5,FALSE),0)</f>
      </c>
      <c r="F835" s="10">
        <f>D835*E835</f>
      </c>
      <c r="G835" s="8"/>
    </row>
    <row r="836" ht="21" customHeight="1" spans="1:7" x14ac:dyDescent="0.25">
      <c r="A836" s="8"/>
      <c r="B836" s="8"/>
      <c r="C836" s="8"/>
      <c r="D836" s="8"/>
      <c r="E836" s="10">
        <f>IFERROR(VLOOKUP(C836,'Inventory Master'!$A$3:$L$300,5,FALSE),0)</f>
      </c>
      <c r="F836" s="10">
        <f>D836*E836</f>
      </c>
      <c r="G836" s="8"/>
    </row>
    <row r="837" ht="21" customHeight="1" spans="1:7" x14ac:dyDescent="0.25">
      <c r="A837" s="8"/>
      <c r="B837" s="8"/>
      <c r="C837" s="8"/>
      <c r="D837" s="8"/>
      <c r="E837" s="10">
        <f>IFERROR(VLOOKUP(C837,'Inventory Master'!$A$3:$L$300,5,FALSE),0)</f>
      </c>
      <c r="F837" s="10">
        <f>D837*E837</f>
      </c>
      <c r="G837" s="8"/>
    </row>
    <row r="838" ht="21" customHeight="1" spans="1:7" x14ac:dyDescent="0.25">
      <c r="A838" s="8"/>
      <c r="B838" s="8"/>
      <c r="C838" s="8"/>
      <c r="D838" s="8"/>
      <c r="E838" s="10">
        <f>IFERROR(VLOOKUP(C838,'Inventory Master'!$A$3:$L$300,5,FALSE),0)</f>
      </c>
      <c r="F838" s="10">
        <f>D838*E838</f>
      </c>
      <c r="G838" s="8"/>
    </row>
    <row r="839" ht="21" customHeight="1" spans="1:7" x14ac:dyDescent="0.25">
      <c r="A839" s="8"/>
      <c r="B839" s="8"/>
      <c r="C839" s="8"/>
      <c r="D839" s="8"/>
      <c r="E839" s="10">
        <f>IFERROR(VLOOKUP(C839,'Inventory Master'!$A$3:$L$300,5,FALSE),0)</f>
      </c>
      <c r="F839" s="10">
        <f>D839*E839</f>
      </c>
      <c r="G839" s="8"/>
    </row>
    <row r="840" ht="21" customHeight="1" spans="1:7" x14ac:dyDescent="0.25">
      <c r="A840" s="8"/>
      <c r="B840" s="8"/>
      <c r="C840" s="8"/>
      <c r="D840" s="8"/>
      <c r="E840" s="10">
        <f>IFERROR(VLOOKUP(C840,'Inventory Master'!$A$3:$L$300,5,FALSE),0)</f>
      </c>
      <c r="F840" s="10">
        <f>D840*E840</f>
      </c>
      <c r="G840" s="8"/>
    </row>
    <row r="841" ht="21" customHeight="1" spans="1:7" x14ac:dyDescent="0.25">
      <c r="A841" s="8"/>
      <c r="B841" s="8"/>
      <c r="C841" s="8"/>
      <c r="D841" s="8"/>
      <c r="E841" s="10">
        <f>IFERROR(VLOOKUP(C841,'Inventory Master'!$A$3:$L$300,5,FALSE),0)</f>
      </c>
      <c r="F841" s="10">
        <f>D841*E841</f>
      </c>
      <c r="G841" s="8"/>
    </row>
    <row r="842" ht="21" customHeight="1" spans="1:7" x14ac:dyDescent="0.25">
      <c r="A842" s="8"/>
      <c r="B842" s="8"/>
      <c r="C842" s="8"/>
      <c r="D842" s="8"/>
      <c r="E842" s="10">
        <f>IFERROR(VLOOKUP(C842,'Inventory Master'!$A$3:$L$300,5,FALSE),0)</f>
      </c>
      <c r="F842" s="10">
        <f>D842*E842</f>
      </c>
      <c r="G842" s="8"/>
    </row>
    <row r="843" ht="21" customHeight="1" spans="1:7" x14ac:dyDescent="0.25">
      <c r="A843" s="8"/>
      <c r="B843" s="8"/>
      <c r="C843" s="8"/>
      <c r="D843" s="8"/>
      <c r="E843" s="10">
        <f>IFERROR(VLOOKUP(C843,'Inventory Master'!$A$3:$L$300,5,FALSE),0)</f>
      </c>
      <c r="F843" s="10">
        <f>D843*E843</f>
      </c>
      <c r="G843" s="8"/>
    </row>
    <row r="844" ht="21" customHeight="1" spans="1:7" x14ac:dyDescent="0.25">
      <c r="A844" s="8"/>
      <c r="B844" s="8"/>
      <c r="C844" s="8"/>
      <c r="D844" s="8"/>
      <c r="E844" s="10">
        <f>IFERROR(VLOOKUP(C844,'Inventory Master'!$A$3:$L$300,5,FALSE),0)</f>
      </c>
      <c r="F844" s="10">
        <f>D844*E844</f>
      </c>
      <c r="G844" s="8"/>
    </row>
    <row r="845" ht="21" customHeight="1" spans="1:7" x14ac:dyDescent="0.25">
      <c r="A845" s="8"/>
      <c r="B845" s="8"/>
      <c r="C845" s="8"/>
      <c r="D845" s="8"/>
      <c r="E845" s="10">
        <f>IFERROR(VLOOKUP(C845,'Inventory Master'!$A$3:$L$300,5,FALSE),0)</f>
      </c>
      <c r="F845" s="10">
        <f>D845*E845</f>
      </c>
      <c r="G845" s="8"/>
    </row>
    <row r="846" ht="21" customHeight="1" spans="1:7" x14ac:dyDescent="0.25">
      <c r="A846" s="8"/>
      <c r="B846" s="8"/>
      <c r="C846" s="8"/>
      <c r="D846" s="8"/>
      <c r="E846" s="10">
        <f>IFERROR(VLOOKUP(C846,'Inventory Master'!$A$3:$L$300,5,FALSE),0)</f>
      </c>
      <c r="F846" s="10">
        <f>D846*E846</f>
      </c>
      <c r="G846" s="8"/>
    </row>
    <row r="847" ht="21" customHeight="1" spans="1:7" x14ac:dyDescent="0.25">
      <c r="A847" s="8"/>
      <c r="B847" s="8"/>
      <c r="C847" s="8"/>
      <c r="D847" s="8"/>
      <c r="E847" s="10">
        <f>IFERROR(VLOOKUP(C847,'Inventory Master'!$A$3:$L$300,5,FALSE),0)</f>
      </c>
      <c r="F847" s="10">
        <f>D847*E847</f>
      </c>
      <c r="G847" s="8"/>
    </row>
    <row r="848" ht="21" customHeight="1" spans="1:7" x14ac:dyDescent="0.25">
      <c r="A848" s="8"/>
      <c r="B848" s="8"/>
      <c r="C848" s="8"/>
      <c r="D848" s="8"/>
      <c r="E848" s="10">
        <f>IFERROR(VLOOKUP(C848,'Inventory Master'!$A$3:$L$300,5,FALSE),0)</f>
      </c>
      <c r="F848" s="10">
        <f>D848*E848</f>
      </c>
      <c r="G848" s="8"/>
    </row>
    <row r="849" ht="21" customHeight="1" spans="1:7" x14ac:dyDescent="0.25">
      <c r="A849" s="8"/>
      <c r="B849" s="8"/>
      <c r="C849" s="8"/>
      <c r="D849" s="8"/>
      <c r="E849" s="10">
        <f>IFERROR(VLOOKUP(C849,'Inventory Master'!$A$3:$L$300,5,FALSE),0)</f>
      </c>
      <c r="F849" s="10">
        <f>D849*E849</f>
      </c>
      <c r="G849" s="8"/>
    </row>
    <row r="850" ht="21" customHeight="1" spans="1:7" x14ac:dyDescent="0.25">
      <c r="A850" s="8"/>
      <c r="B850" s="8"/>
      <c r="C850" s="8"/>
      <c r="D850" s="8"/>
      <c r="E850" s="10">
        <f>IFERROR(VLOOKUP(C850,'Inventory Master'!$A$3:$L$300,5,FALSE),0)</f>
      </c>
      <c r="F850" s="10">
        <f>D850*E850</f>
      </c>
      <c r="G850" s="8"/>
    </row>
    <row r="851" ht="21" customHeight="1" spans="1:7" x14ac:dyDescent="0.25">
      <c r="A851" s="8"/>
      <c r="B851" s="8"/>
      <c r="C851" s="8"/>
      <c r="D851" s="8"/>
      <c r="E851" s="10">
        <f>IFERROR(VLOOKUP(C851,'Inventory Master'!$A$3:$L$300,5,FALSE),0)</f>
      </c>
      <c r="F851" s="10">
        <f>D851*E851</f>
      </c>
      <c r="G851" s="8"/>
    </row>
    <row r="852" ht="21" customHeight="1" spans="1:7" x14ac:dyDescent="0.25">
      <c r="A852" s="8"/>
      <c r="B852" s="8"/>
      <c r="C852" s="8"/>
      <c r="D852" s="8"/>
      <c r="E852" s="10">
        <f>IFERROR(VLOOKUP(C852,'Inventory Master'!$A$3:$L$300,5,FALSE),0)</f>
      </c>
      <c r="F852" s="10">
        <f>D852*E852</f>
      </c>
      <c r="G852" s="8"/>
    </row>
    <row r="853" ht="21" customHeight="1" spans="1:7" x14ac:dyDescent="0.25">
      <c r="A853" s="8"/>
      <c r="B853" s="8"/>
      <c r="C853" s="8"/>
      <c r="D853" s="8"/>
      <c r="E853" s="10">
        <f>IFERROR(VLOOKUP(C853,'Inventory Master'!$A$3:$L$300,5,FALSE),0)</f>
      </c>
      <c r="F853" s="10">
        <f>D853*E853</f>
      </c>
      <c r="G853" s="8"/>
    </row>
    <row r="854" ht="21" customHeight="1" spans="1:7" x14ac:dyDescent="0.25">
      <c r="A854" s="8"/>
      <c r="B854" s="8"/>
      <c r="C854" s="8"/>
      <c r="D854" s="8"/>
      <c r="E854" s="10">
        <f>IFERROR(VLOOKUP(C854,'Inventory Master'!$A$3:$L$300,5,FALSE),0)</f>
      </c>
      <c r="F854" s="10">
        <f>D854*E854</f>
      </c>
      <c r="G854" s="8"/>
    </row>
    <row r="855" ht="21" customHeight="1" spans="1:7" x14ac:dyDescent="0.25">
      <c r="A855" s="8"/>
      <c r="B855" s="8"/>
      <c r="C855" s="8"/>
      <c r="D855" s="8"/>
      <c r="E855" s="10">
        <f>IFERROR(VLOOKUP(C855,'Inventory Master'!$A$3:$L$300,5,FALSE),0)</f>
      </c>
      <c r="F855" s="10">
        <f>D855*E855</f>
      </c>
      <c r="G855" s="8"/>
    </row>
    <row r="856" ht="21" customHeight="1" spans="1:7" x14ac:dyDescent="0.25">
      <c r="A856" s="8"/>
      <c r="B856" s="8"/>
      <c r="C856" s="8"/>
      <c r="D856" s="8"/>
      <c r="E856" s="10">
        <f>IFERROR(VLOOKUP(C856,'Inventory Master'!$A$3:$L$300,5,FALSE),0)</f>
      </c>
      <c r="F856" s="10">
        <f>D856*E856</f>
      </c>
      <c r="G856" s="8"/>
    </row>
    <row r="857" ht="21" customHeight="1" spans="1:7" x14ac:dyDescent="0.25">
      <c r="A857" s="8"/>
      <c r="B857" s="8"/>
      <c r="C857" s="8"/>
      <c r="D857" s="8"/>
      <c r="E857" s="10">
        <f>IFERROR(VLOOKUP(C857,'Inventory Master'!$A$3:$L$300,5,FALSE),0)</f>
      </c>
      <c r="F857" s="10">
        <f>D857*E857</f>
      </c>
      <c r="G857" s="8"/>
    </row>
    <row r="858" ht="21" customHeight="1" spans="1:7" x14ac:dyDescent="0.25">
      <c r="A858" s="8"/>
      <c r="B858" s="8"/>
      <c r="C858" s="8"/>
      <c r="D858" s="8"/>
      <c r="E858" s="10">
        <f>IFERROR(VLOOKUP(C858,'Inventory Master'!$A$3:$L$300,5,FALSE),0)</f>
      </c>
      <c r="F858" s="10">
        <f>D858*E858</f>
      </c>
      <c r="G858" s="8"/>
    </row>
    <row r="859" ht="21" customHeight="1" spans="1:7" x14ac:dyDescent="0.25">
      <c r="A859" s="8"/>
      <c r="B859" s="8"/>
      <c r="C859" s="8"/>
      <c r="D859" s="8"/>
      <c r="E859" s="10">
        <f>IFERROR(VLOOKUP(C859,'Inventory Master'!$A$3:$L$300,5,FALSE),0)</f>
      </c>
      <c r="F859" s="10">
        <f>D859*E859</f>
      </c>
      <c r="G859" s="8"/>
    </row>
    <row r="860" ht="21" customHeight="1" spans="1:7" x14ac:dyDescent="0.25">
      <c r="A860" s="8"/>
      <c r="B860" s="8"/>
      <c r="C860" s="8"/>
      <c r="D860" s="8"/>
      <c r="E860" s="10">
        <f>IFERROR(VLOOKUP(C860,'Inventory Master'!$A$3:$L$300,5,FALSE),0)</f>
      </c>
      <c r="F860" s="10">
        <f>D860*E860</f>
      </c>
      <c r="G860" s="8"/>
    </row>
    <row r="861" ht="21" customHeight="1" spans="1:7" x14ac:dyDescent="0.25">
      <c r="A861" s="8"/>
      <c r="B861" s="8"/>
      <c r="C861" s="8"/>
      <c r="D861" s="8"/>
      <c r="E861" s="10">
        <f>IFERROR(VLOOKUP(C861,'Inventory Master'!$A$3:$L$300,5,FALSE),0)</f>
      </c>
      <c r="F861" s="10">
        <f>D861*E861</f>
      </c>
      <c r="G861" s="8"/>
    </row>
    <row r="862" ht="21" customHeight="1" spans="1:7" x14ac:dyDescent="0.25">
      <c r="A862" s="8"/>
      <c r="B862" s="8"/>
      <c r="C862" s="8"/>
      <c r="D862" s="8"/>
      <c r="E862" s="10">
        <f>IFERROR(VLOOKUP(C862,'Inventory Master'!$A$3:$L$300,5,FALSE),0)</f>
      </c>
      <c r="F862" s="10">
        <f>D862*E862</f>
      </c>
      <c r="G862" s="8"/>
    </row>
    <row r="863" ht="21" customHeight="1" spans="1:7" x14ac:dyDescent="0.25">
      <c r="A863" s="8"/>
      <c r="B863" s="8"/>
      <c r="C863" s="8"/>
      <c r="D863" s="8"/>
      <c r="E863" s="10">
        <f>IFERROR(VLOOKUP(C863,'Inventory Master'!$A$3:$L$300,5,FALSE),0)</f>
      </c>
      <c r="F863" s="10">
        <f>D863*E863</f>
      </c>
      <c r="G863" s="8"/>
    </row>
    <row r="864" ht="21" customHeight="1" spans="1:7" x14ac:dyDescent="0.25">
      <c r="A864" s="8"/>
      <c r="B864" s="8"/>
      <c r="C864" s="8"/>
      <c r="D864" s="8"/>
      <c r="E864" s="10">
        <f>IFERROR(VLOOKUP(C864,'Inventory Master'!$A$3:$L$300,5,FALSE),0)</f>
      </c>
      <c r="F864" s="10">
        <f>D864*E864</f>
      </c>
      <c r="G864" s="8"/>
    </row>
    <row r="865" ht="21" customHeight="1" spans="1:7" x14ac:dyDescent="0.25">
      <c r="A865" s="8"/>
      <c r="B865" s="8"/>
      <c r="C865" s="8"/>
      <c r="D865" s="8"/>
      <c r="E865" s="10">
        <f>IFERROR(VLOOKUP(C865,'Inventory Master'!$A$3:$L$300,5,FALSE),0)</f>
      </c>
      <c r="F865" s="10">
        <f>D865*E865</f>
      </c>
      <c r="G865" s="8"/>
    </row>
    <row r="866" ht="21" customHeight="1" spans="1:7" x14ac:dyDescent="0.25">
      <c r="A866" s="8"/>
      <c r="B866" s="8"/>
      <c r="C866" s="8"/>
      <c r="D866" s="8"/>
      <c r="E866" s="10">
        <f>IFERROR(VLOOKUP(C866,'Inventory Master'!$A$3:$L$300,5,FALSE),0)</f>
      </c>
      <c r="F866" s="10">
        <f>D866*E866</f>
      </c>
      <c r="G866" s="8"/>
    </row>
    <row r="867" ht="21" customHeight="1" spans="1:7" x14ac:dyDescent="0.25">
      <c r="A867" s="8"/>
      <c r="B867" s="8"/>
      <c r="C867" s="8"/>
      <c r="D867" s="8"/>
      <c r="E867" s="10">
        <f>IFERROR(VLOOKUP(C867,'Inventory Master'!$A$3:$L$300,5,FALSE),0)</f>
      </c>
      <c r="F867" s="10">
        <f>D867*E867</f>
      </c>
      <c r="G867" s="8"/>
    </row>
    <row r="868" ht="21" customHeight="1" spans="1:7" x14ac:dyDescent="0.25">
      <c r="A868" s="8"/>
      <c r="B868" s="8"/>
      <c r="C868" s="8"/>
      <c r="D868" s="8"/>
      <c r="E868" s="10">
        <f>IFERROR(VLOOKUP(C868,'Inventory Master'!$A$3:$L$300,5,FALSE),0)</f>
      </c>
      <c r="F868" s="10">
        <f>D868*E868</f>
      </c>
      <c r="G868" s="8"/>
    </row>
    <row r="869" ht="21" customHeight="1" spans="1:7" x14ac:dyDescent="0.25">
      <c r="A869" s="8"/>
      <c r="B869" s="8"/>
      <c r="C869" s="8"/>
      <c r="D869" s="8"/>
      <c r="E869" s="10">
        <f>IFERROR(VLOOKUP(C869,'Inventory Master'!$A$3:$L$300,5,FALSE),0)</f>
      </c>
      <c r="F869" s="10">
        <f>D869*E869</f>
      </c>
      <c r="G869" s="8"/>
    </row>
    <row r="870" ht="21" customHeight="1" spans="1:7" x14ac:dyDescent="0.25">
      <c r="A870" s="8"/>
      <c r="B870" s="8"/>
      <c r="C870" s="8"/>
      <c r="D870" s="8"/>
      <c r="E870" s="10">
        <f>IFERROR(VLOOKUP(C870,'Inventory Master'!$A$3:$L$300,5,FALSE),0)</f>
      </c>
      <c r="F870" s="10">
        <f>D870*E870</f>
      </c>
      <c r="G870" s="8"/>
    </row>
    <row r="871" ht="21" customHeight="1" spans="1:7" x14ac:dyDescent="0.25">
      <c r="A871" s="8"/>
      <c r="B871" s="8"/>
      <c r="C871" s="8"/>
      <c r="D871" s="8"/>
      <c r="E871" s="10">
        <f>IFERROR(VLOOKUP(C871,'Inventory Master'!$A$3:$L$300,5,FALSE),0)</f>
      </c>
      <c r="F871" s="10">
        <f>D871*E871</f>
      </c>
      <c r="G871" s="8"/>
    </row>
    <row r="872" ht="21" customHeight="1" spans="1:7" x14ac:dyDescent="0.25">
      <c r="A872" s="8"/>
      <c r="B872" s="8"/>
      <c r="C872" s="8"/>
      <c r="D872" s="8"/>
      <c r="E872" s="10">
        <f>IFERROR(VLOOKUP(C872,'Inventory Master'!$A$3:$L$300,5,FALSE),0)</f>
      </c>
      <c r="F872" s="10">
        <f>D872*E872</f>
      </c>
      <c r="G872" s="8"/>
    </row>
    <row r="873" ht="21" customHeight="1" spans="1:7" x14ac:dyDescent="0.25">
      <c r="A873" s="8"/>
      <c r="B873" s="8"/>
      <c r="C873" s="8"/>
      <c r="D873" s="8"/>
      <c r="E873" s="10">
        <f>IFERROR(VLOOKUP(C873,'Inventory Master'!$A$3:$L$300,5,FALSE),0)</f>
      </c>
      <c r="F873" s="10">
        <f>D873*E873</f>
      </c>
      <c r="G873" s="8"/>
    </row>
    <row r="874" ht="21" customHeight="1" spans="1:7" x14ac:dyDescent="0.25">
      <c r="A874" s="8"/>
      <c r="B874" s="8"/>
      <c r="C874" s="8"/>
      <c r="D874" s="8"/>
      <c r="E874" s="10">
        <f>IFERROR(VLOOKUP(C874,'Inventory Master'!$A$3:$L$300,5,FALSE),0)</f>
      </c>
      <c r="F874" s="10">
        <f>D874*E874</f>
      </c>
      <c r="G874" s="8"/>
    </row>
    <row r="875" ht="21" customHeight="1" spans="1:7" x14ac:dyDescent="0.25">
      <c r="A875" s="8"/>
      <c r="B875" s="8"/>
      <c r="C875" s="8"/>
      <c r="D875" s="8"/>
      <c r="E875" s="10">
        <f>IFERROR(VLOOKUP(C875,'Inventory Master'!$A$3:$L$300,5,FALSE),0)</f>
      </c>
      <c r="F875" s="10">
        <f>D875*E875</f>
      </c>
      <c r="G875" s="8"/>
    </row>
    <row r="876" ht="21" customHeight="1" spans="1:7" x14ac:dyDescent="0.25">
      <c r="A876" s="8"/>
      <c r="B876" s="8"/>
      <c r="C876" s="8"/>
      <c r="D876" s="8"/>
      <c r="E876" s="10">
        <f>IFERROR(VLOOKUP(C876,'Inventory Master'!$A$3:$L$300,5,FALSE),0)</f>
      </c>
      <c r="F876" s="10">
        <f>D876*E876</f>
      </c>
      <c r="G876" s="8"/>
    </row>
    <row r="877" ht="21" customHeight="1" spans="1:7" x14ac:dyDescent="0.25">
      <c r="A877" s="8"/>
      <c r="B877" s="8"/>
      <c r="C877" s="8"/>
      <c r="D877" s="8"/>
      <c r="E877" s="10">
        <f>IFERROR(VLOOKUP(C877,'Inventory Master'!$A$3:$L$300,5,FALSE),0)</f>
      </c>
      <c r="F877" s="10">
        <f>D877*E877</f>
      </c>
      <c r="G877" s="8"/>
    </row>
    <row r="878" ht="21" customHeight="1" spans="1:7" x14ac:dyDescent="0.25">
      <c r="A878" s="8"/>
      <c r="B878" s="8"/>
      <c r="C878" s="8"/>
      <c r="D878" s="8"/>
      <c r="E878" s="10">
        <f>IFERROR(VLOOKUP(C878,'Inventory Master'!$A$3:$L$300,5,FALSE),0)</f>
      </c>
      <c r="F878" s="10">
        <f>D878*E878</f>
      </c>
      <c r="G878" s="8"/>
    </row>
    <row r="879" ht="21" customHeight="1" spans="1:7" x14ac:dyDescent="0.25">
      <c r="A879" s="8"/>
      <c r="B879" s="8"/>
      <c r="C879" s="8"/>
      <c r="D879" s="8"/>
      <c r="E879" s="10">
        <f>IFERROR(VLOOKUP(C879,'Inventory Master'!$A$3:$L$300,5,FALSE),0)</f>
      </c>
      <c r="F879" s="10">
        <f>D879*E879</f>
      </c>
      <c r="G879" s="8"/>
    </row>
    <row r="880" ht="21" customHeight="1" spans="1:7" x14ac:dyDescent="0.25">
      <c r="A880" s="8"/>
      <c r="B880" s="8"/>
      <c r="C880" s="8"/>
      <c r="D880" s="8"/>
      <c r="E880" s="10">
        <f>IFERROR(VLOOKUP(C880,'Inventory Master'!$A$3:$L$300,5,FALSE),0)</f>
      </c>
      <c r="F880" s="10">
        <f>D880*E880</f>
      </c>
      <c r="G880" s="8"/>
    </row>
    <row r="881" ht="21" customHeight="1" spans="1:7" x14ac:dyDescent="0.25">
      <c r="A881" s="8"/>
      <c r="B881" s="8"/>
      <c r="C881" s="8"/>
      <c r="D881" s="8"/>
      <c r="E881" s="10">
        <f>IFERROR(VLOOKUP(C881,'Inventory Master'!$A$3:$L$300,5,FALSE),0)</f>
      </c>
      <c r="F881" s="10">
        <f>D881*E881</f>
      </c>
      <c r="G881" s="8"/>
    </row>
    <row r="882" ht="21" customHeight="1" spans="1:7" x14ac:dyDescent="0.25">
      <c r="A882" s="8"/>
      <c r="B882" s="8"/>
      <c r="C882" s="8"/>
      <c r="D882" s="8"/>
      <c r="E882" s="10">
        <f>IFERROR(VLOOKUP(C882,'Inventory Master'!$A$3:$L$300,5,FALSE),0)</f>
      </c>
      <c r="F882" s="10">
        <f>D882*E882</f>
      </c>
      <c r="G882" s="8"/>
    </row>
    <row r="883" ht="21" customHeight="1" spans="1:7" x14ac:dyDescent="0.25">
      <c r="A883" s="8"/>
      <c r="B883" s="8"/>
      <c r="C883" s="8"/>
      <c r="D883" s="8"/>
      <c r="E883" s="10">
        <f>IFERROR(VLOOKUP(C883,'Inventory Master'!$A$3:$L$300,5,FALSE),0)</f>
      </c>
      <c r="F883" s="10">
        <f>D883*E883</f>
      </c>
      <c r="G883" s="8"/>
    </row>
    <row r="884" ht="21" customHeight="1" spans="1:7" x14ac:dyDescent="0.25">
      <c r="A884" s="8"/>
      <c r="B884" s="8"/>
      <c r="C884" s="8"/>
      <c r="D884" s="8"/>
      <c r="E884" s="10">
        <f>IFERROR(VLOOKUP(C884,'Inventory Master'!$A$3:$L$300,5,FALSE),0)</f>
      </c>
      <c r="F884" s="10">
        <f>D884*E884</f>
      </c>
      <c r="G884" s="8"/>
    </row>
    <row r="885" ht="21" customHeight="1" spans="1:7" x14ac:dyDescent="0.25">
      <c r="A885" s="8"/>
      <c r="B885" s="8"/>
      <c r="C885" s="8"/>
      <c r="D885" s="8"/>
      <c r="E885" s="10">
        <f>IFERROR(VLOOKUP(C885,'Inventory Master'!$A$3:$L$300,5,FALSE),0)</f>
      </c>
      <c r="F885" s="10">
        <f>D885*E885</f>
      </c>
      <c r="G885" s="8"/>
    </row>
    <row r="886" ht="21" customHeight="1" spans="1:7" x14ac:dyDescent="0.25">
      <c r="A886" s="8"/>
      <c r="B886" s="8"/>
      <c r="C886" s="8"/>
      <c r="D886" s="8"/>
      <c r="E886" s="10">
        <f>IFERROR(VLOOKUP(C886,'Inventory Master'!$A$3:$L$300,5,FALSE),0)</f>
      </c>
      <c r="F886" s="10">
        <f>D886*E886</f>
      </c>
      <c r="G886" s="8"/>
    </row>
    <row r="887" ht="21" customHeight="1" spans="1:7" x14ac:dyDescent="0.25">
      <c r="A887" s="8"/>
      <c r="B887" s="8"/>
      <c r="C887" s="8"/>
      <c r="D887" s="8"/>
      <c r="E887" s="10">
        <f>IFERROR(VLOOKUP(C887,'Inventory Master'!$A$3:$L$300,5,FALSE),0)</f>
      </c>
      <c r="F887" s="10">
        <f>D887*E887</f>
      </c>
      <c r="G887" s="8"/>
    </row>
    <row r="888" ht="21" customHeight="1" spans="1:7" x14ac:dyDescent="0.25">
      <c r="A888" s="8"/>
      <c r="B888" s="8"/>
      <c r="C888" s="8"/>
      <c r="D888" s="8"/>
      <c r="E888" s="10">
        <f>IFERROR(VLOOKUP(C888,'Inventory Master'!$A$3:$L$300,5,FALSE),0)</f>
      </c>
      <c r="F888" s="10">
        <f>D888*E888</f>
      </c>
      <c r="G888" s="8"/>
    </row>
    <row r="889" ht="21" customHeight="1" spans="1:7" x14ac:dyDescent="0.25">
      <c r="A889" s="8"/>
      <c r="B889" s="8"/>
      <c r="C889" s="8"/>
      <c r="D889" s="8"/>
      <c r="E889" s="10">
        <f>IFERROR(VLOOKUP(C889,'Inventory Master'!$A$3:$L$300,5,FALSE),0)</f>
      </c>
      <c r="F889" s="10">
        <f>D889*E889</f>
      </c>
      <c r="G889" s="8"/>
    </row>
    <row r="890" ht="21" customHeight="1" spans="1:7" x14ac:dyDescent="0.25">
      <c r="A890" s="8"/>
      <c r="B890" s="8"/>
      <c r="C890" s="8"/>
      <c r="D890" s="8"/>
      <c r="E890" s="10">
        <f>IFERROR(VLOOKUP(C890,'Inventory Master'!$A$3:$L$300,5,FALSE),0)</f>
      </c>
      <c r="F890" s="10">
        <f>D890*E890</f>
      </c>
      <c r="G890" s="8"/>
    </row>
    <row r="891" ht="21" customHeight="1" spans="1:7" x14ac:dyDescent="0.25">
      <c r="A891" s="8"/>
      <c r="B891" s="8"/>
      <c r="C891" s="8"/>
      <c r="D891" s="8"/>
      <c r="E891" s="10">
        <f>IFERROR(VLOOKUP(C891,'Inventory Master'!$A$3:$L$300,5,FALSE),0)</f>
      </c>
      <c r="F891" s="10">
        <f>D891*E891</f>
      </c>
      <c r="G891" s="8"/>
    </row>
    <row r="892" ht="21" customHeight="1" spans="1:7" x14ac:dyDescent="0.25">
      <c r="A892" s="8"/>
      <c r="B892" s="8"/>
      <c r="C892" s="8"/>
      <c r="D892" s="8"/>
      <c r="E892" s="10">
        <f>IFERROR(VLOOKUP(C892,'Inventory Master'!$A$3:$L$300,5,FALSE),0)</f>
      </c>
      <c r="F892" s="10">
        <f>D892*E892</f>
      </c>
      <c r="G892" s="8"/>
    </row>
    <row r="893" ht="21" customHeight="1" spans="1:7" x14ac:dyDescent="0.25">
      <c r="A893" s="8"/>
      <c r="B893" s="8"/>
      <c r="C893" s="8"/>
      <c r="D893" s="8"/>
      <c r="E893" s="10">
        <f>IFERROR(VLOOKUP(C893,'Inventory Master'!$A$3:$L$300,5,FALSE),0)</f>
      </c>
      <c r="F893" s="10">
        <f>D893*E893</f>
      </c>
      <c r="G893" s="8"/>
    </row>
    <row r="894" ht="21" customHeight="1" spans="1:7" x14ac:dyDescent="0.25">
      <c r="A894" s="8"/>
      <c r="B894" s="8"/>
      <c r="C894" s="8"/>
      <c r="D894" s="8"/>
      <c r="E894" s="10">
        <f>IFERROR(VLOOKUP(C894,'Inventory Master'!$A$3:$L$300,5,FALSE),0)</f>
      </c>
      <c r="F894" s="10">
        <f>D894*E894</f>
      </c>
      <c r="G894" s="8"/>
    </row>
    <row r="895" ht="21" customHeight="1" spans="1:7" x14ac:dyDescent="0.25">
      <c r="A895" s="8"/>
      <c r="B895" s="8"/>
      <c r="C895" s="8"/>
      <c r="D895" s="8"/>
      <c r="E895" s="10">
        <f>IFERROR(VLOOKUP(C895,'Inventory Master'!$A$3:$L$300,5,FALSE),0)</f>
      </c>
      <c r="F895" s="10">
        <f>D895*E895</f>
      </c>
      <c r="G895" s="8"/>
    </row>
    <row r="896" ht="21" customHeight="1" spans="1:7" x14ac:dyDescent="0.25">
      <c r="A896" s="8"/>
      <c r="B896" s="8"/>
      <c r="C896" s="8"/>
      <c r="D896" s="8"/>
      <c r="E896" s="10">
        <f>IFERROR(VLOOKUP(C896,'Inventory Master'!$A$3:$L$300,5,FALSE),0)</f>
      </c>
      <c r="F896" s="10">
        <f>D896*E896</f>
      </c>
      <c r="G896" s="8"/>
    </row>
    <row r="897" ht="21" customHeight="1" spans="1:7" x14ac:dyDescent="0.25">
      <c r="A897" s="8"/>
      <c r="B897" s="8"/>
      <c r="C897" s="8"/>
      <c r="D897" s="8"/>
      <c r="E897" s="10">
        <f>IFERROR(VLOOKUP(C897,'Inventory Master'!$A$3:$L$300,5,FALSE),0)</f>
      </c>
      <c r="F897" s="10">
        <f>D897*E897</f>
      </c>
      <c r="G897" s="8"/>
    </row>
    <row r="898" ht="21" customHeight="1" spans="1:7" x14ac:dyDescent="0.25">
      <c r="A898" s="8"/>
      <c r="B898" s="8"/>
      <c r="C898" s="8"/>
      <c r="D898" s="8"/>
      <c r="E898" s="10">
        <f>IFERROR(VLOOKUP(C898,'Inventory Master'!$A$3:$L$300,5,FALSE),0)</f>
      </c>
      <c r="F898" s="10">
        <f>D898*E898</f>
      </c>
      <c r="G898" s="8"/>
    </row>
    <row r="899" ht="21" customHeight="1" spans="1:7" x14ac:dyDescent="0.25">
      <c r="A899" s="8"/>
      <c r="B899" s="8"/>
      <c r="C899" s="8"/>
      <c r="D899" s="8"/>
      <c r="E899" s="10">
        <f>IFERROR(VLOOKUP(C899,'Inventory Master'!$A$3:$L$300,5,FALSE),0)</f>
      </c>
      <c r="F899" s="10">
        <f>D899*E899</f>
      </c>
      <c r="G899" s="8"/>
    </row>
    <row r="900" ht="21" customHeight="1" spans="1:7" x14ac:dyDescent="0.25">
      <c r="A900" s="8"/>
      <c r="B900" s="8"/>
      <c r="C900" s="8"/>
      <c r="D900" s="8"/>
      <c r="E900" s="10">
        <f>IFERROR(VLOOKUP(C900,'Inventory Master'!$A$3:$L$300,5,FALSE),0)</f>
      </c>
      <c r="F900" s="10">
        <f>D900*E900</f>
      </c>
      <c r="G900" s="8"/>
    </row>
    <row r="901" ht="21" customHeight="1" spans="1:7" x14ac:dyDescent="0.25">
      <c r="A901" s="8"/>
      <c r="B901" s="8"/>
      <c r="C901" s="8"/>
      <c r="D901" s="8"/>
      <c r="E901" s="10">
        <f>IFERROR(VLOOKUP(C901,'Inventory Master'!$A$3:$L$300,5,FALSE),0)</f>
      </c>
      <c r="F901" s="10">
        <f>D901*E901</f>
      </c>
      <c r="G901" s="8"/>
    </row>
    <row r="902" ht="21" customHeight="1" spans="1:7" x14ac:dyDescent="0.25">
      <c r="A902" s="8"/>
      <c r="B902" s="8"/>
      <c r="C902" s="8"/>
      <c r="D902" s="8"/>
      <c r="E902" s="10">
        <f>IFERROR(VLOOKUP(C902,'Inventory Master'!$A$3:$L$300,5,FALSE),0)</f>
      </c>
      <c r="F902" s="10">
        <f>D902*E902</f>
      </c>
      <c r="G902" s="8"/>
    </row>
    <row r="903" ht="21" customHeight="1" spans="1:7" x14ac:dyDescent="0.25">
      <c r="A903" s="8"/>
      <c r="B903" s="8"/>
      <c r="C903" s="8"/>
      <c r="D903" s="8"/>
      <c r="E903" s="10">
        <f>IFERROR(VLOOKUP(C903,'Inventory Master'!$A$3:$L$300,5,FALSE),0)</f>
      </c>
      <c r="F903" s="10">
        <f>D903*E903</f>
      </c>
      <c r="G903" s="8"/>
    </row>
    <row r="904" ht="21" customHeight="1" spans="1:7" x14ac:dyDescent="0.25">
      <c r="A904" s="8"/>
      <c r="B904" s="8"/>
      <c r="C904" s="8"/>
      <c r="D904" s="8"/>
      <c r="E904" s="10">
        <f>IFERROR(VLOOKUP(C904,'Inventory Master'!$A$3:$L$300,5,FALSE),0)</f>
      </c>
      <c r="F904" s="10">
        <f>D904*E904</f>
      </c>
      <c r="G904" s="8"/>
    </row>
    <row r="905" ht="21" customHeight="1" spans="1:7" x14ac:dyDescent="0.25">
      <c r="A905" s="8"/>
      <c r="B905" s="8"/>
      <c r="C905" s="8"/>
      <c r="D905" s="8"/>
      <c r="E905" s="10">
        <f>IFERROR(VLOOKUP(C905,'Inventory Master'!$A$3:$L$300,5,FALSE),0)</f>
      </c>
      <c r="F905" s="10">
        <f>D905*E905</f>
      </c>
      <c r="G905" s="8"/>
    </row>
    <row r="906" ht="21" customHeight="1" spans="1:7" x14ac:dyDescent="0.25">
      <c r="A906" s="8"/>
      <c r="B906" s="8"/>
      <c r="C906" s="8"/>
      <c r="D906" s="8"/>
      <c r="E906" s="10">
        <f>IFERROR(VLOOKUP(C906,'Inventory Master'!$A$3:$L$300,5,FALSE),0)</f>
      </c>
      <c r="F906" s="10">
        <f>D906*E906</f>
      </c>
      <c r="G906" s="8"/>
    </row>
    <row r="907" ht="21" customHeight="1" spans="1:7" x14ac:dyDescent="0.25">
      <c r="A907" s="8"/>
      <c r="B907" s="8"/>
      <c r="C907" s="8"/>
      <c r="D907" s="8"/>
      <c r="E907" s="10">
        <f>IFERROR(VLOOKUP(C907,'Inventory Master'!$A$3:$L$300,5,FALSE),0)</f>
      </c>
      <c r="F907" s="10">
        <f>D907*E907</f>
      </c>
      <c r="G907" s="8"/>
    </row>
    <row r="908" ht="21" customHeight="1" spans="1:7" x14ac:dyDescent="0.25">
      <c r="A908" s="8"/>
      <c r="B908" s="8"/>
      <c r="C908" s="8"/>
      <c r="D908" s="8"/>
      <c r="E908" s="10">
        <f>IFERROR(VLOOKUP(C908,'Inventory Master'!$A$3:$L$300,5,FALSE),0)</f>
      </c>
      <c r="F908" s="10">
        <f>D908*E908</f>
      </c>
      <c r="G908" s="8"/>
    </row>
    <row r="909" ht="21" customHeight="1" spans="1:7" x14ac:dyDescent="0.25">
      <c r="A909" s="8"/>
      <c r="B909" s="8"/>
      <c r="C909" s="8"/>
      <c r="D909" s="8"/>
      <c r="E909" s="10">
        <f>IFERROR(VLOOKUP(C909,'Inventory Master'!$A$3:$L$300,5,FALSE),0)</f>
      </c>
      <c r="F909" s="10">
        <f>D909*E909</f>
      </c>
      <c r="G909" s="8"/>
    </row>
    <row r="910" ht="21" customHeight="1" spans="1:7" x14ac:dyDescent="0.25">
      <c r="A910" s="8"/>
      <c r="B910" s="8"/>
      <c r="C910" s="8"/>
      <c r="D910" s="8"/>
      <c r="E910" s="10">
        <f>IFERROR(VLOOKUP(C910,'Inventory Master'!$A$3:$L$300,5,FALSE),0)</f>
      </c>
      <c r="F910" s="10">
        <f>D910*E910</f>
      </c>
      <c r="G910" s="8"/>
    </row>
    <row r="911" ht="21" customHeight="1" spans="1:7" x14ac:dyDescent="0.25">
      <c r="A911" s="8"/>
      <c r="B911" s="8"/>
      <c r="C911" s="8"/>
      <c r="D911" s="8"/>
      <c r="E911" s="10">
        <f>IFERROR(VLOOKUP(C911,'Inventory Master'!$A$3:$L$300,5,FALSE),0)</f>
      </c>
      <c r="F911" s="10">
        <f>D911*E911</f>
      </c>
      <c r="G911" s="8"/>
    </row>
    <row r="912" ht="21" customHeight="1" spans="1:7" x14ac:dyDescent="0.25">
      <c r="A912" s="8"/>
      <c r="B912" s="8"/>
      <c r="C912" s="8"/>
      <c r="D912" s="8"/>
      <c r="E912" s="10">
        <f>IFERROR(VLOOKUP(C912,'Inventory Master'!$A$3:$L$300,5,FALSE),0)</f>
      </c>
      <c r="F912" s="10">
        <f>D912*E912</f>
      </c>
      <c r="G912" s="8"/>
    </row>
    <row r="913" ht="21" customHeight="1" spans="1:7" x14ac:dyDescent="0.25">
      <c r="A913" s="8"/>
      <c r="B913" s="8"/>
      <c r="C913" s="8"/>
      <c r="D913" s="8"/>
      <c r="E913" s="10">
        <f>IFERROR(VLOOKUP(C913,'Inventory Master'!$A$3:$L$300,5,FALSE),0)</f>
      </c>
      <c r="F913" s="10">
        <f>D913*E913</f>
      </c>
      <c r="G913" s="8"/>
    </row>
    <row r="914" ht="21" customHeight="1" spans="1:7" x14ac:dyDescent="0.25">
      <c r="A914" s="8"/>
      <c r="B914" s="8"/>
      <c r="C914" s="8"/>
      <c r="D914" s="8"/>
      <c r="E914" s="10">
        <f>IFERROR(VLOOKUP(C914,'Inventory Master'!$A$3:$L$300,5,FALSE),0)</f>
      </c>
      <c r="F914" s="10">
        <f>D914*E914</f>
      </c>
      <c r="G914" s="8"/>
    </row>
    <row r="915" ht="21" customHeight="1" spans="1:7" x14ac:dyDescent="0.25">
      <c r="A915" s="8"/>
      <c r="B915" s="8"/>
      <c r="C915" s="8"/>
      <c r="D915" s="8"/>
      <c r="E915" s="10">
        <f>IFERROR(VLOOKUP(C915,'Inventory Master'!$A$3:$L$300,5,FALSE),0)</f>
      </c>
      <c r="F915" s="10">
        <f>D915*E915</f>
      </c>
      <c r="G915" s="8"/>
    </row>
    <row r="916" ht="21" customHeight="1" spans="1:7" x14ac:dyDescent="0.25">
      <c r="A916" s="8"/>
      <c r="B916" s="8"/>
      <c r="C916" s="8"/>
      <c r="D916" s="8"/>
      <c r="E916" s="10">
        <f>IFERROR(VLOOKUP(C916,'Inventory Master'!$A$3:$L$300,5,FALSE),0)</f>
      </c>
      <c r="F916" s="10">
        <f>D916*E916</f>
      </c>
      <c r="G916" s="8"/>
    </row>
    <row r="917" ht="21" customHeight="1" spans="1:7" x14ac:dyDescent="0.25">
      <c r="A917" s="8"/>
      <c r="B917" s="8"/>
      <c r="C917" s="8"/>
      <c r="D917" s="8"/>
      <c r="E917" s="10">
        <f>IFERROR(VLOOKUP(C917,'Inventory Master'!$A$3:$L$300,5,FALSE),0)</f>
      </c>
      <c r="F917" s="10">
        <f>D917*E917</f>
      </c>
      <c r="G917" s="8"/>
    </row>
    <row r="918" ht="21" customHeight="1" spans="1:7" x14ac:dyDescent="0.25">
      <c r="A918" s="8"/>
      <c r="B918" s="8"/>
      <c r="C918" s="8"/>
      <c r="D918" s="8"/>
      <c r="E918" s="10">
        <f>IFERROR(VLOOKUP(C918,'Inventory Master'!$A$3:$L$300,5,FALSE),0)</f>
      </c>
      <c r="F918" s="10">
        <f>D918*E918</f>
      </c>
      <c r="G918" s="8"/>
    </row>
    <row r="919" ht="21" customHeight="1" spans="1:7" x14ac:dyDescent="0.25">
      <c r="A919" s="8"/>
      <c r="B919" s="8"/>
      <c r="C919" s="8"/>
      <c r="D919" s="8"/>
      <c r="E919" s="10">
        <f>IFERROR(VLOOKUP(C919,'Inventory Master'!$A$3:$L$300,5,FALSE),0)</f>
      </c>
      <c r="F919" s="10">
        <f>D919*E919</f>
      </c>
      <c r="G919" s="8"/>
    </row>
    <row r="920" ht="21" customHeight="1" spans="1:7" x14ac:dyDescent="0.25">
      <c r="A920" s="8"/>
      <c r="B920" s="8"/>
      <c r="C920" s="8"/>
      <c r="D920" s="8"/>
      <c r="E920" s="10">
        <f>IFERROR(VLOOKUP(C920,'Inventory Master'!$A$3:$L$300,5,FALSE),0)</f>
      </c>
      <c r="F920" s="10">
        <f>D920*E920</f>
      </c>
      <c r="G920" s="8"/>
    </row>
    <row r="921" ht="21" customHeight="1" spans="1:7" x14ac:dyDescent="0.25">
      <c r="A921" s="8"/>
      <c r="B921" s="8"/>
      <c r="C921" s="8"/>
      <c r="D921" s="8"/>
      <c r="E921" s="10">
        <f>IFERROR(VLOOKUP(C921,'Inventory Master'!$A$3:$L$300,5,FALSE),0)</f>
      </c>
      <c r="F921" s="10">
        <f>D921*E921</f>
      </c>
      <c r="G921" s="8"/>
    </row>
    <row r="922" ht="21" customHeight="1" spans="1:7" x14ac:dyDescent="0.25">
      <c r="A922" s="8"/>
      <c r="B922" s="8"/>
      <c r="C922" s="8"/>
      <c r="D922" s="8"/>
      <c r="E922" s="10">
        <f>IFERROR(VLOOKUP(C922,'Inventory Master'!$A$3:$L$300,5,FALSE),0)</f>
      </c>
      <c r="F922" s="10">
        <f>D922*E922</f>
      </c>
      <c r="G922" s="8"/>
    </row>
    <row r="923" ht="21" customHeight="1" spans="1:7" x14ac:dyDescent="0.25">
      <c r="A923" s="8"/>
      <c r="B923" s="8"/>
      <c r="C923" s="8"/>
      <c r="D923" s="8"/>
      <c r="E923" s="10">
        <f>IFERROR(VLOOKUP(C923,'Inventory Master'!$A$3:$L$300,5,FALSE),0)</f>
      </c>
      <c r="F923" s="10">
        <f>D923*E923</f>
      </c>
      <c r="G923" s="8"/>
    </row>
    <row r="924" ht="21" customHeight="1" spans="1:7" x14ac:dyDescent="0.25">
      <c r="A924" s="8"/>
      <c r="B924" s="8"/>
      <c r="C924" s="8"/>
      <c r="D924" s="8"/>
      <c r="E924" s="10">
        <f>IFERROR(VLOOKUP(C924,'Inventory Master'!$A$3:$L$300,5,FALSE),0)</f>
      </c>
      <c r="F924" s="10">
        <f>D924*E924</f>
      </c>
      <c r="G924" s="8"/>
    </row>
    <row r="925" ht="21" customHeight="1" spans="1:7" x14ac:dyDescent="0.25">
      <c r="A925" s="8"/>
      <c r="B925" s="8"/>
      <c r="C925" s="8"/>
      <c r="D925" s="8"/>
      <c r="E925" s="10">
        <f>IFERROR(VLOOKUP(C925,'Inventory Master'!$A$3:$L$300,5,FALSE),0)</f>
      </c>
      <c r="F925" s="10">
        <f>D925*E925</f>
      </c>
      <c r="G925" s="8"/>
    </row>
    <row r="926" ht="21" customHeight="1" spans="1:7" x14ac:dyDescent="0.25">
      <c r="A926" s="8"/>
      <c r="B926" s="8"/>
      <c r="C926" s="8"/>
      <c r="D926" s="8"/>
      <c r="E926" s="10">
        <f>IFERROR(VLOOKUP(C926,'Inventory Master'!$A$3:$L$300,5,FALSE),0)</f>
      </c>
      <c r="F926" s="10">
        <f>D926*E926</f>
      </c>
      <c r="G926" s="8"/>
    </row>
    <row r="927" ht="21" customHeight="1" spans="1:7" x14ac:dyDescent="0.25">
      <c r="A927" s="8"/>
      <c r="B927" s="8"/>
      <c r="C927" s="8"/>
      <c r="D927" s="8"/>
      <c r="E927" s="10">
        <f>IFERROR(VLOOKUP(C927,'Inventory Master'!$A$3:$L$300,5,FALSE),0)</f>
      </c>
      <c r="F927" s="10">
        <f>D927*E927</f>
      </c>
      <c r="G927" s="8"/>
    </row>
    <row r="928" ht="21" customHeight="1" spans="1:7" x14ac:dyDescent="0.25">
      <c r="A928" s="8"/>
      <c r="B928" s="8"/>
      <c r="C928" s="8"/>
      <c r="D928" s="8"/>
      <c r="E928" s="10">
        <f>IFERROR(VLOOKUP(C928,'Inventory Master'!$A$3:$L$300,5,FALSE),0)</f>
      </c>
      <c r="F928" s="10">
        <f>D928*E928</f>
      </c>
      <c r="G928" s="8"/>
    </row>
    <row r="929" ht="21" customHeight="1" spans="1:7" x14ac:dyDescent="0.25">
      <c r="A929" s="8"/>
      <c r="B929" s="8"/>
      <c r="C929" s="8"/>
      <c r="D929" s="8"/>
      <c r="E929" s="10">
        <f>IFERROR(VLOOKUP(C929,'Inventory Master'!$A$3:$L$300,5,FALSE),0)</f>
      </c>
      <c r="F929" s="10">
        <f>D929*E929</f>
      </c>
      <c r="G929" s="8"/>
    </row>
    <row r="930" ht="21" customHeight="1" spans="1:7" x14ac:dyDescent="0.25">
      <c r="A930" s="8"/>
      <c r="B930" s="8"/>
      <c r="C930" s="8"/>
      <c r="D930" s="8"/>
      <c r="E930" s="10">
        <f>IFERROR(VLOOKUP(C930,'Inventory Master'!$A$3:$L$300,5,FALSE),0)</f>
      </c>
      <c r="F930" s="10">
        <f>D930*E930</f>
      </c>
      <c r="G930" s="8"/>
    </row>
    <row r="931" ht="21" customHeight="1" spans="1:7" x14ac:dyDescent="0.25">
      <c r="A931" s="8"/>
      <c r="B931" s="8"/>
      <c r="C931" s="8"/>
      <c r="D931" s="8"/>
      <c r="E931" s="10">
        <f>IFERROR(VLOOKUP(C931,'Inventory Master'!$A$3:$L$300,5,FALSE),0)</f>
      </c>
      <c r="F931" s="10">
        <f>D931*E931</f>
      </c>
      <c r="G931" s="8"/>
    </row>
    <row r="932" ht="21" customHeight="1" spans="1:7" x14ac:dyDescent="0.25">
      <c r="A932" s="8"/>
      <c r="B932" s="8"/>
      <c r="C932" s="8"/>
      <c r="D932" s="8"/>
      <c r="E932" s="10">
        <f>IFERROR(VLOOKUP(C932,'Inventory Master'!$A$3:$L$300,5,FALSE),0)</f>
      </c>
      <c r="F932" s="10">
        <f>D932*E932</f>
      </c>
      <c r="G932" s="8"/>
    </row>
    <row r="933" ht="21" customHeight="1" spans="1:7" x14ac:dyDescent="0.25">
      <c r="A933" s="8"/>
      <c r="B933" s="8"/>
      <c r="C933" s="8"/>
      <c r="D933" s="8"/>
      <c r="E933" s="10">
        <f>IFERROR(VLOOKUP(C933,'Inventory Master'!$A$3:$L$300,5,FALSE),0)</f>
      </c>
      <c r="F933" s="10">
        <f>D933*E933</f>
      </c>
      <c r="G933" s="8"/>
    </row>
    <row r="934" ht="21" customHeight="1" spans="1:7" x14ac:dyDescent="0.25">
      <c r="A934" s="8"/>
      <c r="B934" s="8"/>
      <c r="C934" s="8"/>
      <c r="D934" s="8"/>
      <c r="E934" s="10">
        <f>IFERROR(VLOOKUP(C934,'Inventory Master'!$A$3:$L$300,5,FALSE),0)</f>
      </c>
      <c r="F934" s="10">
        <f>D934*E934</f>
      </c>
      <c r="G934" s="8"/>
    </row>
    <row r="935" ht="21" customHeight="1" spans="1:7" x14ac:dyDescent="0.25">
      <c r="A935" s="8"/>
      <c r="B935" s="8"/>
      <c r="C935" s="8"/>
      <c r="D935" s="8"/>
      <c r="E935" s="10">
        <f>IFERROR(VLOOKUP(C935,'Inventory Master'!$A$3:$L$300,5,FALSE),0)</f>
      </c>
      <c r="F935" s="10">
        <f>D935*E935</f>
      </c>
      <c r="G935" s="8"/>
    </row>
    <row r="936" ht="21" customHeight="1" spans="1:7" x14ac:dyDescent="0.25">
      <c r="A936" s="8"/>
      <c r="B936" s="8"/>
      <c r="C936" s="8"/>
      <c r="D936" s="8"/>
      <c r="E936" s="10">
        <f>IFERROR(VLOOKUP(C936,'Inventory Master'!$A$3:$L$300,5,FALSE),0)</f>
      </c>
      <c r="F936" s="10">
        <f>D936*E936</f>
      </c>
      <c r="G936" s="8"/>
    </row>
    <row r="937" ht="21" customHeight="1" spans="1:7" x14ac:dyDescent="0.25">
      <c r="A937" s="8"/>
      <c r="B937" s="8"/>
      <c r="C937" s="8"/>
      <c r="D937" s="8"/>
      <c r="E937" s="10">
        <f>IFERROR(VLOOKUP(C937,'Inventory Master'!$A$3:$L$300,5,FALSE),0)</f>
      </c>
      <c r="F937" s="10">
        <f>D937*E937</f>
      </c>
      <c r="G937" s="8"/>
    </row>
    <row r="938" ht="21" customHeight="1" spans="1:7" x14ac:dyDescent="0.25">
      <c r="A938" s="8"/>
      <c r="B938" s="8"/>
      <c r="C938" s="8"/>
      <c r="D938" s="8"/>
      <c r="E938" s="10">
        <f>IFERROR(VLOOKUP(C938,'Inventory Master'!$A$3:$L$300,5,FALSE),0)</f>
      </c>
      <c r="F938" s="10">
        <f>D938*E938</f>
      </c>
      <c r="G938" s="8"/>
    </row>
    <row r="939" ht="21" customHeight="1" spans="1:7" x14ac:dyDescent="0.25">
      <c r="A939" s="8"/>
      <c r="B939" s="8"/>
      <c r="C939" s="8"/>
      <c r="D939" s="8"/>
      <c r="E939" s="10">
        <f>IFERROR(VLOOKUP(C939,'Inventory Master'!$A$3:$L$300,5,FALSE),0)</f>
      </c>
      <c r="F939" s="10">
        <f>D939*E939</f>
      </c>
      <c r="G939" s="8"/>
    </row>
    <row r="940" ht="21" customHeight="1" spans="1:7" x14ac:dyDescent="0.25">
      <c r="A940" s="8"/>
      <c r="B940" s="8"/>
      <c r="C940" s="8"/>
      <c r="D940" s="8"/>
      <c r="E940" s="10">
        <f>IFERROR(VLOOKUP(C940,'Inventory Master'!$A$3:$L$300,5,FALSE),0)</f>
      </c>
      <c r="F940" s="10">
        <f>D940*E940</f>
      </c>
      <c r="G940" s="8"/>
    </row>
    <row r="941" ht="21" customHeight="1" spans="1:7" x14ac:dyDescent="0.25">
      <c r="A941" s="8"/>
      <c r="B941" s="8"/>
      <c r="C941" s="8"/>
      <c r="D941" s="8"/>
      <c r="E941" s="10">
        <f>IFERROR(VLOOKUP(C941,'Inventory Master'!$A$3:$L$300,5,FALSE),0)</f>
      </c>
      <c r="F941" s="10">
        <f>D941*E941</f>
      </c>
      <c r="G941" s="8"/>
    </row>
    <row r="942" ht="21" customHeight="1" spans="1:7" x14ac:dyDescent="0.25">
      <c r="A942" s="8"/>
      <c r="B942" s="8"/>
      <c r="C942" s="8"/>
      <c r="D942" s="8"/>
      <c r="E942" s="10">
        <f>IFERROR(VLOOKUP(C942,'Inventory Master'!$A$3:$L$300,5,FALSE),0)</f>
      </c>
      <c r="F942" s="10">
        <f>D942*E942</f>
      </c>
      <c r="G942" s="8"/>
    </row>
    <row r="943" ht="21" customHeight="1" spans="1:7" x14ac:dyDescent="0.25">
      <c r="A943" s="8"/>
      <c r="B943" s="8"/>
      <c r="C943" s="8"/>
      <c r="D943" s="8"/>
      <c r="E943" s="10">
        <f>IFERROR(VLOOKUP(C943,'Inventory Master'!$A$3:$L$300,5,FALSE),0)</f>
      </c>
      <c r="F943" s="10">
        <f>D943*E943</f>
      </c>
      <c r="G943" s="8"/>
    </row>
    <row r="944" ht="21" customHeight="1" spans="1:7" x14ac:dyDescent="0.25">
      <c r="A944" s="8"/>
      <c r="B944" s="8"/>
      <c r="C944" s="8"/>
      <c r="D944" s="8"/>
      <c r="E944" s="10">
        <f>IFERROR(VLOOKUP(C944,'Inventory Master'!$A$3:$L$300,5,FALSE),0)</f>
      </c>
      <c r="F944" s="10">
        <f>D944*E944</f>
      </c>
      <c r="G944" s="8"/>
    </row>
    <row r="945" ht="21" customHeight="1" spans="1:7" x14ac:dyDescent="0.25">
      <c r="A945" s="8"/>
      <c r="B945" s="8"/>
      <c r="C945" s="8"/>
      <c r="D945" s="8"/>
      <c r="E945" s="10">
        <f>IFERROR(VLOOKUP(C945,'Inventory Master'!$A$3:$L$300,5,FALSE),0)</f>
      </c>
      <c r="F945" s="10">
        <f>D945*E945</f>
      </c>
      <c r="G945" s="8"/>
    </row>
    <row r="946" ht="21" customHeight="1" spans="1:7" x14ac:dyDescent="0.25">
      <c r="A946" s="8"/>
      <c r="B946" s="8"/>
      <c r="C946" s="8"/>
      <c r="D946" s="8"/>
      <c r="E946" s="10">
        <f>IFERROR(VLOOKUP(C946,'Inventory Master'!$A$3:$L$300,5,FALSE),0)</f>
      </c>
      <c r="F946" s="10">
        <f>D946*E946</f>
      </c>
      <c r="G946" s="8"/>
    </row>
    <row r="947" ht="21" customHeight="1" spans="1:7" x14ac:dyDescent="0.25">
      <c r="A947" s="8"/>
      <c r="B947" s="8"/>
      <c r="C947" s="8"/>
      <c r="D947" s="8"/>
      <c r="E947" s="10">
        <f>IFERROR(VLOOKUP(C947,'Inventory Master'!$A$3:$L$300,5,FALSE),0)</f>
      </c>
      <c r="F947" s="10">
        <f>D947*E947</f>
      </c>
      <c r="G947" s="8"/>
    </row>
    <row r="948" ht="21" customHeight="1" spans="1:7" x14ac:dyDescent="0.25">
      <c r="A948" s="8"/>
      <c r="B948" s="8"/>
      <c r="C948" s="8"/>
      <c r="D948" s="8"/>
      <c r="E948" s="10">
        <f>IFERROR(VLOOKUP(C948,'Inventory Master'!$A$3:$L$300,5,FALSE),0)</f>
      </c>
      <c r="F948" s="10">
        <f>D948*E948</f>
      </c>
      <c r="G948" s="8"/>
    </row>
    <row r="949" ht="21" customHeight="1" spans="1:7" x14ac:dyDescent="0.25">
      <c r="A949" s="8"/>
      <c r="B949" s="8"/>
      <c r="C949" s="8"/>
      <c r="D949" s="8"/>
      <c r="E949" s="10">
        <f>IFERROR(VLOOKUP(C949,'Inventory Master'!$A$3:$L$300,5,FALSE),0)</f>
      </c>
      <c r="F949" s="10">
        <f>D949*E949</f>
      </c>
      <c r="G949" s="8"/>
    </row>
    <row r="950" ht="21" customHeight="1" spans="1:7" x14ac:dyDescent="0.25">
      <c r="A950" s="8"/>
      <c r="B950" s="8"/>
      <c r="C950" s="8"/>
      <c r="D950" s="8"/>
      <c r="E950" s="10">
        <f>IFERROR(VLOOKUP(C950,'Inventory Master'!$A$3:$L$300,5,FALSE),0)</f>
      </c>
      <c r="F950" s="10">
        <f>D950*E950</f>
      </c>
      <c r="G950" s="8"/>
    </row>
    <row r="951" ht="21" customHeight="1" spans="1:7" x14ac:dyDescent="0.25">
      <c r="A951" s="8"/>
      <c r="B951" s="8"/>
      <c r="C951" s="8"/>
      <c r="D951" s="8"/>
      <c r="E951" s="10">
        <f>IFERROR(VLOOKUP(C951,'Inventory Master'!$A$3:$L$300,5,FALSE),0)</f>
      </c>
      <c r="F951" s="10">
        <f>D951*E951</f>
      </c>
      <c r="G951" s="8"/>
    </row>
    <row r="952" ht="21" customHeight="1" spans="1:7" x14ac:dyDescent="0.25">
      <c r="A952" s="8"/>
      <c r="B952" s="8"/>
      <c r="C952" s="8"/>
      <c r="D952" s="8"/>
      <c r="E952" s="10">
        <f>IFERROR(VLOOKUP(C952,'Inventory Master'!$A$3:$L$300,5,FALSE),0)</f>
      </c>
      <c r="F952" s="10">
        <f>D952*E952</f>
      </c>
      <c r="G952" s="8"/>
    </row>
    <row r="953" ht="21" customHeight="1" spans="1:7" x14ac:dyDescent="0.25">
      <c r="A953" s="8"/>
      <c r="B953" s="8"/>
      <c r="C953" s="8"/>
      <c r="D953" s="8"/>
      <c r="E953" s="10">
        <f>IFERROR(VLOOKUP(C953,'Inventory Master'!$A$3:$L$300,5,FALSE),0)</f>
      </c>
      <c r="F953" s="10">
        <f>D953*E953</f>
      </c>
      <c r="G953" s="8"/>
    </row>
    <row r="954" ht="21" customHeight="1" spans="1:7" x14ac:dyDescent="0.25">
      <c r="A954" s="8"/>
      <c r="B954" s="8"/>
      <c r="C954" s="8"/>
      <c r="D954" s="8"/>
      <c r="E954" s="10">
        <f>IFERROR(VLOOKUP(C954,'Inventory Master'!$A$3:$L$300,5,FALSE),0)</f>
      </c>
      <c r="F954" s="10">
        <f>D954*E954</f>
      </c>
      <c r="G954" s="8"/>
    </row>
    <row r="955" ht="21" customHeight="1" spans="1:7" x14ac:dyDescent="0.25">
      <c r="A955" s="8"/>
      <c r="B955" s="8"/>
      <c r="C955" s="8"/>
      <c r="D955" s="8"/>
      <c r="E955" s="10">
        <f>IFERROR(VLOOKUP(C955,'Inventory Master'!$A$3:$L$300,5,FALSE),0)</f>
      </c>
      <c r="F955" s="10">
        <f>D955*E955</f>
      </c>
      <c r="G955" s="8"/>
    </row>
    <row r="956" ht="21" customHeight="1" spans="1:7" x14ac:dyDescent="0.25">
      <c r="A956" s="8"/>
      <c r="B956" s="8"/>
      <c r="C956" s="8"/>
      <c r="D956" s="8"/>
      <c r="E956" s="10">
        <f>IFERROR(VLOOKUP(C956,'Inventory Master'!$A$3:$L$300,5,FALSE),0)</f>
      </c>
      <c r="F956" s="10">
        <f>D956*E956</f>
      </c>
      <c r="G956" s="8"/>
    </row>
    <row r="957" ht="21" customHeight="1" spans="1:7" x14ac:dyDescent="0.25">
      <c r="A957" s="8"/>
      <c r="B957" s="8"/>
      <c r="C957" s="8"/>
      <c r="D957" s="8"/>
      <c r="E957" s="10">
        <f>IFERROR(VLOOKUP(C957,'Inventory Master'!$A$3:$L$300,5,FALSE),0)</f>
      </c>
      <c r="F957" s="10">
        <f>D957*E957</f>
      </c>
      <c r="G957" s="8"/>
    </row>
    <row r="958" ht="21" customHeight="1" spans="1:7" x14ac:dyDescent="0.25">
      <c r="A958" s="8"/>
      <c r="B958" s="8"/>
      <c r="C958" s="8"/>
      <c r="D958" s="8"/>
      <c r="E958" s="10">
        <f>IFERROR(VLOOKUP(C958,'Inventory Master'!$A$3:$L$300,5,FALSE),0)</f>
      </c>
      <c r="F958" s="10">
        <f>D958*E958</f>
      </c>
      <c r="G958" s="8"/>
    </row>
    <row r="959" ht="21" customHeight="1" spans="1:7" x14ac:dyDescent="0.25">
      <c r="A959" s="8"/>
      <c r="B959" s="8"/>
      <c r="C959" s="8"/>
      <c r="D959" s="8"/>
      <c r="E959" s="10">
        <f>IFERROR(VLOOKUP(C959,'Inventory Master'!$A$3:$L$300,5,FALSE),0)</f>
      </c>
      <c r="F959" s="10">
        <f>D959*E959</f>
      </c>
      <c r="G959" s="8"/>
    </row>
    <row r="960" ht="21" customHeight="1" spans="1:7" x14ac:dyDescent="0.25">
      <c r="A960" s="8"/>
      <c r="B960" s="8"/>
      <c r="C960" s="8"/>
      <c r="D960" s="8"/>
      <c r="E960" s="10">
        <f>IFERROR(VLOOKUP(C960,'Inventory Master'!$A$3:$L$300,5,FALSE),0)</f>
      </c>
      <c r="F960" s="10">
        <f>D960*E960</f>
      </c>
      <c r="G960" s="8"/>
    </row>
    <row r="961" ht="21" customHeight="1" spans="1:7" x14ac:dyDescent="0.25">
      <c r="A961" s="8"/>
      <c r="B961" s="8"/>
      <c r="C961" s="8"/>
      <c r="D961" s="8"/>
      <c r="E961" s="10">
        <f>IFERROR(VLOOKUP(C961,'Inventory Master'!$A$3:$L$300,5,FALSE),0)</f>
      </c>
      <c r="F961" s="10">
        <f>D961*E961</f>
      </c>
      <c r="G961" s="8"/>
    </row>
    <row r="962" ht="21" customHeight="1" spans="1:7" x14ac:dyDescent="0.25">
      <c r="A962" s="8"/>
      <c r="B962" s="8"/>
      <c r="C962" s="8"/>
      <c r="D962" s="8"/>
      <c r="E962" s="10">
        <f>IFERROR(VLOOKUP(C962,'Inventory Master'!$A$3:$L$300,5,FALSE),0)</f>
      </c>
      <c r="F962" s="10">
        <f>D962*E962</f>
      </c>
      <c r="G962" s="8"/>
    </row>
    <row r="963" ht="21" customHeight="1" spans="1:7" x14ac:dyDescent="0.25">
      <c r="A963" s="8"/>
      <c r="B963" s="8"/>
      <c r="C963" s="8"/>
      <c r="D963" s="8"/>
      <c r="E963" s="10">
        <f>IFERROR(VLOOKUP(C963,'Inventory Master'!$A$3:$L$300,5,FALSE),0)</f>
      </c>
      <c r="F963" s="10">
        <f>D963*E963</f>
      </c>
      <c r="G963" s="8"/>
    </row>
    <row r="964" ht="21" customHeight="1" spans="1:7" x14ac:dyDescent="0.25">
      <c r="A964" s="8"/>
      <c r="B964" s="8"/>
      <c r="C964" s="8"/>
      <c r="D964" s="8"/>
      <c r="E964" s="10">
        <f>IFERROR(VLOOKUP(C964,'Inventory Master'!$A$3:$L$300,5,FALSE),0)</f>
      </c>
      <c r="F964" s="10">
        <f>D964*E964</f>
      </c>
      <c r="G964" s="8"/>
    </row>
    <row r="965" ht="21" customHeight="1" spans="1:7" x14ac:dyDescent="0.25">
      <c r="A965" s="8"/>
      <c r="B965" s="8"/>
      <c r="C965" s="8"/>
      <c r="D965" s="8"/>
      <c r="E965" s="10">
        <f>IFERROR(VLOOKUP(C965,'Inventory Master'!$A$3:$L$300,5,FALSE),0)</f>
      </c>
      <c r="F965" s="10">
        <f>D965*E965</f>
      </c>
      <c r="G965" s="8"/>
    </row>
    <row r="966" ht="21" customHeight="1" spans="1:7" x14ac:dyDescent="0.25">
      <c r="A966" s="8"/>
      <c r="B966" s="8"/>
      <c r="C966" s="8"/>
      <c r="D966" s="8"/>
      <c r="E966" s="10">
        <f>IFERROR(VLOOKUP(C966,'Inventory Master'!$A$3:$L$300,5,FALSE),0)</f>
      </c>
      <c r="F966" s="10">
        <f>D966*E966</f>
      </c>
      <c r="G966" s="8"/>
    </row>
    <row r="967" ht="21" customHeight="1" spans="1:7" x14ac:dyDescent="0.25">
      <c r="A967" s="8"/>
      <c r="B967" s="8"/>
      <c r="C967" s="8"/>
      <c r="D967" s="8"/>
      <c r="E967" s="10">
        <f>IFERROR(VLOOKUP(C967,'Inventory Master'!$A$3:$L$300,5,FALSE),0)</f>
      </c>
      <c r="F967" s="10">
        <f>D967*E967</f>
      </c>
      <c r="G967" s="8"/>
    </row>
    <row r="968" ht="21" customHeight="1" spans="1:7" x14ac:dyDescent="0.25">
      <c r="A968" s="8"/>
      <c r="B968" s="8"/>
      <c r="C968" s="8"/>
      <c r="D968" s="8"/>
      <c r="E968" s="10">
        <f>IFERROR(VLOOKUP(C968,'Inventory Master'!$A$3:$L$300,5,FALSE),0)</f>
      </c>
      <c r="F968" s="10">
        <f>D968*E968</f>
      </c>
      <c r="G968" s="8"/>
    </row>
    <row r="969" ht="21" customHeight="1" spans="1:7" x14ac:dyDescent="0.25">
      <c r="A969" s="8"/>
      <c r="B969" s="8"/>
      <c r="C969" s="8"/>
      <c r="D969" s="8"/>
      <c r="E969" s="10">
        <f>IFERROR(VLOOKUP(C969,'Inventory Master'!$A$3:$L$300,5,FALSE),0)</f>
      </c>
      <c r="F969" s="10">
        <f>D969*E969</f>
      </c>
      <c r="G969" s="8"/>
    </row>
    <row r="970" ht="21" customHeight="1" spans="1:7" x14ac:dyDescent="0.25">
      <c r="A970" s="8"/>
      <c r="B970" s="8"/>
      <c r="C970" s="8"/>
      <c r="D970" s="8"/>
      <c r="E970" s="10">
        <f>IFERROR(VLOOKUP(C970,'Inventory Master'!$A$3:$L$300,5,FALSE),0)</f>
      </c>
      <c r="F970" s="10">
        <f>D970*E970</f>
      </c>
      <c r="G970" s="8"/>
    </row>
    <row r="971" ht="21" customHeight="1" spans="1:7" x14ac:dyDescent="0.25">
      <c r="A971" s="8"/>
      <c r="B971" s="8"/>
      <c r="C971" s="8"/>
      <c r="D971" s="8"/>
      <c r="E971" s="10">
        <f>IFERROR(VLOOKUP(C971,'Inventory Master'!$A$3:$L$300,5,FALSE),0)</f>
      </c>
      <c r="F971" s="10">
        <f>D971*E971</f>
      </c>
      <c r="G971" s="8"/>
    </row>
    <row r="972" ht="21" customHeight="1" spans="1:7" x14ac:dyDescent="0.25">
      <c r="A972" s="8"/>
      <c r="B972" s="8"/>
      <c r="C972" s="8"/>
      <c r="D972" s="8"/>
      <c r="E972" s="10">
        <f>IFERROR(VLOOKUP(C972,'Inventory Master'!$A$3:$L$300,5,FALSE),0)</f>
      </c>
      <c r="F972" s="10">
        <f>D972*E972</f>
      </c>
      <c r="G972" s="8"/>
    </row>
    <row r="973" ht="21" customHeight="1" spans="1:7" x14ac:dyDescent="0.25">
      <c r="A973" s="8"/>
      <c r="B973" s="8"/>
      <c r="C973" s="8"/>
      <c r="D973" s="8"/>
      <c r="E973" s="10">
        <f>IFERROR(VLOOKUP(C973,'Inventory Master'!$A$3:$L$300,5,FALSE),0)</f>
      </c>
      <c r="F973" s="10">
        <f>D973*E973</f>
      </c>
      <c r="G973" s="8"/>
    </row>
    <row r="974" ht="21" customHeight="1" spans="1:7" x14ac:dyDescent="0.25">
      <c r="A974" s="8"/>
      <c r="B974" s="8"/>
      <c r="C974" s="8"/>
      <c r="D974" s="8"/>
      <c r="E974" s="10">
        <f>IFERROR(VLOOKUP(C974,'Inventory Master'!$A$3:$L$300,5,FALSE),0)</f>
      </c>
      <c r="F974" s="10">
        <f>D974*E974</f>
      </c>
      <c r="G974" s="8"/>
    </row>
    <row r="975" ht="21" customHeight="1" spans="1:7" x14ac:dyDescent="0.25">
      <c r="A975" s="8"/>
      <c r="B975" s="8"/>
      <c r="C975" s="8"/>
      <c r="D975" s="8"/>
      <c r="E975" s="10">
        <f>IFERROR(VLOOKUP(C975,'Inventory Master'!$A$3:$L$300,5,FALSE),0)</f>
      </c>
      <c r="F975" s="10">
        <f>D975*E975</f>
      </c>
      <c r="G975" s="8"/>
    </row>
    <row r="976" ht="21" customHeight="1" spans="1:7" x14ac:dyDescent="0.25">
      <c r="A976" s="8"/>
      <c r="B976" s="8"/>
      <c r="C976" s="8"/>
      <c r="D976" s="8"/>
      <c r="E976" s="10">
        <f>IFERROR(VLOOKUP(C976,'Inventory Master'!$A$3:$L$300,5,FALSE),0)</f>
      </c>
      <c r="F976" s="10">
        <f>D976*E976</f>
      </c>
      <c r="G976" s="8"/>
    </row>
    <row r="977" ht="21" customHeight="1" spans="1:7" x14ac:dyDescent="0.25">
      <c r="A977" s="8"/>
      <c r="B977" s="8"/>
      <c r="C977" s="8"/>
      <c r="D977" s="8"/>
      <c r="E977" s="10">
        <f>IFERROR(VLOOKUP(C977,'Inventory Master'!$A$3:$L$300,5,FALSE),0)</f>
      </c>
      <c r="F977" s="10">
        <f>D977*E977</f>
      </c>
      <c r="G977" s="8"/>
    </row>
    <row r="978" ht="21" customHeight="1" spans="1:7" x14ac:dyDescent="0.25">
      <c r="A978" s="8"/>
      <c r="B978" s="8"/>
      <c r="C978" s="8"/>
      <c r="D978" s="8"/>
      <c r="E978" s="10">
        <f>IFERROR(VLOOKUP(C978,'Inventory Master'!$A$3:$L$300,5,FALSE),0)</f>
      </c>
      <c r="F978" s="10">
        <f>D978*E978</f>
      </c>
      <c r="G978" s="8"/>
    </row>
    <row r="979" ht="21" customHeight="1" spans="1:7" x14ac:dyDescent="0.25">
      <c r="A979" s="8"/>
      <c r="B979" s="8"/>
      <c r="C979" s="8"/>
      <c r="D979" s="8"/>
      <c r="E979" s="10">
        <f>IFERROR(VLOOKUP(C979,'Inventory Master'!$A$3:$L$300,5,FALSE),0)</f>
      </c>
      <c r="F979" s="10">
        <f>D979*E979</f>
      </c>
      <c r="G979" s="8"/>
    </row>
    <row r="980" ht="21" customHeight="1" spans="1:7" x14ac:dyDescent="0.25">
      <c r="A980" s="8"/>
      <c r="B980" s="8"/>
      <c r="C980" s="8"/>
      <c r="D980" s="8"/>
      <c r="E980" s="10">
        <f>IFERROR(VLOOKUP(C980,'Inventory Master'!$A$3:$L$300,5,FALSE),0)</f>
      </c>
      <c r="F980" s="10">
        <f>D980*E980</f>
      </c>
      <c r="G980" s="8"/>
    </row>
    <row r="981" ht="21" customHeight="1" spans="1:7" x14ac:dyDescent="0.25">
      <c r="A981" s="8"/>
      <c r="B981" s="8"/>
      <c r="C981" s="8"/>
      <c r="D981" s="8"/>
      <c r="E981" s="10">
        <f>IFERROR(VLOOKUP(C981,'Inventory Master'!$A$3:$L$300,5,FALSE),0)</f>
      </c>
      <c r="F981" s="10">
        <f>D981*E981</f>
      </c>
      <c r="G981" s="8"/>
    </row>
    <row r="982" ht="21" customHeight="1" spans="1:7" x14ac:dyDescent="0.25">
      <c r="A982" s="8"/>
      <c r="B982" s="8"/>
      <c r="C982" s="8"/>
      <c r="D982" s="8"/>
      <c r="E982" s="10">
        <f>IFERROR(VLOOKUP(C982,'Inventory Master'!$A$3:$L$300,5,FALSE),0)</f>
      </c>
      <c r="F982" s="10">
        <f>D982*E982</f>
      </c>
      <c r="G982" s="8"/>
    </row>
    <row r="983" ht="21" customHeight="1" spans="1:7" x14ac:dyDescent="0.25">
      <c r="A983" s="8"/>
      <c r="B983" s="8"/>
      <c r="C983" s="8"/>
      <c r="D983" s="8"/>
      <c r="E983" s="10">
        <f>IFERROR(VLOOKUP(C983,'Inventory Master'!$A$3:$L$300,5,FALSE),0)</f>
      </c>
      <c r="F983" s="10">
        <f>D983*E983</f>
      </c>
      <c r="G983" s="8"/>
    </row>
    <row r="984" ht="21" customHeight="1" spans="1:7" x14ac:dyDescent="0.25">
      <c r="A984" s="8"/>
      <c r="B984" s="8"/>
      <c r="C984" s="8"/>
      <c r="D984" s="8"/>
      <c r="E984" s="10">
        <f>IFERROR(VLOOKUP(C984,'Inventory Master'!$A$3:$L$300,5,FALSE),0)</f>
      </c>
      <c r="F984" s="10">
        <f>D984*E984</f>
      </c>
      <c r="G984" s="8"/>
    </row>
    <row r="985" ht="21" customHeight="1" spans="1:7" x14ac:dyDescent="0.25">
      <c r="A985" s="8"/>
      <c r="B985" s="8"/>
      <c r="C985" s="8"/>
      <c r="D985" s="8"/>
      <c r="E985" s="10">
        <f>IFERROR(VLOOKUP(C985,'Inventory Master'!$A$3:$L$300,5,FALSE),0)</f>
      </c>
      <c r="F985" s="10">
        <f>D985*E985</f>
      </c>
      <c r="G985" s="8"/>
    </row>
    <row r="986" ht="21" customHeight="1" spans="1:7" x14ac:dyDescent="0.25">
      <c r="A986" s="8"/>
      <c r="B986" s="8"/>
      <c r="C986" s="8"/>
      <c r="D986" s="8"/>
      <c r="E986" s="10">
        <f>IFERROR(VLOOKUP(C986,'Inventory Master'!$A$3:$L$300,5,FALSE),0)</f>
      </c>
      <c r="F986" s="10">
        <f>D986*E986</f>
      </c>
      <c r="G986" s="8"/>
    </row>
    <row r="987" ht="21" customHeight="1" spans="1:7" x14ac:dyDescent="0.25">
      <c r="A987" s="8"/>
      <c r="B987" s="8"/>
      <c r="C987" s="8"/>
      <c r="D987" s="8"/>
      <c r="E987" s="10">
        <f>IFERROR(VLOOKUP(C987,'Inventory Master'!$A$3:$L$300,5,FALSE),0)</f>
      </c>
      <c r="F987" s="10">
        <f>D987*E987</f>
      </c>
      <c r="G987" s="8"/>
    </row>
    <row r="988" ht="21" customHeight="1" spans="1:7" x14ac:dyDescent="0.25">
      <c r="A988" s="8"/>
      <c r="B988" s="8"/>
      <c r="C988" s="8"/>
      <c r="D988" s="8"/>
      <c r="E988" s="10">
        <f>IFERROR(VLOOKUP(C988,'Inventory Master'!$A$3:$L$300,5,FALSE),0)</f>
      </c>
      <c r="F988" s="10">
        <f>D988*E988</f>
      </c>
      <c r="G988" s="8"/>
    </row>
    <row r="989" ht="21" customHeight="1" spans="1:7" x14ac:dyDescent="0.25">
      <c r="A989" s="8"/>
      <c r="B989" s="8"/>
      <c r="C989" s="8"/>
      <c r="D989" s="8"/>
      <c r="E989" s="10">
        <f>IFERROR(VLOOKUP(C989,'Inventory Master'!$A$3:$L$300,5,FALSE),0)</f>
      </c>
      <c r="F989" s="10">
        <f>D989*E989</f>
      </c>
      <c r="G989" s="8"/>
    </row>
    <row r="990" ht="21" customHeight="1" spans="1:7" x14ac:dyDescent="0.25">
      <c r="A990" s="8"/>
      <c r="B990" s="8"/>
      <c r="C990" s="8"/>
      <c r="D990" s="8"/>
      <c r="E990" s="10">
        <f>IFERROR(VLOOKUP(C990,'Inventory Master'!$A$3:$L$300,5,FALSE),0)</f>
      </c>
      <c r="F990" s="10">
        <f>D990*E990</f>
      </c>
      <c r="G990" s="8"/>
    </row>
    <row r="991" ht="21" customHeight="1" spans="1:7" x14ac:dyDescent="0.25">
      <c r="A991" s="8"/>
      <c r="B991" s="8"/>
      <c r="C991" s="8"/>
      <c r="D991" s="8"/>
      <c r="E991" s="10">
        <f>IFERROR(VLOOKUP(C991,'Inventory Master'!$A$3:$L$300,5,FALSE),0)</f>
      </c>
      <c r="F991" s="10">
        <f>D991*E991</f>
      </c>
      <c r="G991" s="8"/>
    </row>
    <row r="992" ht="21" customHeight="1" spans="1:7" x14ac:dyDescent="0.25">
      <c r="A992" s="8"/>
      <c r="B992" s="8"/>
      <c r="C992" s="8"/>
      <c r="D992" s="8"/>
      <c r="E992" s="10">
        <f>IFERROR(VLOOKUP(C992,'Inventory Master'!$A$3:$L$300,5,FALSE),0)</f>
      </c>
      <c r="F992" s="10">
        <f>D992*E992</f>
      </c>
      <c r="G992" s="8"/>
    </row>
    <row r="993" ht="21" customHeight="1" spans="1:7" x14ac:dyDescent="0.25">
      <c r="A993" s="8"/>
      <c r="B993" s="8"/>
      <c r="C993" s="8"/>
      <c r="D993" s="8"/>
      <c r="E993" s="10">
        <f>IFERROR(VLOOKUP(C993,'Inventory Master'!$A$3:$L$300,5,FALSE),0)</f>
      </c>
      <c r="F993" s="10">
        <f>D993*E993</f>
      </c>
      <c r="G993" s="8"/>
    </row>
    <row r="994" ht="21" customHeight="1" spans="1:7" x14ac:dyDescent="0.25">
      <c r="A994" s="8"/>
      <c r="B994" s="8"/>
      <c r="C994" s="8"/>
      <c r="D994" s="8"/>
      <c r="E994" s="10">
        <f>IFERROR(VLOOKUP(C994,'Inventory Master'!$A$3:$L$300,5,FALSE),0)</f>
      </c>
      <c r="F994" s="10">
        <f>D994*E994</f>
      </c>
      <c r="G994" s="8"/>
    </row>
    <row r="995" ht="21" customHeight="1" spans="1:7" x14ac:dyDescent="0.25">
      <c r="A995" s="8"/>
      <c r="B995" s="8"/>
      <c r="C995" s="8"/>
      <c r="D995" s="8"/>
      <c r="E995" s="10">
        <f>IFERROR(VLOOKUP(C995,'Inventory Master'!$A$3:$L$300,5,FALSE),0)</f>
      </c>
      <c r="F995" s="10">
        <f>D995*E995</f>
      </c>
      <c r="G995" s="8"/>
    </row>
    <row r="996" ht="21" customHeight="1" spans="1:7" x14ac:dyDescent="0.25">
      <c r="A996" s="8"/>
      <c r="B996" s="8"/>
      <c r="C996" s="8"/>
      <c r="D996" s="8"/>
      <c r="E996" s="10">
        <f>IFERROR(VLOOKUP(C996,'Inventory Master'!$A$3:$L$300,5,FALSE),0)</f>
      </c>
      <c r="F996" s="10">
        <f>D996*E996</f>
      </c>
      <c r="G996" s="8"/>
    </row>
    <row r="997" ht="21" customHeight="1" spans="1:7" x14ac:dyDescent="0.25">
      <c r="A997" s="8"/>
      <c r="B997" s="8"/>
      <c r="C997" s="8"/>
      <c r="D997" s="8"/>
      <c r="E997" s="10">
        <f>IFERROR(VLOOKUP(C997,'Inventory Master'!$A$3:$L$300,5,FALSE),0)</f>
      </c>
      <c r="F997" s="10">
        <f>D997*E997</f>
      </c>
      <c r="G997" s="8"/>
    </row>
    <row r="998" ht="21" customHeight="1" spans="1:7" x14ac:dyDescent="0.25">
      <c r="A998" s="8"/>
      <c r="B998" s="8"/>
      <c r="C998" s="8"/>
      <c r="D998" s="8"/>
      <c r="E998" s="10">
        <f>IFERROR(VLOOKUP(C998,'Inventory Master'!$A$3:$L$300,5,FALSE),0)</f>
      </c>
      <c r="F998" s="10">
        <f>D998*E998</f>
      </c>
      <c r="G998" s="8"/>
    </row>
    <row r="999" ht="21" customHeight="1" spans="1:7" x14ac:dyDescent="0.25">
      <c r="A999" s="8"/>
      <c r="B999" s="8"/>
      <c r="C999" s="8"/>
      <c r="D999" s="8"/>
      <c r="E999" s="10">
        <f>IFERROR(VLOOKUP(C999,'Inventory Master'!$A$3:$L$300,5,FALSE),0)</f>
      </c>
      <c r="F999" s="10">
        <f>D999*E999</f>
      </c>
      <c r="G999" s="8"/>
    </row>
    <row r="1000" ht="21" customHeight="1" spans="1:7" x14ac:dyDescent="0.25">
      <c r="A1000" s="8"/>
      <c r="B1000" s="8"/>
      <c r="C1000" s="8"/>
      <c r="D1000" s="8"/>
      <c r="E1000" s="10">
        <f>IFERROR(VLOOKUP(C1000,'Inventory Master'!$A$3:$L$300,5,FALSE),0)</f>
      </c>
      <c r="F1000" s="10">
        <f>D1000*E1000</f>
      </c>
      <c r="G1000" s="8"/>
    </row>
    <row r="1001" ht="21" customHeight="1" spans="1:7" x14ac:dyDescent="0.25">
      <c r="A1001" s="8"/>
      <c r="B1001" s="8"/>
      <c r="C1001" s="8"/>
      <c r="D1001" s="8"/>
      <c r="E1001" s="10">
        <f>IFERROR(VLOOKUP(C1001,'Inventory Master'!$A$3:$L$300,5,FALSE),0)</f>
      </c>
      <c r="F1001" s="10">
        <f>D1001*E1001</f>
      </c>
      <c r="G1001" s="8"/>
    </row>
    <row r="1002" ht="21" customHeight="1" spans="1:7" x14ac:dyDescent="0.25">
      <c r="A1002" s="8"/>
      <c r="B1002" s="8"/>
      <c r="C1002" s="8"/>
      <c r="D1002" s="8"/>
      <c r="E1002" s="10">
        <f>IFERROR(VLOOKUP(C1002,'Inventory Master'!$A$3:$L$300,5,FALSE),0)</f>
      </c>
      <c r="F1002" s="10">
        <f>D1002*E1002</f>
      </c>
      <c r="G1002" s="8"/>
    </row>
    <row r="1003" ht="21" customHeight="1" spans="1:7" x14ac:dyDescent="0.25">
      <c r="A1003" s="8"/>
      <c r="B1003" s="8"/>
      <c r="C1003" s="8"/>
      <c r="D1003" s="8"/>
      <c r="E1003" s="10">
        <f>IFERROR(VLOOKUP(C1003,'Inventory Master'!$A$3:$L$300,5,FALSE),0)</f>
      </c>
      <c r="F1003" s="10">
        <f>D1003*E1003</f>
      </c>
      <c r="G1003" s="8"/>
    </row>
    <row r="1004" ht="21" customHeight="1" spans="1:7" x14ac:dyDescent="0.25">
      <c r="A1004" s="8"/>
      <c r="B1004" s="8"/>
      <c r="C1004" s="8"/>
      <c r="D1004" s="8"/>
      <c r="E1004" s="10">
        <f>IFERROR(VLOOKUP(C1004,'Inventory Master'!$A$3:$L$300,5,FALSE),0)</f>
      </c>
      <c r="F1004" s="10">
        <f>D1004*E1004</f>
      </c>
      <c r="G1004" s="8"/>
    </row>
    <row r="1005" ht="21" customHeight="1" spans="1:7" x14ac:dyDescent="0.25">
      <c r="A1005" s="8"/>
      <c r="B1005" s="8"/>
      <c r="C1005" s="8"/>
      <c r="D1005" s="8"/>
      <c r="E1005" s="10">
        <f>IFERROR(VLOOKUP(C1005,'Inventory Master'!$A$3:$L$300,5,FALSE),0)</f>
      </c>
      <c r="F1005" s="10">
        <f>D1005*E1005</f>
      </c>
      <c r="G1005" s="8"/>
    </row>
    <row r="1006" ht="21" customHeight="1" spans="1:7" x14ac:dyDescent="0.25">
      <c r="A1006" s="8"/>
      <c r="B1006" s="8"/>
      <c r="C1006" s="8"/>
      <c r="D1006" s="8"/>
      <c r="E1006" s="10">
        <f>IFERROR(VLOOKUP(C1006,'Inventory Master'!$A$3:$L$300,5,FALSE),0)</f>
      </c>
      <c r="F1006" s="10">
        <f>D1006*E1006</f>
      </c>
      <c r="G1006" s="8"/>
    </row>
    <row r="1007" ht="21" customHeight="1" spans="1:7" x14ac:dyDescent="0.25">
      <c r="A1007" s="8"/>
      <c r="B1007" s="8"/>
      <c r="C1007" s="8"/>
      <c r="D1007" s="8"/>
      <c r="E1007" s="10">
        <f>IFERROR(VLOOKUP(C1007,'Inventory Master'!$A$3:$L$300,5,FALSE),0)</f>
      </c>
      <c r="F1007" s="10">
        <f>D1007*E1007</f>
      </c>
      <c r="G1007" s="8"/>
    </row>
    <row r="1008" ht="21" customHeight="1" spans="1:7" x14ac:dyDescent="0.25">
      <c r="A1008" s="8"/>
      <c r="B1008" s="8"/>
      <c r="C1008" s="8"/>
      <c r="D1008" s="8"/>
      <c r="E1008" s="10">
        <f>IFERROR(VLOOKUP(C1008,'Inventory Master'!$A$3:$L$300,5,FALSE),0)</f>
      </c>
      <c r="F1008" s="10">
        <f>D1008*E1008</f>
      </c>
      <c r="G1008" s="8"/>
    </row>
    <row r="1009" ht="21" customHeight="1" spans="1:7" x14ac:dyDescent="0.25">
      <c r="A1009" s="8"/>
      <c r="B1009" s="8"/>
      <c r="C1009" s="8"/>
      <c r="D1009" s="8"/>
      <c r="E1009" s="10">
        <f>IFERROR(VLOOKUP(C1009,'Inventory Master'!$A$3:$L$300,5,FALSE),0)</f>
      </c>
      <c r="F1009" s="10">
        <f>D1009*E1009</f>
      </c>
      <c r="G1009" s="8"/>
    </row>
    <row r="1010" ht="21" customHeight="1" spans="1:7" x14ac:dyDescent="0.25">
      <c r="A1010" s="8"/>
      <c r="B1010" s="8"/>
      <c r="C1010" s="8"/>
      <c r="D1010" s="8"/>
      <c r="E1010" s="10">
        <f>IFERROR(VLOOKUP(C1010,'Inventory Master'!$A$3:$L$300,5,FALSE),0)</f>
      </c>
      <c r="F1010" s="10">
        <f>D1010*E1010</f>
      </c>
      <c r="G1010" s="8"/>
    </row>
    <row r="1011" ht="21" customHeight="1" spans="1:7" x14ac:dyDescent="0.25">
      <c r="A1011" s="8"/>
      <c r="B1011" s="8"/>
      <c r="C1011" s="8"/>
      <c r="D1011" s="8"/>
      <c r="E1011" s="10">
        <f>IFERROR(VLOOKUP(C1011,'Inventory Master'!$A$3:$L$300,5,FALSE),0)</f>
      </c>
      <c r="F1011" s="10">
        <f>D1011*E1011</f>
      </c>
      <c r="G1011" s="8"/>
    </row>
    <row r="1012" ht="21" customHeight="1" spans="1:7" x14ac:dyDescent="0.25">
      <c r="A1012" s="8"/>
      <c r="B1012" s="8"/>
      <c r="C1012" s="8"/>
      <c r="D1012" s="8"/>
      <c r="E1012" s="10">
        <f>IFERROR(VLOOKUP(C1012,'Inventory Master'!$A$3:$L$300,5,FALSE),0)</f>
      </c>
      <c r="F1012" s="10">
        <f>D1012*E1012</f>
      </c>
      <c r="G1012" s="8"/>
    </row>
    <row r="1013" ht="21" customHeight="1" spans="1:7" x14ac:dyDescent="0.25">
      <c r="A1013" s="8"/>
      <c r="B1013" s="8"/>
      <c r="C1013" s="8"/>
      <c r="D1013" s="8"/>
      <c r="E1013" s="10">
        <f>IFERROR(VLOOKUP(C1013,'Inventory Master'!$A$3:$L$300,5,FALSE),0)</f>
      </c>
      <c r="F1013" s="10">
        <f>D1013*E1013</f>
      </c>
      <c r="G1013" s="8"/>
    </row>
    <row r="1014" ht="21" customHeight="1" spans="1:7" x14ac:dyDescent="0.25">
      <c r="A1014" s="8"/>
      <c r="B1014" s="8"/>
      <c r="C1014" s="8"/>
      <c r="D1014" s="8"/>
      <c r="E1014" s="10">
        <f>IFERROR(VLOOKUP(C1014,'Inventory Master'!$A$3:$L$300,5,FALSE),0)</f>
      </c>
      <c r="F1014" s="10">
        <f>D1014*E1014</f>
      </c>
      <c r="G1014" s="8"/>
    </row>
    <row r="1015" ht="21" customHeight="1" spans="1:7" x14ac:dyDescent="0.25">
      <c r="A1015" s="8"/>
      <c r="B1015" s="8"/>
      <c r="C1015" s="8"/>
      <c r="D1015" s="8"/>
      <c r="E1015" s="10">
        <f>IFERROR(VLOOKUP(C1015,'Inventory Master'!$A$3:$L$300,5,FALSE),0)</f>
      </c>
      <c r="F1015" s="10">
        <f>D1015*E1015</f>
      </c>
      <c r="G1015" s="8"/>
    </row>
    <row r="1016" ht="21" customHeight="1" spans="1:7" x14ac:dyDescent="0.25">
      <c r="A1016" s="8"/>
      <c r="B1016" s="8"/>
      <c r="C1016" s="8"/>
      <c r="D1016" s="8"/>
      <c r="E1016" s="10">
        <f>IFERROR(VLOOKUP(C1016,'Inventory Master'!$A$3:$L$300,5,FALSE),0)</f>
      </c>
      <c r="F1016" s="10">
        <f>D1016*E1016</f>
      </c>
      <c r="G1016" s="8"/>
    </row>
    <row r="1017" ht="21" customHeight="1" spans="1:7" x14ac:dyDescent="0.25">
      <c r="A1017" s="8"/>
      <c r="B1017" s="8"/>
      <c r="C1017" s="8"/>
      <c r="D1017" s="8"/>
      <c r="E1017" s="10">
        <f>IFERROR(VLOOKUP(C1017,'Inventory Master'!$A$3:$L$300,5,FALSE),0)</f>
      </c>
      <c r="F1017" s="10">
        <f>D1017*E1017</f>
      </c>
      <c r="G1017" s="8"/>
    </row>
    <row r="1018" ht="21" customHeight="1" spans="1:7" x14ac:dyDescent="0.25">
      <c r="A1018" s="8"/>
      <c r="B1018" s="8"/>
      <c r="C1018" s="8"/>
      <c r="D1018" s="8"/>
      <c r="E1018" s="10">
        <f>IFERROR(VLOOKUP(C1018,'Inventory Master'!$A$3:$L$300,5,FALSE),0)</f>
      </c>
      <c r="F1018" s="10">
        <f>D1018*E1018</f>
      </c>
      <c r="G1018" s="8"/>
    </row>
    <row r="1019" ht="21" customHeight="1" spans="1:7" x14ac:dyDescent="0.25">
      <c r="A1019" s="8"/>
      <c r="B1019" s="8"/>
      <c r="C1019" s="8"/>
      <c r="D1019" s="8"/>
      <c r="E1019" s="10">
        <f>IFERROR(VLOOKUP(C1019,'Inventory Master'!$A$3:$L$300,5,FALSE),0)</f>
      </c>
      <c r="F1019" s="10">
        <f>D1019*E1019</f>
      </c>
      <c r="G1019" s="8"/>
    </row>
    <row r="1020" ht="21" customHeight="1" spans="1:7" x14ac:dyDescent="0.25">
      <c r="A1020" s="8"/>
      <c r="B1020" s="8"/>
      <c r="C1020" s="8"/>
      <c r="D1020" s="8"/>
      <c r="E1020" s="10">
        <f>IFERROR(VLOOKUP(C1020,'Inventory Master'!$A$3:$L$300,5,FALSE),0)</f>
      </c>
      <c r="F1020" s="10">
        <f>D1020*E1020</f>
      </c>
      <c r="G1020" s="8"/>
    </row>
    <row r="1021" ht="21" customHeight="1" spans="1:7" x14ac:dyDescent="0.25">
      <c r="A1021" s="8"/>
      <c r="B1021" s="8"/>
      <c r="C1021" s="8"/>
      <c r="D1021" s="8"/>
      <c r="E1021" s="10">
        <f>IFERROR(VLOOKUP(C1021,'Inventory Master'!$A$3:$L$300,5,FALSE),0)</f>
      </c>
      <c r="F1021" s="10">
        <f>D1021*E1021</f>
      </c>
      <c r="G1021" s="8"/>
    </row>
    <row r="1022" ht="21" customHeight="1" spans="1:7" x14ac:dyDescent="0.25">
      <c r="A1022" s="8"/>
      <c r="B1022" s="8"/>
      <c r="C1022" s="8"/>
      <c r="D1022" s="8"/>
      <c r="E1022" s="10">
        <f>IFERROR(VLOOKUP(C1022,'Inventory Master'!$A$3:$L$300,5,FALSE),0)</f>
      </c>
      <c r="F1022" s="10">
        <f>D1022*E1022</f>
      </c>
      <c r="G1022" s="8"/>
    </row>
    <row r="1023" ht="21" customHeight="1" spans="1:7" x14ac:dyDescent="0.25">
      <c r="A1023" s="8"/>
      <c r="B1023" s="8"/>
      <c r="C1023" s="8"/>
      <c r="D1023" s="8"/>
      <c r="E1023" s="10">
        <f>IFERROR(VLOOKUP(C1023,'Inventory Master'!$A$3:$L$300,5,FALSE),0)</f>
      </c>
      <c r="F1023" s="10">
        <f>D1023*E1023</f>
      </c>
      <c r="G1023" s="8"/>
    </row>
    <row r="1024" ht="21" customHeight="1" spans="1:7" x14ac:dyDescent="0.25">
      <c r="A1024" s="8"/>
      <c r="B1024" s="8"/>
      <c r="C1024" s="8"/>
      <c r="D1024" s="8"/>
      <c r="E1024" s="10">
        <f>IFERROR(VLOOKUP(C1024,'Inventory Master'!$A$3:$L$300,5,FALSE),0)</f>
      </c>
      <c r="F1024" s="10">
        <f>D1024*E1024</f>
      </c>
      <c r="G1024" s="8"/>
    </row>
    <row r="1025" ht="21" customHeight="1" spans="1:7" x14ac:dyDescent="0.25">
      <c r="A1025" s="8"/>
      <c r="B1025" s="8"/>
      <c r="C1025" s="8"/>
      <c r="D1025" s="8"/>
      <c r="E1025" s="10">
        <f>IFERROR(VLOOKUP(C1025,'Inventory Master'!$A$3:$L$300,5,FALSE),0)</f>
      </c>
      <c r="F1025" s="10">
        <f>D1025*E1025</f>
      </c>
      <c r="G1025" s="8"/>
    </row>
    <row r="1026" ht="21" customHeight="1" spans="1:7" x14ac:dyDescent="0.25">
      <c r="A1026" s="8"/>
      <c r="B1026" s="8"/>
      <c r="C1026" s="8"/>
      <c r="D1026" s="8"/>
      <c r="E1026" s="10">
        <f>IFERROR(VLOOKUP(C1026,'Inventory Master'!$A$3:$L$300,5,FALSE),0)</f>
      </c>
      <c r="F1026" s="10">
        <f>D1026*E1026</f>
      </c>
      <c r="G1026" s="8"/>
    </row>
    <row r="1027" ht="21" customHeight="1" spans="1:7" x14ac:dyDescent="0.25">
      <c r="A1027" s="8"/>
      <c r="B1027" s="8"/>
      <c r="C1027" s="8"/>
      <c r="D1027" s="8"/>
      <c r="E1027" s="10">
        <f>IFERROR(VLOOKUP(C1027,'Inventory Master'!$A$3:$L$300,5,FALSE),0)</f>
      </c>
      <c r="F1027" s="10">
        <f>D1027*E1027</f>
      </c>
      <c r="G1027" s="8"/>
    </row>
    <row r="1028" ht="21" customHeight="1" spans="1:7" x14ac:dyDescent="0.25">
      <c r="A1028" s="8"/>
      <c r="B1028" s="8"/>
      <c r="C1028" s="8"/>
      <c r="D1028" s="8"/>
      <c r="E1028" s="10">
        <f>IFERROR(VLOOKUP(C1028,'Inventory Master'!$A$3:$L$300,5,FALSE),0)</f>
      </c>
      <c r="F1028" s="10">
        <f>D1028*E1028</f>
      </c>
      <c r="G1028" s="8"/>
    </row>
    <row r="1029" ht="21" customHeight="1" spans="1:7" x14ac:dyDescent="0.25">
      <c r="A1029" s="8"/>
      <c r="B1029" s="8"/>
      <c r="C1029" s="8"/>
      <c r="D1029" s="8"/>
      <c r="E1029" s="10">
        <f>IFERROR(VLOOKUP(C1029,'Inventory Master'!$A$3:$L$300,5,FALSE),0)</f>
      </c>
      <c r="F1029" s="10">
        <f>D1029*E1029</f>
      </c>
      <c r="G1029" s="8"/>
    </row>
    <row r="1030" ht="21" customHeight="1" spans="1:7" x14ac:dyDescent="0.25">
      <c r="A1030" s="8"/>
      <c r="B1030" s="8"/>
      <c r="C1030" s="8"/>
      <c r="D1030" s="8"/>
      <c r="E1030" s="10">
        <f>IFERROR(VLOOKUP(C1030,'Inventory Master'!$A$3:$L$300,5,FALSE),0)</f>
      </c>
      <c r="F1030" s="10">
        <f>D1030*E1030</f>
      </c>
      <c r="G1030" s="8"/>
    </row>
    <row r="1031" ht="21" customHeight="1" spans="1:7" x14ac:dyDescent="0.25">
      <c r="A1031" s="8"/>
      <c r="B1031" s="8"/>
      <c r="C1031" s="8"/>
      <c r="D1031" s="8"/>
      <c r="E1031" s="10">
        <f>IFERROR(VLOOKUP(C1031,'Inventory Master'!$A$3:$L$300,5,FALSE),0)</f>
      </c>
      <c r="F1031" s="10">
        <f>D1031*E1031</f>
      </c>
      <c r="G1031" s="8"/>
    </row>
    <row r="1032" ht="21" customHeight="1" spans="1:7" x14ac:dyDescent="0.25">
      <c r="A1032" s="8"/>
      <c r="B1032" s="8"/>
      <c r="C1032" s="8"/>
      <c r="D1032" s="8"/>
      <c r="E1032" s="10">
        <f>IFERROR(VLOOKUP(C1032,'Inventory Master'!$A$3:$L$300,5,FALSE),0)</f>
      </c>
      <c r="F1032" s="10">
        <f>D1032*E1032</f>
      </c>
      <c r="G1032" s="8"/>
    </row>
    <row r="1033" ht="21" customHeight="1" spans="1:7" x14ac:dyDescent="0.25">
      <c r="A1033" s="8"/>
      <c r="B1033" s="8"/>
      <c r="C1033" s="8"/>
      <c r="D1033" s="8"/>
      <c r="E1033" s="10">
        <f>IFERROR(VLOOKUP(C1033,'Inventory Master'!$A$3:$L$300,5,FALSE),0)</f>
      </c>
      <c r="F1033" s="10">
        <f>D1033*E1033</f>
      </c>
      <c r="G1033" s="8"/>
    </row>
    <row r="1034" ht="21" customHeight="1" spans="1:7" x14ac:dyDescent="0.25">
      <c r="A1034" s="8"/>
      <c r="B1034" s="8"/>
      <c r="C1034" s="8"/>
      <c r="D1034" s="8"/>
      <c r="E1034" s="10">
        <f>IFERROR(VLOOKUP(C1034,'Inventory Master'!$A$3:$L$300,5,FALSE),0)</f>
      </c>
      <c r="F1034" s="10">
        <f>D1034*E1034</f>
      </c>
      <c r="G1034" s="8"/>
    </row>
    <row r="1035" ht="21" customHeight="1" spans="1:7" x14ac:dyDescent="0.25">
      <c r="A1035" s="8"/>
      <c r="B1035" s="8"/>
      <c r="C1035" s="8"/>
      <c r="D1035" s="8"/>
      <c r="E1035" s="10">
        <f>IFERROR(VLOOKUP(C1035,'Inventory Master'!$A$3:$L$300,5,FALSE),0)</f>
      </c>
      <c r="F1035" s="10">
        <f>D1035*E1035</f>
      </c>
      <c r="G1035" s="8"/>
    </row>
    <row r="1036" ht="21" customHeight="1" spans="1:7" x14ac:dyDescent="0.25">
      <c r="A1036" s="8"/>
      <c r="B1036" s="8"/>
      <c r="C1036" s="8"/>
      <c r="D1036" s="8"/>
      <c r="E1036" s="10">
        <f>IFERROR(VLOOKUP(C1036,'Inventory Master'!$A$3:$L$300,5,FALSE),0)</f>
      </c>
      <c r="F1036" s="10">
        <f>D1036*E1036</f>
      </c>
      <c r="G1036" s="8"/>
    </row>
    <row r="1037" ht="21" customHeight="1" spans="1:7" x14ac:dyDescent="0.25">
      <c r="A1037" s="8"/>
      <c r="B1037" s="8"/>
      <c r="C1037" s="8"/>
      <c r="D1037" s="8"/>
      <c r="E1037" s="10">
        <f>IFERROR(VLOOKUP(C1037,'Inventory Master'!$A$3:$L$300,5,FALSE),0)</f>
      </c>
      <c r="F1037" s="10">
        <f>D1037*E1037</f>
      </c>
      <c r="G1037" s="8"/>
    </row>
    <row r="1038" ht="21" customHeight="1" spans="1:7" x14ac:dyDescent="0.25">
      <c r="A1038" s="8"/>
      <c r="B1038" s="8"/>
      <c r="C1038" s="8"/>
      <c r="D1038" s="8"/>
      <c r="E1038" s="10">
        <f>IFERROR(VLOOKUP(C1038,'Inventory Master'!$A$3:$L$300,5,FALSE),0)</f>
      </c>
      <c r="F1038" s="10">
        <f>D1038*E1038</f>
      </c>
      <c r="G1038" s="8"/>
    </row>
    <row r="1039" ht="21" customHeight="1" spans="1:7" x14ac:dyDescent="0.25">
      <c r="A1039" s="8"/>
      <c r="B1039" s="8"/>
      <c r="C1039" s="8"/>
      <c r="D1039" s="8"/>
      <c r="E1039" s="10">
        <f>IFERROR(VLOOKUP(C1039,'Inventory Master'!$A$3:$L$300,5,FALSE),0)</f>
      </c>
      <c r="F1039" s="10">
        <f>D1039*E1039</f>
      </c>
      <c r="G1039" s="8"/>
    </row>
    <row r="1040" ht="21" customHeight="1" spans="1:7" x14ac:dyDescent="0.25">
      <c r="A1040" s="8"/>
      <c r="B1040" s="8"/>
      <c r="C1040" s="8"/>
      <c r="D1040" s="8"/>
      <c r="E1040" s="10">
        <f>IFERROR(VLOOKUP(C1040,'Inventory Master'!$A$3:$L$300,5,FALSE),0)</f>
      </c>
      <c r="F1040" s="10">
        <f>D1040*E1040</f>
      </c>
      <c r="G1040" s="8"/>
    </row>
    <row r="1041" ht="21" customHeight="1" spans="1:7" x14ac:dyDescent="0.25">
      <c r="A1041" s="8"/>
      <c r="B1041" s="8"/>
      <c r="C1041" s="8"/>
      <c r="D1041" s="8"/>
      <c r="E1041" s="10">
        <f>IFERROR(VLOOKUP(C1041,'Inventory Master'!$A$3:$L$300,5,FALSE),0)</f>
      </c>
      <c r="F1041" s="10">
        <f>D1041*E1041</f>
      </c>
      <c r="G1041" s="8"/>
    </row>
    <row r="1042" ht="21" customHeight="1" spans="1:7" x14ac:dyDescent="0.25">
      <c r="A1042" s="8"/>
      <c r="B1042" s="8"/>
      <c r="C1042" s="8"/>
      <c r="D1042" s="8"/>
      <c r="E1042" s="10">
        <f>IFERROR(VLOOKUP(C1042,'Inventory Master'!$A$3:$L$300,5,FALSE),0)</f>
      </c>
      <c r="F1042" s="10">
        <f>D1042*E1042</f>
      </c>
      <c r="G1042" s="8"/>
    </row>
    <row r="1043" ht="21" customHeight="1" spans="1:7" x14ac:dyDescent="0.25">
      <c r="A1043" s="8"/>
      <c r="B1043" s="8"/>
      <c r="C1043" s="8"/>
      <c r="D1043" s="8"/>
      <c r="E1043" s="10">
        <f>IFERROR(VLOOKUP(C1043,'Inventory Master'!$A$3:$L$300,5,FALSE),0)</f>
      </c>
      <c r="F1043" s="10">
        <f>D1043*E1043</f>
      </c>
      <c r="G1043" s="8"/>
    </row>
    <row r="1044" ht="21" customHeight="1" spans="1:7" x14ac:dyDescent="0.25">
      <c r="A1044" s="8"/>
      <c r="B1044" s="8"/>
      <c r="C1044" s="8"/>
      <c r="D1044" s="8"/>
      <c r="E1044" s="10">
        <f>IFERROR(VLOOKUP(C1044,'Inventory Master'!$A$3:$L$300,5,FALSE),0)</f>
      </c>
      <c r="F1044" s="10">
        <f>D1044*E1044</f>
      </c>
      <c r="G1044" s="8"/>
    </row>
    <row r="1045" ht="21" customHeight="1" spans="1:7" x14ac:dyDescent="0.25">
      <c r="A1045" s="8"/>
      <c r="B1045" s="8"/>
      <c r="C1045" s="8"/>
      <c r="D1045" s="8"/>
      <c r="E1045" s="10">
        <f>IFERROR(VLOOKUP(C1045,'Inventory Master'!$A$3:$L$300,5,FALSE),0)</f>
      </c>
      <c r="F1045" s="10">
        <f>D1045*E1045</f>
      </c>
      <c r="G1045" s="8"/>
    </row>
    <row r="1046" ht="21" customHeight="1" spans="1:7" x14ac:dyDescent="0.25">
      <c r="A1046" s="8"/>
      <c r="B1046" s="8"/>
      <c r="C1046" s="8"/>
      <c r="D1046" s="8"/>
      <c r="E1046" s="10">
        <f>IFERROR(VLOOKUP(C1046,'Inventory Master'!$A$3:$L$300,5,FALSE),0)</f>
      </c>
      <c r="F1046" s="10">
        <f>D1046*E1046</f>
      </c>
      <c r="G1046" s="8"/>
    </row>
    <row r="1047" ht="21" customHeight="1" spans="1:7" x14ac:dyDescent="0.25">
      <c r="A1047" s="8"/>
      <c r="B1047" s="8"/>
      <c r="C1047" s="8"/>
      <c r="D1047" s="8"/>
      <c r="E1047" s="10">
        <f>IFERROR(VLOOKUP(C1047,'Inventory Master'!$A$3:$L$300,5,FALSE),0)</f>
      </c>
      <c r="F1047" s="10">
        <f>D1047*E1047</f>
      </c>
      <c r="G1047" s="8"/>
    </row>
    <row r="1048" ht="21" customHeight="1" spans="1:7" x14ac:dyDescent="0.25">
      <c r="A1048" s="8"/>
      <c r="B1048" s="8"/>
      <c r="C1048" s="8"/>
      <c r="D1048" s="8"/>
      <c r="E1048" s="10">
        <f>IFERROR(VLOOKUP(C1048,'Inventory Master'!$A$3:$L$300,5,FALSE),0)</f>
      </c>
      <c r="F1048" s="10">
        <f>D1048*E1048</f>
      </c>
      <c r="G1048" s="8"/>
    </row>
    <row r="1049" ht="21" customHeight="1" spans="1:7" x14ac:dyDescent="0.25">
      <c r="A1049" s="8"/>
      <c r="B1049" s="8"/>
      <c r="C1049" s="8"/>
      <c r="D1049" s="8"/>
      <c r="E1049" s="10">
        <f>IFERROR(VLOOKUP(C1049,'Inventory Master'!$A$3:$L$300,5,FALSE),0)</f>
      </c>
      <c r="F1049" s="10">
        <f>D1049*E1049</f>
      </c>
      <c r="G1049" s="8"/>
    </row>
    <row r="1050" ht="21" customHeight="1" spans="1:7" x14ac:dyDescent="0.25">
      <c r="A1050" s="8"/>
      <c r="B1050" s="8"/>
      <c r="C1050" s="8"/>
      <c r="D1050" s="8"/>
      <c r="E1050" s="10">
        <f>IFERROR(VLOOKUP(C1050,'Inventory Master'!$A$3:$L$300,5,FALSE),0)</f>
      </c>
      <c r="F1050" s="10">
        <f>D1050*E1050</f>
      </c>
      <c r="G1050" s="8"/>
    </row>
    <row r="1051" ht="21" customHeight="1" spans="1:7" x14ac:dyDescent="0.25">
      <c r="A1051" s="8"/>
      <c r="B1051" s="8"/>
      <c r="C1051" s="8"/>
      <c r="D1051" s="8"/>
      <c r="E1051" s="10">
        <f>IFERROR(VLOOKUP(C1051,'Inventory Master'!$A$3:$L$300,5,FALSE),0)</f>
      </c>
      <c r="F1051" s="10">
        <f>D1051*E1051</f>
      </c>
      <c r="G1051" s="8"/>
    </row>
    <row r="1052" ht="21" customHeight="1" spans="1:7" x14ac:dyDescent="0.25">
      <c r="A1052" s="8"/>
      <c r="B1052" s="8"/>
      <c r="C1052" s="8"/>
      <c r="D1052" s="8"/>
      <c r="E1052" s="10">
        <f>IFERROR(VLOOKUP(C1052,'Inventory Master'!$A$3:$L$300,5,FALSE),0)</f>
      </c>
      <c r="F1052" s="10">
        <f>D1052*E1052</f>
      </c>
      <c r="G1052" s="8"/>
    </row>
    <row r="1053" ht="21" customHeight="1" spans="1:7" x14ac:dyDescent="0.25">
      <c r="A1053" s="8"/>
      <c r="B1053" s="8"/>
      <c r="C1053" s="8"/>
      <c r="D1053" s="8"/>
      <c r="E1053" s="10">
        <f>IFERROR(VLOOKUP(C1053,'Inventory Master'!$A$3:$L$300,5,FALSE),0)</f>
      </c>
      <c r="F1053" s="10">
        <f>D1053*E1053</f>
      </c>
      <c r="G1053" s="8"/>
    </row>
    <row r="1054" ht="21" customHeight="1" spans="1:7" x14ac:dyDescent="0.25">
      <c r="A1054" s="8"/>
      <c r="B1054" s="8"/>
      <c r="C1054" s="8"/>
      <c r="D1054" s="8"/>
      <c r="E1054" s="10">
        <f>IFERROR(VLOOKUP(C1054,'Inventory Master'!$A$3:$L$300,5,FALSE),0)</f>
      </c>
      <c r="F1054" s="10">
        <f>D1054*E1054</f>
      </c>
      <c r="G1054" s="8"/>
    </row>
    <row r="1055" ht="21" customHeight="1" spans="1:7" x14ac:dyDescent="0.25">
      <c r="A1055" s="8"/>
      <c r="B1055" s="8"/>
      <c r="C1055" s="8"/>
      <c r="D1055" s="8"/>
      <c r="E1055" s="10">
        <f>IFERROR(VLOOKUP(C1055,'Inventory Master'!$A$3:$L$300,5,FALSE),0)</f>
      </c>
      <c r="F1055" s="10">
        <f>D1055*E1055</f>
      </c>
      <c r="G1055" s="8"/>
    </row>
    <row r="1056" ht="21" customHeight="1" spans="1:7" x14ac:dyDescent="0.25">
      <c r="A1056" s="8"/>
      <c r="B1056" s="8"/>
      <c r="C1056" s="8"/>
      <c r="D1056" s="8"/>
      <c r="E1056" s="10">
        <f>IFERROR(VLOOKUP(C1056,'Inventory Master'!$A$3:$L$300,5,FALSE),0)</f>
      </c>
      <c r="F1056" s="10">
        <f>D1056*E1056</f>
      </c>
      <c r="G1056" s="8"/>
    </row>
    <row r="1057" ht="21" customHeight="1" spans="1:7" x14ac:dyDescent="0.25">
      <c r="A1057" s="8"/>
      <c r="B1057" s="8"/>
      <c r="C1057" s="8"/>
      <c r="D1057" s="8"/>
      <c r="E1057" s="10">
        <f>IFERROR(VLOOKUP(C1057,'Inventory Master'!$A$3:$L$300,5,FALSE),0)</f>
      </c>
      <c r="F1057" s="10">
        <f>D1057*E1057</f>
      </c>
      <c r="G1057" s="8"/>
    </row>
    <row r="1058" ht="21" customHeight="1" spans="1:7" x14ac:dyDescent="0.25">
      <c r="A1058" s="8"/>
      <c r="B1058" s="8"/>
      <c r="C1058" s="8"/>
      <c r="D1058" s="8"/>
      <c r="E1058" s="10">
        <f>IFERROR(VLOOKUP(C1058,'Inventory Master'!$A$3:$L$300,5,FALSE),0)</f>
      </c>
      <c r="F1058" s="10">
        <f>D1058*E1058</f>
      </c>
      <c r="G1058" s="8"/>
    </row>
    <row r="1059" ht="21" customHeight="1" spans="1:7" x14ac:dyDescent="0.25">
      <c r="A1059" s="8"/>
      <c r="B1059" s="8"/>
      <c r="C1059" s="8"/>
      <c r="D1059" s="8"/>
      <c r="E1059" s="10">
        <f>IFERROR(VLOOKUP(C1059,'Inventory Master'!$A$3:$L$300,5,FALSE),0)</f>
      </c>
      <c r="F1059" s="10">
        <f>D1059*E1059</f>
      </c>
      <c r="G1059" s="8"/>
    </row>
    <row r="1060" ht="21" customHeight="1" spans="1:7" x14ac:dyDescent="0.25">
      <c r="A1060" s="8"/>
      <c r="B1060" s="8"/>
      <c r="C1060" s="8"/>
      <c r="D1060" s="8"/>
      <c r="E1060" s="10">
        <f>IFERROR(VLOOKUP(C1060,'Inventory Master'!$A$3:$L$300,5,FALSE),0)</f>
      </c>
      <c r="F1060" s="10">
        <f>D1060*E1060</f>
      </c>
      <c r="G1060" s="8"/>
    </row>
    <row r="1061" ht="21" customHeight="1" spans="1:7" x14ac:dyDescent="0.25">
      <c r="A1061" s="8"/>
      <c r="B1061" s="8"/>
      <c r="C1061" s="8"/>
      <c r="D1061" s="8"/>
      <c r="E1061" s="10">
        <f>IFERROR(VLOOKUP(C1061,'Inventory Master'!$A$3:$L$300,5,FALSE),0)</f>
      </c>
      <c r="F1061" s="10">
        <f>D1061*E1061</f>
      </c>
      <c r="G1061" s="8"/>
    </row>
    <row r="1062" ht="21" customHeight="1" spans="1:7" x14ac:dyDescent="0.25">
      <c r="A1062" s="8"/>
      <c r="B1062" s="8"/>
      <c r="C1062" s="8"/>
      <c r="D1062" s="8"/>
      <c r="E1062" s="10">
        <f>IFERROR(VLOOKUP(C1062,'Inventory Master'!$A$3:$L$300,5,FALSE),0)</f>
      </c>
      <c r="F1062" s="10">
        <f>D1062*E1062</f>
      </c>
      <c r="G1062" s="8"/>
    </row>
    <row r="1063" ht="21" customHeight="1" spans="1:7" x14ac:dyDescent="0.25">
      <c r="A1063" s="8"/>
      <c r="B1063" s="8"/>
      <c r="C1063" s="8"/>
      <c r="D1063" s="8"/>
      <c r="E1063" s="10">
        <f>IFERROR(VLOOKUP(C1063,'Inventory Master'!$A$3:$L$300,5,FALSE),0)</f>
      </c>
      <c r="F1063" s="10">
        <f>D1063*E1063</f>
      </c>
      <c r="G1063" s="8"/>
    </row>
    <row r="1064" ht="21" customHeight="1" spans="1:7" x14ac:dyDescent="0.25">
      <c r="A1064" s="8"/>
      <c r="B1064" s="8"/>
      <c r="C1064" s="8"/>
      <c r="D1064" s="8"/>
      <c r="E1064" s="10">
        <f>IFERROR(VLOOKUP(C1064,'Inventory Master'!$A$3:$L$300,5,FALSE),0)</f>
      </c>
      <c r="F1064" s="10">
        <f>D1064*E1064</f>
      </c>
      <c r="G1064" s="8"/>
    </row>
    <row r="1065" ht="21" customHeight="1" spans="1:7" x14ac:dyDescent="0.25">
      <c r="A1065" s="8"/>
      <c r="B1065" s="8"/>
      <c r="C1065" s="8"/>
      <c r="D1065" s="8"/>
      <c r="E1065" s="10">
        <f>IFERROR(VLOOKUP(C1065,'Inventory Master'!$A$3:$L$300,5,FALSE),0)</f>
      </c>
      <c r="F1065" s="10">
        <f>D1065*E1065</f>
      </c>
      <c r="G1065" s="8"/>
    </row>
    <row r="1066" ht="21" customHeight="1" spans="1:7" x14ac:dyDescent="0.25">
      <c r="A1066" s="8"/>
      <c r="B1066" s="8"/>
      <c r="C1066" s="8"/>
      <c r="D1066" s="8"/>
      <c r="E1066" s="10">
        <f>IFERROR(VLOOKUP(C1066,'Inventory Master'!$A$3:$L$300,5,FALSE),0)</f>
      </c>
      <c r="F1066" s="10">
        <f>D1066*E1066</f>
      </c>
      <c r="G1066" s="8"/>
    </row>
    <row r="1067" ht="21" customHeight="1" spans="1:7" x14ac:dyDescent="0.25">
      <c r="A1067" s="8"/>
      <c r="B1067" s="8"/>
      <c r="C1067" s="8"/>
      <c r="D1067" s="8"/>
      <c r="E1067" s="10">
        <f>IFERROR(VLOOKUP(C1067,'Inventory Master'!$A$3:$L$300,5,FALSE),0)</f>
      </c>
      <c r="F1067" s="10">
        <f>D1067*E1067</f>
      </c>
      <c r="G1067" s="8"/>
    </row>
    <row r="1068" ht="21" customHeight="1" spans="1:7" x14ac:dyDescent="0.25">
      <c r="A1068" s="8"/>
      <c r="B1068" s="8"/>
      <c r="C1068" s="8"/>
      <c r="D1068" s="8"/>
      <c r="E1068" s="10">
        <f>IFERROR(VLOOKUP(C1068,'Inventory Master'!$A$3:$L$300,5,FALSE),0)</f>
      </c>
      <c r="F1068" s="10">
        <f>D1068*E1068</f>
      </c>
      <c r="G1068" s="8"/>
    </row>
    <row r="1069" ht="21" customHeight="1" spans="1:7" x14ac:dyDescent="0.25">
      <c r="A1069" s="8"/>
      <c r="B1069" s="8"/>
      <c r="C1069" s="8"/>
      <c r="D1069" s="8"/>
      <c r="E1069" s="10">
        <f>IFERROR(VLOOKUP(C1069,'Inventory Master'!$A$3:$L$300,5,FALSE),0)</f>
      </c>
      <c r="F1069" s="10">
        <f>D1069*E1069</f>
      </c>
      <c r="G1069" s="8"/>
    </row>
    <row r="1070" ht="21" customHeight="1" spans="1:7" x14ac:dyDescent="0.25">
      <c r="A1070" s="8"/>
      <c r="B1070" s="8"/>
      <c r="C1070" s="8"/>
      <c r="D1070" s="8"/>
      <c r="E1070" s="10">
        <f>IFERROR(VLOOKUP(C1070,'Inventory Master'!$A$3:$L$300,5,FALSE),0)</f>
      </c>
      <c r="F1070" s="10">
        <f>D1070*E1070</f>
      </c>
      <c r="G1070" s="8"/>
    </row>
    <row r="1071" ht="21" customHeight="1" spans="1:7" x14ac:dyDescent="0.25">
      <c r="A1071" s="8"/>
      <c r="B1071" s="8"/>
      <c r="C1071" s="8"/>
      <c r="D1071" s="8"/>
      <c r="E1071" s="10">
        <f>IFERROR(VLOOKUP(C1071,'Inventory Master'!$A$3:$L$300,5,FALSE),0)</f>
      </c>
      <c r="F1071" s="10">
        <f>D1071*E1071</f>
      </c>
      <c r="G1071" s="8"/>
    </row>
    <row r="1072" ht="21" customHeight="1" spans="1:7" x14ac:dyDescent="0.25">
      <c r="A1072" s="8"/>
      <c r="B1072" s="8"/>
      <c r="C1072" s="8"/>
      <c r="D1072" s="8"/>
      <c r="E1072" s="10">
        <f>IFERROR(VLOOKUP(C1072,'Inventory Master'!$A$3:$L$300,5,FALSE),0)</f>
      </c>
      <c r="F1072" s="10">
        <f>D1072*E1072</f>
      </c>
      <c r="G1072" s="8"/>
    </row>
    <row r="1073" ht="21" customHeight="1" spans="1:7" x14ac:dyDescent="0.25">
      <c r="A1073" s="8"/>
      <c r="B1073" s="8"/>
      <c r="C1073" s="8"/>
      <c r="D1073" s="8"/>
      <c r="E1073" s="10">
        <f>IFERROR(VLOOKUP(C1073,'Inventory Master'!$A$3:$L$300,5,FALSE),0)</f>
      </c>
      <c r="F1073" s="10">
        <f>D1073*E1073</f>
      </c>
      <c r="G1073" s="8"/>
    </row>
    <row r="1074" ht="21" customHeight="1" spans="1:7" x14ac:dyDescent="0.25">
      <c r="A1074" s="8"/>
      <c r="B1074" s="8"/>
      <c r="C1074" s="8"/>
      <c r="D1074" s="8"/>
      <c r="E1074" s="10">
        <f>IFERROR(VLOOKUP(C1074,'Inventory Master'!$A$3:$L$300,5,FALSE),0)</f>
      </c>
      <c r="F1074" s="10">
        <f>D1074*E1074</f>
      </c>
      <c r="G1074" s="8"/>
    </row>
    <row r="1075" ht="21" customHeight="1" spans="1:7" x14ac:dyDescent="0.25">
      <c r="A1075" s="8"/>
      <c r="B1075" s="8"/>
      <c r="C1075" s="8"/>
      <c r="D1075" s="8"/>
      <c r="E1075" s="10">
        <f>IFERROR(VLOOKUP(C1075,'Inventory Master'!$A$3:$L$300,5,FALSE),0)</f>
      </c>
      <c r="F1075" s="10">
        <f>D1075*E1075</f>
      </c>
      <c r="G1075" s="8"/>
    </row>
    <row r="1076" ht="21" customHeight="1" spans="1:7" x14ac:dyDescent="0.25">
      <c r="A1076" s="8"/>
      <c r="B1076" s="8"/>
      <c r="C1076" s="8"/>
      <c r="D1076" s="8"/>
      <c r="E1076" s="10">
        <f>IFERROR(VLOOKUP(C1076,'Inventory Master'!$A$3:$L$300,5,FALSE),0)</f>
      </c>
      <c r="F1076" s="10">
        <f>D1076*E1076</f>
      </c>
      <c r="G1076" s="8"/>
    </row>
    <row r="1077" ht="21" customHeight="1" spans="1:7" x14ac:dyDescent="0.25">
      <c r="A1077" s="8"/>
      <c r="B1077" s="8"/>
      <c r="C1077" s="8"/>
      <c r="D1077" s="8"/>
      <c r="E1077" s="10">
        <f>IFERROR(VLOOKUP(C1077,'Inventory Master'!$A$3:$L$300,5,FALSE),0)</f>
      </c>
      <c r="F1077" s="10">
        <f>D1077*E1077</f>
      </c>
      <c r="G1077" s="8"/>
    </row>
    <row r="1078" ht="21" customHeight="1" spans="1:7" x14ac:dyDescent="0.25">
      <c r="A1078" s="8"/>
      <c r="B1078" s="8"/>
      <c r="C1078" s="8"/>
      <c r="D1078" s="8"/>
      <c r="E1078" s="10">
        <f>IFERROR(VLOOKUP(C1078,'Inventory Master'!$A$3:$L$300,5,FALSE),0)</f>
      </c>
      <c r="F1078" s="10">
        <f>D1078*E1078</f>
      </c>
      <c r="G1078" s="8"/>
    </row>
    <row r="1079" ht="21" customHeight="1" spans="1:7" x14ac:dyDescent="0.25">
      <c r="A1079" s="8"/>
      <c r="B1079" s="8"/>
      <c r="C1079" s="8"/>
      <c r="D1079" s="8"/>
      <c r="E1079" s="10">
        <f>IFERROR(VLOOKUP(C1079,'Inventory Master'!$A$3:$L$300,5,FALSE),0)</f>
      </c>
      <c r="F1079" s="10">
        <f>D1079*E1079</f>
      </c>
      <c r="G1079" s="8"/>
    </row>
    <row r="1080" ht="21" customHeight="1" spans="1:7" x14ac:dyDescent="0.25">
      <c r="A1080" s="8"/>
      <c r="B1080" s="8"/>
      <c r="C1080" s="8"/>
      <c r="D1080" s="8"/>
      <c r="E1080" s="10">
        <f>IFERROR(VLOOKUP(C1080,'Inventory Master'!$A$3:$L$300,5,FALSE),0)</f>
      </c>
      <c r="F1080" s="10">
        <f>D1080*E1080</f>
      </c>
      <c r="G1080" s="8"/>
    </row>
    <row r="1081" ht="21" customHeight="1" spans="1:7" x14ac:dyDescent="0.25">
      <c r="A1081" s="8"/>
      <c r="B1081" s="8"/>
      <c r="C1081" s="8"/>
      <c r="D1081" s="8"/>
      <c r="E1081" s="10">
        <f>IFERROR(VLOOKUP(C1081,'Inventory Master'!$A$3:$L$300,5,FALSE),0)</f>
      </c>
      <c r="F1081" s="10">
        <f>D1081*E1081</f>
      </c>
      <c r="G1081" s="8"/>
    </row>
    <row r="1082" ht="21" customHeight="1" spans="1:7" x14ac:dyDescent="0.25">
      <c r="A1082" s="8"/>
      <c r="B1082" s="8"/>
      <c r="C1082" s="8"/>
      <c r="D1082" s="8"/>
      <c r="E1082" s="10">
        <f>IFERROR(VLOOKUP(C1082,'Inventory Master'!$A$3:$L$300,5,FALSE),0)</f>
      </c>
      <c r="F1082" s="10">
        <f>D1082*E1082</f>
      </c>
      <c r="G1082" s="8"/>
    </row>
    <row r="1083" ht="21" customHeight="1" spans="1:7" x14ac:dyDescent="0.25">
      <c r="A1083" s="8"/>
      <c r="B1083" s="8"/>
      <c r="C1083" s="8"/>
      <c r="D1083" s="8"/>
      <c r="E1083" s="10">
        <f>IFERROR(VLOOKUP(C1083,'Inventory Master'!$A$3:$L$300,5,FALSE),0)</f>
      </c>
      <c r="F1083" s="10">
        <f>D1083*E1083</f>
      </c>
      <c r="G1083" s="8"/>
    </row>
    <row r="1084" ht="21" customHeight="1" spans="1:7" x14ac:dyDescent="0.25">
      <c r="A1084" s="8"/>
      <c r="B1084" s="8"/>
      <c r="C1084" s="8"/>
      <c r="D1084" s="8"/>
      <c r="E1084" s="10">
        <f>IFERROR(VLOOKUP(C1084,'Inventory Master'!$A$3:$L$300,5,FALSE),0)</f>
      </c>
      <c r="F1084" s="10">
        <f>D1084*E1084</f>
      </c>
      <c r="G1084" s="8"/>
    </row>
    <row r="1085" ht="21" customHeight="1" spans="1:7" x14ac:dyDescent="0.25">
      <c r="A1085" s="8"/>
      <c r="B1085" s="8"/>
      <c r="C1085" s="8"/>
      <c r="D1085" s="8"/>
      <c r="E1085" s="10">
        <f>IFERROR(VLOOKUP(C1085,'Inventory Master'!$A$3:$L$300,5,FALSE),0)</f>
      </c>
      <c r="F1085" s="10">
        <f>D1085*E1085</f>
      </c>
      <c r="G1085" s="8"/>
    </row>
    <row r="1086" ht="21" customHeight="1" spans="1:7" x14ac:dyDescent="0.25">
      <c r="A1086" s="8"/>
      <c r="B1086" s="8"/>
      <c r="C1086" s="8"/>
      <c r="D1086" s="8"/>
      <c r="E1086" s="10">
        <f>IFERROR(VLOOKUP(C1086,'Inventory Master'!$A$3:$L$300,5,FALSE),0)</f>
      </c>
      <c r="F1086" s="10">
        <f>D1086*E1086</f>
      </c>
      <c r="G1086" s="8"/>
    </row>
    <row r="1087" ht="21" customHeight="1" spans="1:7" x14ac:dyDescent="0.25">
      <c r="A1087" s="8"/>
      <c r="B1087" s="8"/>
      <c r="C1087" s="8"/>
      <c r="D1087" s="8"/>
      <c r="E1087" s="10">
        <f>IFERROR(VLOOKUP(C1087,'Inventory Master'!$A$3:$L$300,5,FALSE),0)</f>
      </c>
      <c r="F1087" s="10">
        <f>D1087*E1087</f>
      </c>
      <c r="G1087" s="8"/>
    </row>
    <row r="1088" ht="21" customHeight="1" spans="1:7" x14ac:dyDescent="0.25">
      <c r="A1088" s="8"/>
      <c r="B1088" s="8"/>
      <c r="C1088" s="8"/>
      <c r="D1088" s="8"/>
      <c r="E1088" s="10">
        <f>IFERROR(VLOOKUP(C1088,'Inventory Master'!$A$3:$L$300,5,FALSE),0)</f>
      </c>
      <c r="F1088" s="10">
        <f>D1088*E1088</f>
      </c>
      <c r="G1088" s="8"/>
    </row>
    <row r="1089" ht="21" customHeight="1" spans="1:7" x14ac:dyDescent="0.25">
      <c r="A1089" s="8"/>
      <c r="B1089" s="8"/>
      <c r="C1089" s="8"/>
      <c r="D1089" s="8"/>
      <c r="E1089" s="10">
        <f>IFERROR(VLOOKUP(C1089,'Inventory Master'!$A$3:$L$300,5,FALSE),0)</f>
      </c>
      <c r="F1089" s="10">
        <f>D1089*E1089</f>
      </c>
      <c r="G1089" s="8"/>
    </row>
    <row r="1090" ht="21" customHeight="1" spans="1:7" x14ac:dyDescent="0.25">
      <c r="A1090" s="8"/>
      <c r="B1090" s="8"/>
      <c r="C1090" s="8"/>
      <c r="D1090" s="8"/>
      <c r="E1090" s="10">
        <f>IFERROR(VLOOKUP(C1090,'Inventory Master'!$A$3:$L$300,5,FALSE),0)</f>
      </c>
      <c r="F1090" s="10">
        <f>D1090*E1090</f>
      </c>
      <c r="G1090" s="8"/>
    </row>
    <row r="1091" ht="21" customHeight="1" spans="1:7" x14ac:dyDescent="0.25">
      <c r="A1091" s="8"/>
      <c r="B1091" s="8"/>
      <c r="C1091" s="8"/>
      <c r="D1091" s="8"/>
      <c r="E1091" s="10">
        <f>IFERROR(VLOOKUP(C1091,'Inventory Master'!$A$3:$L$300,5,FALSE),0)</f>
      </c>
      <c r="F1091" s="10">
        <f>D1091*E1091</f>
      </c>
      <c r="G1091" s="8"/>
    </row>
    <row r="1092" ht="21" customHeight="1" spans="1:7" x14ac:dyDescent="0.25">
      <c r="A1092" s="8"/>
      <c r="B1092" s="8"/>
      <c r="C1092" s="8"/>
      <c r="D1092" s="8"/>
      <c r="E1092" s="10">
        <f>IFERROR(VLOOKUP(C1092,'Inventory Master'!$A$3:$L$300,5,FALSE),0)</f>
      </c>
      <c r="F1092" s="10">
        <f>D1092*E1092</f>
      </c>
      <c r="G1092" s="8"/>
    </row>
    <row r="1093" ht="21" customHeight="1" spans="1:7" x14ac:dyDescent="0.25">
      <c r="A1093" s="8"/>
      <c r="B1093" s="8"/>
      <c r="C1093" s="8"/>
      <c r="D1093" s="8"/>
      <c r="E1093" s="10">
        <f>IFERROR(VLOOKUP(C1093,'Inventory Master'!$A$3:$L$300,5,FALSE),0)</f>
      </c>
      <c r="F1093" s="10">
        <f>D1093*E1093</f>
      </c>
      <c r="G1093" s="8"/>
    </row>
    <row r="1094" ht="21" customHeight="1" spans="1:7" x14ac:dyDescent="0.25">
      <c r="A1094" s="8"/>
      <c r="B1094" s="8"/>
      <c r="C1094" s="8"/>
      <c r="D1094" s="8"/>
      <c r="E1094" s="10">
        <f>IFERROR(VLOOKUP(C1094,'Inventory Master'!$A$3:$L$300,5,FALSE),0)</f>
      </c>
      <c r="F1094" s="10">
        <f>D1094*E1094</f>
      </c>
      <c r="G1094" s="8"/>
    </row>
    <row r="1095" ht="21" customHeight="1" spans="1:7" x14ac:dyDescent="0.25">
      <c r="A1095" s="8"/>
      <c r="B1095" s="8"/>
      <c r="C1095" s="8"/>
      <c r="D1095" s="8"/>
      <c r="E1095" s="10">
        <f>IFERROR(VLOOKUP(C1095,'Inventory Master'!$A$3:$L$300,5,FALSE),0)</f>
      </c>
      <c r="F1095" s="10">
        <f>D1095*E1095</f>
      </c>
      <c r="G1095" s="8"/>
    </row>
    <row r="1096" ht="21" customHeight="1" spans="1:7" x14ac:dyDescent="0.25">
      <c r="A1096" s="8"/>
      <c r="B1096" s="8"/>
      <c r="C1096" s="8"/>
      <c r="D1096" s="8"/>
      <c r="E1096" s="10">
        <f>IFERROR(VLOOKUP(C1096,'Inventory Master'!$A$3:$L$300,5,FALSE),0)</f>
      </c>
      <c r="F1096" s="10">
        <f>D1096*E1096</f>
      </c>
      <c r="G1096" s="8"/>
    </row>
    <row r="1097" ht="21" customHeight="1" spans="1:7" x14ac:dyDescent="0.25">
      <c r="A1097" s="8"/>
      <c r="B1097" s="8"/>
      <c r="C1097" s="8"/>
      <c r="D1097" s="8"/>
      <c r="E1097" s="10">
        <f>IFERROR(VLOOKUP(C1097,'Inventory Master'!$A$3:$L$300,5,FALSE),0)</f>
      </c>
      <c r="F1097" s="10">
        <f>D1097*E1097</f>
      </c>
      <c r="G1097" s="8"/>
    </row>
    <row r="1098" ht="21" customHeight="1" spans="1:7" x14ac:dyDescent="0.25">
      <c r="A1098" s="8"/>
      <c r="B1098" s="8"/>
      <c r="C1098" s="8"/>
      <c r="D1098" s="8"/>
      <c r="E1098" s="10">
        <f>IFERROR(VLOOKUP(C1098,'Inventory Master'!$A$3:$L$300,5,FALSE),0)</f>
      </c>
      <c r="F1098" s="10">
        <f>D1098*E1098</f>
      </c>
      <c r="G1098" s="8"/>
    </row>
    <row r="1099" ht="21" customHeight="1" spans="1:7" x14ac:dyDescent="0.25">
      <c r="A1099" s="8"/>
      <c r="B1099" s="8"/>
      <c r="C1099" s="8"/>
      <c r="D1099" s="8"/>
      <c r="E1099" s="10">
        <f>IFERROR(VLOOKUP(C1099,'Inventory Master'!$A$3:$L$300,5,FALSE),0)</f>
      </c>
      <c r="F1099" s="10">
        <f>D1099*E1099</f>
      </c>
      <c r="G1099" s="8"/>
    </row>
    <row r="1100" ht="21" customHeight="1" spans="1:7" x14ac:dyDescent="0.25">
      <c r="A1100" s="8"/>
      <c r="B1100" s="8"/>
      <c r="C1100" s="8"/>
      <c r="D1100" s="8"/>
      <c r="E1100" s="10">
        <f>IFERROR(VLOOKUP(C1100,'Inventory Master'!$A$3:$L$300,5,FALSE),0)</f>
      </c>
      <c r="F1100" s="10">
        <f>D1100*E1100</f>
      </c>
      <c r="G1100" s="8"/>
    </row>
    <row r="1101" ht="21" customHeight="1" spans="1:7" x14ac:dyDescent="0.25">
      <c r="A1101" s="8"/>
      <c r="B1101" s="8"/>
      <c r="C1101" s="8"/>
      <c r="D1101" s="8"/>
      <c r="E1101" s="10">
        <f>IFERROR(VLOOKUP(C1101,'Inventory Master'!$A$3:$L$300,5,FALSE),0)</f>
      </c>
      <c r="F1101" s="10">
        <f>D1101*E1101</f>
      </c>
      <c r="G1101" s="8"/>
    </row>
    <row r="1102" ht="21" customHeight="1" spans="1:7" x14ac:dyDescent="0.25">
      <c r="A1102" s="8"/>
      <c r="B1102" s="8"/>
      <c r="C1102" s="8"/>
      <c r="D1102" s="8"/>
      <c r="E1102" s="10">
        <f>IFERROR(VLOOKUP(C1102,'Inventory Master'!$A$3:$L$300,5,FALSE),0)</f>
      </c>
      <c r="F1102" s="10">
        <f>D1102*E1102</f>
      </c>
      <c r="G1102" s="8"/>
    </row>
    <row r="1103" ht="21" customHeight="1" spans="1:7" x14ac:dyDescent="0.25">
      <c r="A1103" s="8"/>
      <c r="B1103" s="8"/>
      <c r="C1103" s="8"/>
      <c r="D1103" s="8"/>
      <c r="E1103" s="10">
        <f>IFERROR(VLOOKUP(C1103,'Inventory Master'!$A$3:$L$300,5,FALSE),0)</f>
      </c>
      <c r="F1103" s="10">
        <f>D1103*E1103</f>
      </c>
      <c r="G1103" s="8"/>
    </row>
    <row r="1104" ht="21" customHeight="1" spans="1:7" x14ac:dyDescent="0.25">
      <c r="A1104" s="8"/>
      <c r="B1104" s="8"/>
      <c r="C1104" s="8"/>
      <c r="D1104" s="8"/>
      <c r="E1104" s="10">
        <f>IFERROR(VLOOKUP(C1104,'Inventory Master'!$A$3:$L$300,5,FALSE),0)</f>
      </c>
      <c r="F1104" s="10">
        <f>D1104*E1104</f>
      </c>
      <c r="G1104" s="8"/>
    </row>
    <row r="1105" ht="21" customHeight="1" spans="1:7" x14ac:dyDescent="0.25">
      <c r="A1105" s="8"/>
      <c r="B1105" s="8"/>
      <c r="C1105" s="8"/>
      <c r="D1105" s="8"/>
      <c r="E1105" s="10">
        <f>IFERROR(VLOOKUP(C1105,'Inventory Master'!$A$3:$L$300,5,FALSE),0)</f>
      </c>
      <c r="F1105" s="10">
        <f>D1105*E1105</f>
      </c>
      <c r="G1105" s="8"/>
    </row>
    <row r="1106" ht="21" customHeight="1" spans="1:7" x14ac:dyDescent="0.25">
      <c r="A1106" s="8"/>
      <c r="B1106" s="8"/>
      <c r="C1106" s="8"/>
      <c r="D1106" s="8"/>
      <c r="E1106" s="10">
        <f>IFERROR(VLOOKUP(C1106,'Inventory Master'!$A$3:$L$300,5,FALSE),0)</f>
      </c>
      <c r="F1106" s="10">
        <f>D1106*E1106</f>
      </c>
      <c r="G1106" s="8"/>
    </row>
    <row r="1107" ht="21" customHeight="1" spans="1:7" x14ac:dyDescent="0.25">
      <c r="A1107" s="8"/>
      <c r="B1107" s="8"/>
      <c r="C1107" s="8"/>
      <c r="D1107" s="8"/>
      <c r="E1107" s="10">
        <f>IFERROR(VLOOKUP(C1107,'Inventory Master'!$A$3:$L$300,5,FALSE),0)</f>
      </c>
      <c r="F1107" s="10">
        <f>D1107*E1107</f>
      </c>
      <c r="G1107" s="8"/>
    </row>
    <row r="1108" ht="21" customHeight="1" spans="1:7" x14ac:dyDescent="0.25">
      <c r="A1108" s="8"/>
      <c r="B1108" s="8"/>
      <c r="C1108" s="8"/>
      <c r="D1108" s="8"/>
      <c r="E1108" s="10">
        <f>IFERROR(VLOOKUP(C1108,'Inventory Master'!$A$3:$L$300,5,FALSE),0)</f>
      </c>
      <c r="F1108" s="10">
        <f>D1108*E1108</f>
      </c>
      <c r="G1108" s="8"/>
    </row>
    <row r="1109" ht="21" customHeight="1" spans="1:7" x14ac:dyDescent="0.25">
      <c r="A1109" s="8"/>
      <c r="B1109" s="8"/>
      <c r="C1109" s="8"/>
      <c r="D1109" s="8"/>
      <c r="E1109" s="10">
        <f>IFERROR(VLOOKUP(C1109,'Inventory Master'!$A$3:$L$300,5,FALSE),0)</f>
      </c>
      <c r="F1109" s="10">
        <f>D1109*E1109</f>
      </c>
      <c r="G1109" s="8"/>
    </row>
    <row r="1110" ht="21" customHeight="1" spans="1:7" x14ac:dyDescent="0.25">
      <c r="A1110" s="8"/>
      <c r="B1110" s="8"/>
      <c r="C1110" s="8"/>
      <c r="D1110" s="8"/>
      <c r="E1110" s="10">
        <f>IFERROR(VLOOKUP(C1110,'Inventory Master'!$A$3:$L$300,5,FALSE),0)</f>
      </c>
      <c r="F1110" s="10">
        <f>D1110*E1110</f>
      </c>
      <c r="G1110" s="8"/>
    </row>
    <row r="1111" ht="21" customHeight="1" spans="1:7" x14ac:dyDescent="0.25">
      <c r="A1111" s="8"/>
      <c r="B1111" s="8"/>
      <c r="C1111" s="8"/>
      <c r="D1111" s="8"/>
      <c r="E1111" s="10">
        <f>IFERROR(VLOOKUP(C1111,'Inventory Master'!$A$3:$L$300,5,FALSE),0)</f>
      </c>
      <c r="F1111" s="10">
        <f>D1111*E1111</f>
      </c>
      <c r="G1111" s="8"/>
    </row>
    <row r="1112" ht="21" customHeight="1" spans="1:7" x14ac:dyDescent="0.25">
      <c r="A1112" s="8"/>
      <c r="B1112" s="8"/>
      <c r="C1112" s="8"/>
      <c r="D1112" s="8"/>
      <c r="E1112" s="10">
        <f>IFERROR(VLOOKUP(C1112,'Inventory Master'!$A$3:$L$300,5,FALSE),0)</f>
      </c>
      <c r="F1112" s="10">
        <f>D1112*E1112</f>
      </c>
      <c r="G1112" s="8"/>
    </row>
    <row r="1113" ht="21" customHeight="1" spans="1:7" x14ac:dyDescent="0.25">
      <c r="A1113" s="8"/>
      <c r="B1113" s="8"/>
      <c r="C1113" s="8"/>
      <c r="D1113" s="8"/>
      <c r="E1113" s="10">
        <f>IFERROR(VLOOKUP(C1113,'Inventory Master'!$A$3:$L$300,5,FALSE),0)</f>
      </c>
      <c r="F1113" s="10">
        <f>D1113*E1113</f>
      </c>
      <c r="G1113" s="8"/>
    </row>
    <row r="1114" ht="21" customHeight="1" spans="1:7" x14ac:dyDescent="0.25">
      <c r="A1114" s="8"/>
      <c r="B1114" s="8"/>
      <c r="C1114" s="8"/>
      <c r="D1114" s="8"/>
      <c r="E1114" s="10">
        <f>IFERROR(VLOOKUP(C1114,'Inventory Master'!$A$3:$L$300,5,FALSE),0)</f>
      </c>
      <c r="F1114" s="10">
        <f>D1114*E1114</f>
      </c>
      <c r="G1114" s="8"/>
    </row>
    <row r="1115" ht="21" customHeight="1" spans="1:7" x14ac:dyDescent="0.25">
      <c r="A1115" s="8"/>
      <c r="B1115" s="8"/>
      <c r="C1115" s="8"/>
      <c r="D1115" s="8"/>
      <c r="E1115" s="10">
        <f>IFERROR(VLOOKUP(C1115,'Inventory Master'!$A$3:$L$300,5,FALSE),0)</f>
      </c>
      <c r="F1115" s="10">
        <f>D1115*E1115</f>
      </c>
      <c r="G1115" s="8"/>
    </row>
    <row r="1116" ht="21" customHeight="1" spans="1:7" x14ac:dyDescent="0.25">
      <c r="A1116" s="8"/>
      <c r="B1116" s="8"/>
      <c r="C1116" s="8"/>
      <c r="D1116" s="8"/>
      <c r="E1116" s="10">
        <f>IFERROR(VLOOKUP(C1116,'Inventory Master'!$A$3:$L$300,5,FALSE),0)</f>
      </c>
      <c r="F1116" s="10">
        <f>D1116*E1116</f>
      </c>
      <c r="G1116" s="8"/>
    </row>
    <row r="1117" ht="21" customHeight="1" spans="1:7" x14ac:dyDescent="0.25">
      <c r="A1117" s="8"/>
      <c r="B1117" s="8"/>
      <c r="C1117" s="8"/>
      <c r="D1117" s="8"/>
      <c r="E1117" s="10">
        <f>IFERROR(VLOOKUP(C1117,'Inventory Master'!$A$3:$L$300,5,FALSE),0)</f>
      </c>
      <c r="F1117" s="10">
        <f>D1117*E1117</f>
      </c>
      <c r="G1117" s="8"/>
    </row>
    <row r="1118" ht="21" customHeight="1" spans="1:7" x14ac:dyDescent="0.25">
      <c r="A1118" s="8"/>
      <c r="B1118" s="8"/>
      <c r="C1118" s="8"/>
      <c r="D1118" s="8"/>
      <c r="E1118" s="10">
        <f>IFERROR(VLOOKUP(C1118,'Inventory Master'!$A$3:$L$300,5,FALSE),0)</f>
      </c>
      <c r="F1118" s="10">
        <f>D1118*E1118</f>
      </c>
      <c r="G1118" s="8"/>
    </row>
    <row r="1119" ht="21" customHeight="1" spans="1:7" x14ac:dyDescent="0.25">
      <c r="A1119" s="8"/>
      <c r="B1119" s="8"/>
      <c r="C1119" s="8"/>
      <c r="D1119" s="8"/>
      <c r="E1119" s="10">
        <f>IFERROR(VLOOKUP(C1119,'Inventory Master'!$A$3:$L$300,5,FALSE),0)</f>
      </c>
      <c r="F1119" s="10">
        <f>D1119*E1119</f>
      </c>
      <c r="G1119" s="8"/>
    </row>
    <row r="1120" ht="21" customHeight="1" spans="1:7" x14ac:dyDescent="0.25">
      <c r="A1120" s="8"/>
      <c r="B1120" s="8"/>
      <c r="C1120" s="8"/>
      <c r="D1120" s="8"/>
      <c r="E1120" s="10">
        <f>IFERROR(VLOOKUP(C1120,'Inventory Master'!$A$3:$L$300,5,FALSE),0)</f>
      </c>
      <c r="F1120" s="10">
        <f>D1120*E1120</f>
      </c>
      <c r="G1120" s="8"/>
    </row>
    <row r="1121" ht="21" customHeight="1" spans="1:7" x14ac:dyDescent="0.25">
      <c r="A1121" s="8"/>
      <c r="B1121" s="8"/>
      <c r="C1121" s="8"/>
      <c r="D1121" s="8"/>
      <c r="E1121" s="10">
        <f>IFERROR(VLOOKUP(C1121,'Inventory Master'!$A$3:$L$300,5,FALSE),0)</f>
      </c>
      <c r="F1121" s="10">
        <f>D1121*E1121</f>
      </c>
      <c r="G1121" s="8"/>
    </row>
    <row r="1122" ht="21" customHeight="1" spans="1:7" x14ac:dyDescent="0.25">
      <c r="A1122" s="8"/>
      <c r="B1122" s="8"/>
      <c r="C1122" s="8"/>
      <c r="D1122" s="8"/>
      <c r="E1122" s="10">
        <f>IFERROR(VLOOKUP(C1122,'Inventory Master'!$A$3:$L$300,5,FALSE),0)</f>
      </c>
      <c r="F1122" s="10">
        <f>D1122*E1122</f>
      </c>
      <c r="G1122" s="8"/>
    </row>
    <row r="1123" ht="21" customHeight="1" spans="1:7" x14ac:dyDescent="0.25">
      <c r="A1123" s="8"/>
      <c r="B1123" s="8"/>
      <c r="C1123" s="8"/>
      <c r="D1123" s="8"/>
      <c r="E1123" s="10">
        <f>IFERROR(VLOOKUP(C1123,'Inventory Master'!$A$3:$L$300,5,FALSE),0)</f>
      </c>
      <c r="F1123" s="10">
        <f>D1123*E1123</f>
      </c>
      <c r="G1123" s="8"/>
    </row>
    <row r="1124" ht="21" customHeight="1" spans="1:7" x14ac:dyDescent="0.25">
      <c r="A1124" s="8"/>
      <c r="B1124" s="8"/>
      <c r="C1124" s="8"/>
      <c r="D1124" s="8"/>
      <c r="E1124" s="10">
        <f>IFERROR(VLOOKUP(C1124,'Inventory Master'!$A$3:$L$300,5,FALSE),0)</f>
      </c>
      <c r="F1124" s="10">
        <f>D1124*E1124</f>
      </c>
      <c r="G1124" s="8"/>
    </row>
    <row r="1125" ht="21" customHeight="1" spans="1:7" x14ac:dyDescent="0.25">
      <c r="A1125" s="8"/>
      <c r="B1125" s="8"/>
      <c r="C1125" s="8"/>
      <c r="D1125" s="8"/>
      <c r="E1125" s="10">
        <f>IFERROR(VLOOKUP(C1125,'Inventory Master'!$A$3:$L$300,5,FALSE),0)</f>
      </c>
      <c r="F1125" s="10">
        <f>D1125*E1125</f>
      </c>
      <c r="G1125" s="8"/>
    </row>
    <row r="1126" ht="21" customHeight="1" spans="1:7" x14ac:dyDescent="0.25">
      <c r="A1126" s="8"/>
      <c r="B1126" s="8"/>
      <c r="C1126" s="8"/>
      <c r="D1126" s="8"/>
      <c r="E1126" s="10">
        <f>IFERROR(VLOOKUP(C1126,'Inventory Master'!$A$3:$L$300,5,FALSE),0)</f>
      </c>
      <c r="F1126" s="10">
        <f>D1126*E1126</f>
      </c>
      <c r="G1126" s="8"/>
    </row>
    <row r="1127" ht="21" customHeight="1" spans="1:7" x14ac:dyDescent="0.25">
      <c r="A1127" s="8"/>
      <c r="B1127" s="8"/>
      <c r="C1127" s="8"/>
      <c r="D1127" s="8"/>
      <c r="E1127" s="10">
        <f>IFERROR(VLOOKUP(C1127,'Inventory Master'!$A$3:$L$300,5,FALSE),0)</f>
      </c>
      <c r="F1127" s="10">
        <f>D1127*E1127</f>
      </c>
      <c r="G1127" s="8"/>
    </row>
    <row r="1128" ht="21" customHeight="1" spans="1:7" x14ac:dyDescent="0.25">
      <c r="A1128" s="8"/>
      <c r="B1128" s="8"/>
      <c r="C1128" s="8"/>
      <c r="D1128" s="8"/>
      <c r="E1128" s="10">
        <f>IFERROR(VLOOKUP(C1128,'Inventory Master'!$A$3:$L$300,5,FALSE),0)</f>
      </c>
      <c r="F1128" s="10">
        <f>D1128*E1128</f>
      </c>
      <c r="G1128" s="8"/>
    </row>
    <row r="1129" ht="21" customHeight="1" spans="1:7" x14ac:dyDescent="0.25">
      <c r="A1129" s="8"/>
      <c r="B1129" s="8"/>
      <c r="C1129" s="8"/>
      <c r="D1129" s="8"/>
      <c r="E1129" s="10">
        <f>IFERROR(VLOOKUP(C1129,'Inventory Master'!$A$3:$L$300,5,FALSE),0)</f>
      </c>
      <c r="F1129" s="10">
        <f>D1129*E1129</f>
      </c>
      <c r="G1129" s="8"/>
    </row>
    <row r="1130" ht="21" customHeight="1" spans="1:7" x14ac:dyDescent="0.25">
      <c r="A1130" s="8"/>
      <c r="B1130" s="8"/>
      <c r="C1130" s="8"/>
      <c r="D1130" s="8"/>
      <c r="E1130" s="10">
        <f>IFERROR(VLOOKUP(C1130,'Inventory Master'!$A$3:$L$300,5,FALSE),0)</f>
      </c>
      <c r="F1130" s="10">
        <f>D1130*E1130</f>
      </c>
      <c r="G1130" s="8"/>
    </row>
    <row r="1131" ht="21" customHeight="1" spans="1:7" x14ac:dyDescent="0.25">
      <c r="A1131" s="8"/>
      <c r="B1131" s="8"/>
      <c r="C1131" s="8"/>
      <c r="D1131" s="8"/>
      <c r="E1131" s="10">
        <f>IFERROR(VLOOKUP(C1131,'Inventory Master'!$A$3:$L$300,5,FALSE),0)</f>
      </c>
      <c r="F1131" s="10">
        <f>D1131*E1131</f>
      </c>
      <c r="G1131" s="8"/>
    </row>
    <row r="1132" ht="21" customHeight="1" spans="1:7" x14ac:dyDescent="0.25">
      <c r="A1132" s="8"/>
      <c r="B1132" s="8"/>
      <c r="C1132" s="8"/>
      <c r="D1132" s="8"/>
      <c r="E1132" s="10">
        <f>IFERROR(VLOOKUP(C1132,'Inventory Master'!$A$3:$L$300,5,FALSE),0)</f>
      </c>
      <c r="F1132" s="10">
        <f>D1132*E1132</f>
      </c>
      <c r="G1132" s="8"/>
    </row>
    <row r="1133" ht="21" customHeight="1" spans="1:7" x14ac:dyDescent="0.25">
      <c r="A1133" s="8"/>
      <c r="B1133" s="8"/>
      <c r="C1133" s="8"/>
      <c r="D1133" s="8"/>
      <c r="E1133" s="10">
        <f>IFERROR(VLOOKUP(C1133,'Inventory Master'!$A$3:$L$300,5,FALSE),0)</f>
      </c>
      <c r="F1133" s="10">
        <f>D1133*E1133</f>
      </c>
      <c r="G1133" s="8"/>
    </row>
    <row r="1134" ht="21" customHeight="1" spans="1:7" x14ac:dyDescent="0.25">
      <c r="A1134" s="8"/>
      <c r="B1134" s="8"/>
      <c r="C1134" s="8"/>
      <c r="D1134" s="8"/>
      <c r="E1134" s="10">
        <f>IFERROR(VLOOKUP(C1134,'Inventory Master'!$A$3:$L$300,5,FALSE),0)</f>
      </c>
      <c r="F1134" s="10">
        <f>D1134*E1134</f>
      </c>
      <c r="G1134" s="8"/>
    </row>
    <row r="1135" ht="21" customHeight="1" spans="1:7" x14ac:dyDescent="0.25">
      <c r="A1135" s="8"/>
      <c r="B1135" s="8"/>
      <c r="C1135" s="8"/>
      <c r="D1135" s="8"/>
      <c r="E1135" s="10">
        <f>IFERROR(VLOOKUP(C1135,'Inventory Master'!$A$3:$L$300,5,FALSE),0)</f>
      </c>
      <c r="F1135" s="10">
        <f>D1135*E1135</f>
      </c>
      <c r="G1135" s="8"/>
    </row>
    <row r="1136" ht="21" customHeight="1" spans="1:7" x14ac:dyDescent="0.25">
      <c r="A1136" s="8"/>
      <c r="B1136" s="8"/>
      <c r="C1136" s="8"/>
      <c r="D1136" s="8"/>
      <c r="E1136" s="10">
        <f>IFERROR(VLOOKUP(C1136,'Inventory Master'!$A$3:$L$300,5,FALSE),0)</f>
      </c>
      <c r="F1136" s="10">
        <f>D1136*E1136</f>
      </c>
      <c r="G1136" s="8"/>
    </row>
    <row r="1137" ht="21" customHeight="1" spans="1:7" x14ac:dyDescent="0.25">
      <c r="A1137" s="8"/>
      <c r="B1137" s="8"/>
      <c r="C1137" s="8"/>
      <c r="D1137" s="8"/>
      <c r="E1137" s="10">
        <f>IFERROR(VLOOKUP(C1137,'Inventory Master'!$A$3:$L$300,5,FALSE),0)</f>
      </c>
      <c r="F1137" s="10">
        <f>D1137*E1137</f>
      </c>
      <c r="G1137" s="8"/>
    </row>
    <row r="1138" ht="21" customHeight="1" spans="1:7" x14ac:dyDescent="0.25">
      <c r="A1138" s="8"/>
      <c r="B1138" s="8"/>
      <c r="C1138" s="8"/>
      <c r="D1138" s="8"/>
      <c r="E1138" s="10">
        <f>IFERROR(VLOOKUP(C1138,'Inventory Master'!$A$3:$L$300,5,FALSE),0)</f>
      </c>
      <c r="F1138" s="10">
        <f>D1138*E1138</f>
      </c>
      <c r="G1138" s="8"/>
    </row>
    <row r="1139" ht="21" customHeight="1" spans="1:7" x14ac:dyDescent="0.25">
      <c r="A1139" s="8"/>
      <c r="B1139" s="8"/>
      <c r="C1139" s="8"/>
      <c r="D1139" s="8"/>
      <c r="E1139" s="10">
        <f>IFERROR(VLOOKUP(C1139,'Inventory Master'!$A$3:$L$300,5,FALSE),0)</f>
      </c>
      <c r="F1139" s="10">
        <f>D1139*E1139</f>
      </c>
      <c r="G1139" s="8"/>
    </row>
    <row r="1140" ht="21" customHeight="1" spans="1:7" x14ac:dyDescent="0.25">
      <c r="A1140" s="8"/>
      <c r="B1140" s="8"/>
      <c r="C1140" s="8"/>
      <c r="D1140" s="8"/>
      <c r="E1140" s="10">
        <f>IFERROR(VLOOKUP(C1140,'Inventory Master'!$A$3:$L$300,5,FALSE),0)</f>
      </c>
      <c r="F1140" s="10">
        <f>D1140*E1140</f>
      </c>
      <c r="G1140" s="8"/>
    </row>
    <row r="1141" ht="21" customHeight="1" spans="1:7" x14ac:dyDescent="0.25">
      <c r="A1141" s="8"/>
      <c r="B1141" s="8"/>
      <c r="C1141" s="8"/>
      <c r="D1141" s="8"/>
      <c r="E1141" s="10">
        <f>IFERROR(VLOOKUP(C1141,'Inventory Master'!$A$3:$L$300,5,FALSE),0)</f>
      </c>
      <c r="F1141" s="10">
        <f>D1141*E1141</f>
      </c>
      <c r="G1141" s="8"/>
    </row>
    <row r="1142" ht="21" customHeight="1" spans="1:7" x14ac:dyDescent="0.25">
      <c r="A1142" s="8"/>
      <c r="B1142" s="8"/>
      <c r="C1142" s="8"/>
      <c r="D1142" s="8"/>
      <c r="E1142" s="10">
        <f>IFERROR(VLOOKUP(C1142,'Inventory Master'!$A$3:$L$300,5,FALSE),0)</f>
      </c>
      <c r="F1142" s="10">
        <f>D1142*E1142</f>
      </c>
      <c r="G1142" s="8"/>
    </row>
    <row r="1143" ht="21" customHeight="1" spans="1:7" x14ac:dyDescent="0.25">
      <c r="A1143" s="8"/>
      <c r="B1143" s="8"/>
      <c r="C1143" s="8"/>
      <c r="D1143" s="8"/>
      <c r="E1143" s="10">
        <f>IFERROR(VLOOKUP(C1143,'Inventory Master'!$A$3:$L$300,5,FALSE),0)</f>
      </c>
      <c r="F1143" s="10">
        <f>D1143*E1143</f>
      </c>
      <c r="G1143" s="8"/>
    </row>
    <row r="1144" ht="21" customHeight="1" spans="1:7" x14ac:dyDescent="0.25">
      <c r="A1144" s="8"/>
      <c r="B1144" s="8"/>
      <c r="C1144" s="8"/>
      <c r="D1144" s="8"/>
      <c r="E1144" s="10">
        <f>IFERROR(VLOOKUP(C1144,'Inventory Master'!$A$3:$L$300,5,FALSE),0)</f>
      </c>
      <c r="F1144" s="10">
        <f>D1144*E1144</f>
      </c>
      <c r="G1144" s="8"/>
    </row>
    <row r="1145" ht="21" customHeight="1" spans="1:7" x14ac:dyDescent="0.25">
      <c r="A1145" s="8"/>
      <c r="B1145" s="8"/>
      <c r="C1145" s="8"/>
      <c r="D1145" s="8"/>
      <c r="E1145" s="10">
        <f>IFERROR(VLOOKUP(C1145,'Inventory Master'!$A$3:$L$300,5,FALSE),0)</f>
      </c>
      <c r="F1145" s="10">
        <f>D1145*E1145</f>
      </c>
      <c r="G1145" s="8"/>
    </row>
    <row r="1146" ht="21" customHeight="1" spans="1:7" x14ac:dyDescent="0.25">
      <c r="A1146" s="8"/>
      <c r="B1146" s="8"/>
      <c r="C1146" s="8"/>
      <c r="D1146" s="8"/>
      <c r="E1146" s="10">
        <f>IFERROR(VLOOKUP(C1146,'Inventory Master'!$A$3:$L$300,5,FALSE),0)</f>
      </c>
      <c r="F1146" s="10">
        <f>D1146*E1146</f>
      </c>
      <c r="G1146" s="8"/>
    </row>
    <row r="1147" ht="21" customHeight="1" spans="1:7" x14ac:dyDescent="0.25">
      <c r="A1147" s="8"/>
      <c r="B1147" s="8"/>
      <c r="C1147" s="8"/>
      <c r="D1147" s="8"/>
      <c r="E1147" s="10">
        <f>IFERROR(VLOOKUP(C1147,'Inventory Master'!$A$3:$L$300,5,FALSE),0)</f>
      </c>
      <c r="F1147" s="10">
        <f>D1147*E1147</f>
      </c>
      <c r="G1147" s="8"/>
    </row>
    <row r="1148" ht="21" customHeight="1" spans="1:7" x14ac:dyDescent="0.25">
      <c r="A1148" s="8"/>
      <c r="B1148" s="8"/>
      <c r="C1148" s="8"/>
      <c r="D1148" s="8"/>
      <c r="E1148" s="10">
        <f>IFERROR(VLOOKUP(C1148,'Inventory Master'!$A$3:$L$300,5,FALSE),0)</f>
      </c>
      <c r="F1148" s="10">
        <f>D1148*E1148</f>
      </c>
      <c r="G1148" s="8"/>
    </row>
    <row r="1149" ht="21" customHeight="1" spans="1:7" x14ac:dyDescent="0.25">
      <c r="A1149" s="8"/>
      <c r="B1149" s="8"/>
      <c r="C1149" s="8"/>
      <c r="D1149" s="8"/>
      <c r="E1149" s="10">
        <f>IFERROR(VLOOKUP(C1149,'Inventory Master'!$A$3:$L$300,5,FALSE),0)</f>
      </c>
      <c r="F1149" s="10">
        <f>D1149*E1149</f>
      </c>
      <c r="G1149" s="8"/>
    </row>
    <row r="1150" ht="21" customHeight="1" spans="1:7" x14ac:dyDescent="0.25">
      <c r="A1150" s="8"/>
      <c r="B1150" s="8"/>
      <c r="C1150" s="8"/>
      <c r="D1150" s="8"/>
      <c r="E1150" s="10">
        <f>IFERROR(VLOOKUP(C1150,'Inventory Master'!$A$3:$L$300,5,FALSE),0)</f>
      </c>
      <c r="F1150" s="10">
        <f>D1150*E1150</f>
      </c>
      <c r="G1150" s="8"/>
    </row>
    <row r="1151" ht="21" customHeight="1" spans="1:7" x14ac:dyDescent="0.25">
      <c r="A1151" s="8"/>
      <c r="B1151" s="8"/>
      <c r="C1151" s="8"/>
      <c r="D1151" s="8"/>
      <c r="E1151" s="10">
        <f>IFERROR(VLOOKUP(C1151,'Inventory Master'!$A$3:$L$300,5,FALSE),0)</f>
      </c>
      <c r="F1151" s="10">
        <f>D1151*E1151</f>
      </c>
      <c r="G1151" s="8"/>
    </row>
    <row r="1152" ht="21" customHeight="1" spans="1:7" x14ac:dyDescent="0.25">
      <c r="A1152" s="8"/>
      <c r="B1152" s="8"/>
      <c r="C1152" s="8"/>
      <c r="D1152" s="8"/>
      <c r="E1152" s="10">
        <f>IFERROR(VLOOKUP(C1152,'Inventory Master'!$A$3:$L$300,5,FALSE),0)</f>
      </c>
      <c r="F1152" s="10">
        <f>D1152*E1152</f>
      </c>
      <c r="G1152" s="8"/>
    </row>
    <row r="1153" ht="21" customHeight="1" spans="1:7" x14ac:dyDescent="0.25">
      <c r="A1153" s="8"/>
      <c r="B1153" s="8"/>
      <c r="C1153" s="8"/>
      <c r="D1153" s="8"/>
      <c r="E1153" s="10">
        <f>IFERROR(VLOOKUP(C1153,'Inventory Master'!$A$3:$L$300,5,FALSE),0)</f>
      </c>
      <c r="F1153" s="10">
        <f>D1153*E1153</f>
      </c>
      <c r="G1153" s="8"/>
    </row>
    <row r="1154" ht="21" customHeight="1" spans="1:7" x14ac:dyDescent="0.25">
      <c r="A1154" s="8"/>
      <c r="B1154" s="8"/>
      <c r="C1154" s="8"/>
      <c r="D1154" s="8"/>
      <c r="E1154" s="10">
        <f>IFERROR(VLOOKUP(C1154,'Inventory Master'!$A$3:$L$300,5,FALSE),0)</f>
      </c>
      <c r="F1154" s="10">
        <f>D1154*E1154</f>
      </c>
      <c r="G1154" s="8"/>
    </row>
    <row r="1155" ht="21" customHeight="1" spans="1:7" x14ac:dyDescent="0.25">
      <c r="A1155" s="8"/>
      <c r="B1155" s="8"/>
      <c r="C1155" s="8"/>
      <c r="D1155" s="8"/>
      <c r="E1155" s="10">
        <f>IFERROR(VLOOKUP(C1155,'Inventory Master'!$A$3:$L$300,5,FALSE),0)</f>
      </c>
      <c r="F1155" s="10">
        <f>D1155*E1155</f>
      </c>
      <c r="G1155" s="8"/>
    </row>
    <row r="1156" ht="21" customHeight="1" spans="1:7" x14ac:dyDescent="0.25">
      <c r="A1156" s="8"/>
      <c r="B1156" s="8"/>
      <c r="C1156" s="8"/>
      <c r="D1156" s="8"/>
      <c r="E1156" s="10">
        <f>IFERROR(VLOOKUP(C1156,'Inventory Master'!$A$3:$L$300,5,FALSE),0)</f>
      </c>
      <c r="F1156" s="10">
        <f>D1156*E1156</f>
      </c>
      <c r="G1156" s="8"/>
    </row>
    <row r="1157" ht="21" customHeight="1" spans="1:7" x14ac:dyDescent="0.25">
      <c r="A1157" s="8"/>
      <c r="B1157" s="8"/>
      <c r="C1157" s="8"/>
      <c r="D1157" s="8"/>
      <c r="E1157" s="10">
        <f>IFERROR(VLOOKUP(C1157,'Inventory Master'!$A$3:$L$300,5,FALSE),0)</f>
      </c>
      <c r="F1157" s="10">
        <f>D1157*E1157</f>
      </c>
      <c r="G1157" s="8"/>
    </row>
    <row r="1158" ht="21" customHeight="1" spans="1:7" x14ac:dyDescent="0.25">
      <c r="A1158" s="8"/>
      <c r="B1158" s="8"/>
      <c r="C1158" s="8"/>
      <c r="D1158" s="8"/>
      <c r="E1158" s="10">
        <f>IFERROR(VLOOKUP(C1158,'Inventory Master'!$A$3:$L$300,5,FALSE),0)</f>
      </c>
      <c r="F1158" s="10">
        <f>D1158*E1158</f>
      </c>
      <c r="G1158" s="8"/>
    </row>
    <row r="1159" ht="21" customHeight="1" spans="1:7" x14ac:dyDescent="0.25">
      <c r="A1159" s="8"/>
      <c r="B1159" s="8"/>
      <c r="C1159" s="8"/>
      <c r="D1159" s="8"/>
      <c r="E1159" s="10">
        <f>IFERROR(VLOOKUP(C1159,'Inventory Master'!$A$3:$L$300,5,FALSE),0)</f>
      </c>
      <c r="F1159" s="10">
        <f>D1159*E1159</f>
      </c>
      <c r="G1159" s="8"/>
    </row>
    <row r="1160" ht="21" customHeight="1" spans="1:7" x14ac:dyDescent="0.25">
      <c r="A1160" s="8"/>
      <c r="B1160" s="8"/>
      <c r="C1160" s="8"/>
      <c r="D1160" s="8"/>
      <c r="E1160" s="10">
        <f>IFERROR(VLOOKUP(C1160,'Inventory Master'!$A$3:$L$300,5,FALSE),0)</f>
      </c>
      <c r="F1160" s="10">
        <f>D1160*E1160</f>
      </c>
      <c r="G1160" s="8"/>
    </row>
    <row r="1161" ht="21" customHeight="1" spans="1:7" x14ac:dyDescent="0.25">
      <c r="A1161" s="8"/>
      <c r="B1161" s="8"/>
      <c r="C1161" s="8"/>
      <c r="D1161" s="8"/>
      <c r="E1161" s="10">
        <f>IFERROR(VLOOKUP(C1161,'Inventory Master'!$A$3:$L$300,5,FALSE),0)</f>
      </c>
      <c r="F1161" s="10">
        <f>D1161*E1161</f>
      </c>
      <c r="G1161" s="8"/>
    </row>
    <row r="1162" ht="21" customHeight="1" spans="1:7" x14ac:dyDescent="0.25">
      <c r="A1162" s="8"/>
      <c r="B1162" s="8"/>
      <c r="C1162" s="8"/>
      <c r="D1162" s="8"/>
      <c r="E1162" s="10">
        <f>IFERROR(VLOOKUP(C1162,'Inventory Master'!$A$3:$L$300,5,FALSE),0)</f>
      </c>
      <c r="F1162" s="10">
        <f>D1162*E1162</f>
      </c>
      <c r="G1162" s="8"/>
    </row>
    <row r="1163" ht="21" customHeight="1" spans="1:7" x14ac:dyDescent="0.25">
      <c r="A1163" s="8"/>
      <c r="B1163" s="8"/>
      <c r="C1163" s="8"/>
      <c r="D1163" s="8"/>
      <c r="E1163" s="10">
        <f>IFERROR(VLOOKUP(C1163,'Inventory Master'!$A$3:$L$300,5,FALSE),0)</f>
      </c>
      <c r="F1163" s="10">
        <f>D1163*E1163</f>
      </c>
      <c r="G1163" s="8"/>
    </row>
    <row r="1164" ht="21" customHeight="1" spans="1:7" x14ac:dyDescent="0.25">
      <c r="A1164" s="8"/>
      <c r="B1164" s="8"/>
      <c r="C1164" s="8"/>
      <c r="D1164" s="8"/>
      <c r="E1164" s="10">
        <f>IFERROR(VLOOKUP(C1164,'Inventory Master'!$A$3:$L$300,5,FALSE),0)</f>
      </c>
      <c r="F1164" s="10">
        <f>D1164*E1164</f>
      </c>
      <c r="G1164" s="8"/>
    </row>
    <row r="1165" ht="21" customHeight="1" spans="1:7" x14ac:dyDescent="0.25">
      <c r="A1165" s="8"/>
      <c r="B1165" s="8"/>
      <c r="C1165" s="8"/>
      <c r="D1165" s="8"/>
      <c r="E1165" s="10">
        <f>IFERROR(VLOOKUP(C1165,'Inventory Master'!$A$3:$L$300,5,FALSE),0)</f>
      </c>
      <c r="F1165" s="10">
        <f>D1165*E1165</f>
      </c>
      <c r="G1165" s="8"/>
    </row>
    <row r="1166" ht="21" customHeight="1" spans="1:7" x14ac:dyDescent="0.25">
      <c r="A1166" s="8"/>
      <c r="B1166" s="8"/>
      <c r="C1166" s="8"/>
      <c r="D1166" s="8"/>
      <c r="E1166" s="10">
        <f>IFERROR(VLOOKUP(C1166,'Inventory Master'!$A$3:$L$300,5,FALSE),0)</f>
      </c>
      <c r="F1166" s="10">
        <f>D1166*E1166</f>
      </c>
      <c r="G1166" s="8"/>
    </row>
    <row r="1167" ht="21" customHeight="1" spans="1:7" x14ac:dyDescent="0.25">
      <c r="A1167" s="8"/>
      <c r="B1167" s="8"/>
      <c r="C1167" s="8"/>
      <c r="D1167" s="8"/>
      <c r="E1167" s="10">
        <f>IFERROR(VLOOKUP(C1167,'Inventory Master'!$A$3:$L$300,5,FALSE),0)</f>
      </c>
      <c r="F1167" s="10">
        <f>D1167*E1167</f>
      </c>
      <c r="G1167" s="8"/>
    </row>
    <row r="1168" ht="21" customHeight="1" spans="1:7" x14ac:dyDescent="0.25">
      <c r="A1168" s="8"/>
      <c r="B1168" s="8"/>
      <c r="C1168" s="8"/>
      <c r="D1168" s="8"/>
      <c r="E1168" s="10">
        <f>IFERROR(VLOOKUP(C1168,'Inventory Master'!$A$3:$L$300,5,FALSE),0)</f>
      </c>
      <c r="F1168" s="10">
        <f>D1168*E1168</f>
      </c>
      <c r="G1168" s="8"/>
    </row>
    <row r="1169" ht="21" customHeight="1" spans="1:7" x14ac:dyDescent="0.25">
      <c r="A1169" s="8"/>
      <c r="B1169" s="8"/>
      <c r="C1169" s="8"/>
      <c r="D1169" s="8"/>
      <c r="E1169" s="10">
        <f>IFERROR(VLOOKUP(C1169,'Inventory Master'!$A$3:$L$300,5,FALSE),0)</f>
      </c>
      <c r="F1169" s="10">
        <f>D1169*E1169</f>
      </c>
      <c r="G1169" s="8"/>
    </row>
    <row r="1170" ht="21" customHeight="1" spans="1:7" x14ac:dyDescent="0.25">
      <c r="A1170" s="8"/>
      <c r="B1170" s="8"/>
      <c r="C1170" s="8"/>
      <c r="D1170" s="8"/>
      <c r="E1170" s="10">
        <f>IFERROR(VLOOKUP(C1170,'Inventory Master'!$A$3:$L$300,5,FALSE),0)</f>
      </c>
      <c r="F1170" s="10">
        <f>D1170*E1170</f>
      </c>
      <c r="G1170" s="8"/>
    </row>
    <row r="1171" ht="21" customHeight="1" spans="1:7" x14ac:dyDescent="0.25">
      <c r="A1171" s="8"/>
      <c r="B1171" s="8"/>
      <c r="C1171" s="8"/>
      <c r="D1171" s="8"/>
      <c r="E1171" s="10">
        <f>IFERROR(VLOOKUP(C1171,'Inventory Master'!$A$3:$L$300,5,FALSE),0)</f>
      </c>
      <c r="F1171" s="10">
        <f>D1171*E1171</f>
      </c>
      <c r="G1171" s="8"/>
    </row>
    <row r="1172" ht="21" customHeight="1" spans="1:7" x14ac:dyDescent="0.25">
      <c r="A1172" s="8"/>
      <c r="B1172" s="8"/>
      <c r="C1172" s="8"/>
      <c r="D1172" s="8"/>
      <c r="E1172" s="10">
        <f>IFERROR(VLOOKUP(C1172,'Inventory Master'!$A$3:$L$300,5,FALSE),0)</f>
      </c>
      <c r="F1172" s="10">
        <f>D1172*E1172</f>
      </c>
      <c r="G1172" s="8"/>
    </row>
    <row r="1173" ht="21" customHeight="1" spans="1:7" x14ac:dyDescent="0.25">
      <c r="A1173" s="8"/>
      <c r="B1173" s="8"/>
      <c r="C1173" s="8"/>
      <c r="D1173" s="8"/>
      <c r="E1173" s="10">
        <f>IFERROR(VLOOKUP(C1173,'Inventory Master'!$A$3:$L$300,5,FALSE),0)</f>
      </c>
      <c r="F1173" s="10">
        <f>D1173*E1173</f>
      </c>
      <c r="G1173" s="8"/>
    </row>
    <row r="1174" ht="21" customHeight="1" spans="1:7" x14ac:dyDescent="0.25">
      <c r="A1174" s="8"/>
      <c r="B1174" s="8"/>
      <c r="C1174" s="8"/>
      <c r="D1174" s="8"/>
      <c r="E1174" s="10">
        <f>IFERROR(VLOOKUP(C1174,'Inventory Master'!$A$3:$L$300,5,FALSE),0)</f>
      </c>
      <c r="F1174" s="10">
        <f>D1174*E1174</f>
      </c>
      <c r="G1174" s="8"/>
    </row>
    <row r="1175" ht="21" customHeight="1" spans="1:7" x14ac:dyDescent="0.25">
      <c r="A1175" s="8"/>
      <c r="B1175" s="8"/>
      <c r="C1175" s="8"/>
      <c r="D1175" s="8"/>
      <c r="E1175" s="10">
        <f>IFERROR(VLOOKUP(C1175,'Inventory Master'!$A$3:$L$300,5,FALSE),0)</f>
      </c>
      <c r="F1175" s="10">
        <f>D1175*E1175</f>
      </c>
      <c r="G1175" s="8"/>
    </row>
    <row r="1176" ht="21" customHeight="1" spans="1:7" x14ac:dyDescent="0.25">
      <c r="A1176" s="8"/>
      <c r="B1176" s="8"/>
      <c r="C1176" s="8"/>
      <c r="D1176" s="8"/>
      <c r="E1176" s="10">
        <f>IFERROR(VLOOKUP(C1176,'Inventory Master'!$A$3:$L$300,5,FALSE),0)</f>
      </c>
      <c r="F1176" s="10">
        <f>D1176*E1176</f>
      </c>
      <c r="G1176" s="8"/>
    </row>
    <row r="1177" ht="21" customHeight="1" spans="1:7" x14ac:dyDescent="0.25">
      <c r="A1177" s="8"/>
      <c r="B1177" s="8"/>
      <c r="C1177" s="8"/>
      <c r="D1177" s="8"/>
      <c r="E1177" s="10">
        <f>IFERROR(VLOOKUP(C1177,'Inventory Master'!$A$3:$L$300,5,FALSE),0)</f>
      </c>
      <c r="F1177" s="10">
        <f>D1177*E1177</f>
      </c>
      <c r="G1177" s="8"/>
    </row>
    <row r="1178" ht="21" customHeight="1" spans="1:7" x14ac:dyDescent="0.25">
      <c r="A1178" s="8"/>
      <c r="B1178" s="8"/>
      <c r="C1178" s="8"/>
      <c r="D1178" s="8"/>
      <c r="E1178" s="10">
        <f>IFERROR(VLOOKUP(C1178,'Inventory Master'!$A$3:$L$300,5,FALSE),0)</f>
      </c>
      <c r="F1178" s="10">
        <f>D1178*E1178</f>
      </c>
      <c r="G1178" s="8"/>
    </row>
    <row r="1179" ht="21" customHeight="1" spans="1:7" x14ac:dyDescent="0.25">
      <c r="A1179" s="8"/>
      <c r="B1179" s="8"/>
      <c r="C1179" s="8"/>
      <c r="D1179" s="8"/>
      <c r="E1179" s="10">
        <f>IFERROR(VLOOKUP(C1179,'Inventory Master'!$A$3:$L$300,5,FALSE),0)</f>
      </c>
      <c r="F1179" s="10">
        <f>D1179*E1179</f>
      </c>
      <c r="G1179" s="8"/>
    </row>
    <row r="1180" ht="21" customHeight="1" spans="1:7" x14ac:dyDescent="0.25">
      <c r="A1180" s="8"/>
      <c r="B1180" s="8"/>
      <c r="C1180" s="8"/>
      <c r="D1180" s="8"/>
      <c r="E1180" s="10">
        <f>IFERROR(VLOOKUP(C1180,'Inventory Master'!$A$3:$L$300,5,FALSE),0)</f>
      </c>
      <c r="F1180" s="10">
        <f>D1180*E1180</f>
      </c>
      <c r="G1180" s="8"/>
    </row>
    <row r="1181" ht="21" customHeight="1" spans="1:7" x14ac:dyDescent="0.25">
      <c r="A1181" s="8"/>
      <c r="B1181" s="8"/>
      <c r="C1181" s="8"/>
      <c r="D1181" s="8"/>
      <c r="E1181" s="10">
        <f>IFERROR(VLOOKUP(C1181,'Inventory Master'!$A$3:$L$300,5,FALSE),0)</f>
      </c>
      <c r="F1181" s="10">
        <f>D1181*E1181</f>
      </c>
      <c r="G1181" s="8"/>
    </row>
    <row r="1182" ht="21" customHeight="1" spans="1:7" x14ac:dyDescent="0.25">
      <c r="A1182" s="8"/>
      <c r="B1182" s="8"/>
      <c r="C1182" s="8"/>
      <c r="D1182" s="8"/>
      <c r="E1182" s="10">
        <f>IFERROR(VLOOKUP(C1182,'Inventory Master'!$A$3:$L$300,5,FALSE),0)</f>
      </c>
      <c r="F1182" s="10">
        <f>D1182*E1182</f>
      </c>
      <c r="G1182" s="8"/>
    </row>
    <row r="1183" ht="21" customHeight="1" spans="1:7" x14ac:dyDescent="0.25">
      <c r="A1183" s="8"/>
      <c r="B1183" s="8"/>
      <c r="C1183" s="8"/>
      <c r="D1183" s="8"/>
      <c r="E1183" s="10">
        <f>IFERROR(VLOOKUP(C1183,'Inventory Master'!$A$3:$L$300,5,FALSE),0)</f>
      </c>
      <c r="F1183" s="10">
        <f>D1183*E1183</f>
      </c>
      <c r="G1183" s="8"/>
    </row>
    <row r="1184" ht="21" customHeight="1" spans="1:7" x14ac:dyDescent="0.25">
      <c r="A1184" s="8"/>
      <c r="B1184" s="8"/>
      <c r="C1184" s="8"/>
      <c r="D1184" s="8"/>
      <c r="E1184" s="10">
        <f>IFERROR(VLOOKUP(C1184,'Inventory Master'!$A$3:$L$300,5,FALSE),0)</f>
      </c>
      <c r="F1184" s="10">
        <f>D1184*E1184</f>
      </c>
      <c r="G1184" s="8"/>
    </row>
    <row r="1185" ht="21" customHeight="1" spans="1:7" x14ac:dyDescent="0.25">
      <c r="A1185" s="8"/>
      <c r="B1185" s="8"/>
      <c r="C1185" s="8"/>
      <c r="D1185" s="8"/>
      <c r="E1185" s="10">
        <f>IFERROR(VLOOKUP(C1185,'Inventory Master'!$A$3:$L$300,5,FALSE),0)</f>
      </c>
      <c r="F1185" s="10">
        <f>D1185*E1185</f>
      </c>
      <c r="G1185" s="8"/>
    </row>
    <row r="1186" ht="21" customHeight="1" spans="1:7" x14ac:dyDescent="0.25">
      <c r="A1186" s="8"/>
      <c r="B1186" s="8"/>
      <c r="C1186" s="8"/>
      <c r="D1186" s="8"/>
      <c r="E1186" s="10">
        <f>IFERROR(VLOOKUP(C1186,'Inventory Master'!$A$3:$L$300,5,FALSE),0)</f>
      </c>
      <c r="F1186" s="10">
        <f>D1186*E1186</f>
      </c>
      <c r="G1186" s="8"/>
    </row>
    <row r="1187" ht="21" customHeight="1" spans="1:7" x14ac:dyDescent="0.25">
      <c r="A1187" s="8"/>
      <c r="B1187" s="8"/>
      <c r="C1187" s="8"/>
      <c r="D1187" s="8"/>
      <c r="E1187" s="10">
        <f>IFERROR(VLOOKUP(C1187,'Inventory Master'!$A$3:$L$300,5,FALSE),0)</f>
      </c>
      <c r="F1187" s="10">
        <f>D1187*E1187</f>
      </c>
      <c r="G1187" s="8"/>
    </row>
    <row r="1188" ht="21" customHeight="1" spans="1:7" x14ac:dyDescent="0.25">
      <c r="A1188" s="8"/>
      <c r="B1188" s="8"/>
      <c r="C1188" s="8"/>
      <c r="D1188" s="8"/>
      <c r="E1188" s="10">
        <f>IFERROR(VLOOKUP(C1188,'Inventory Master'!$A$3:$L$300,5,FALSE),0)</f>
      </c>
      <c r="F1188" s="10">
        <f>D1188*E1188</f>
      </c>
      <c r="G1188" s="8"/>
    </row>
    <row r="1189" ht="21" customHeight="1" spans="1:7" x14ac:dyDescent="0.25">
      <c r="A1189" s="8"/>
      <c r="B1189" s="8"/>
      <c r="C1189" s="8"/>
      <c r="D1189" s="8"/>
      <c r="E1189" s="10">
        <f>IFERROR(VLOOKUP(C1189,'Inventory Master'!$A$3:$L$300,5,FALSE),0)</f>
      </c>
      <c r="F1189" s="10">
        <f>D1189*E1189</f>
      </c>
      <c r="G1189" s="8"/>
    </row>
    <row r="1190" ht="21" customHeight="1" spans="1:7" x14ac:dyDescent="0.25">
      <c r="A1190" s="8"/>
      <c r="B1190" s="8"/>
      <c r="C1190" s="8"/>
      <c r="D1190" s="8"/>
      <c r="E1190" s="10">
        <f>IFERROR(VLOOKUP(C1190,'Inventory Master'!$A$3:$L$300,5,FALSE),0)</f>
      </c>
      <c r="F1190" s="10">
        <f>D1190*E1190</f>
      </c>
      <c r="G1190" s="8"/>
    </row>
    <row r="1191" ht="21" customHeight="1" spans="1:7" x14ac:dyDescent="0.25">
      <c r="A1191" s="8"/>
      <c r="B1191" s="8"/>
      <c r="C1191" s="8"/>
      <c r="D1191" s="8"/>
      <c r="E1191" s="10">
        <f>IFERROR(VLOOKUP(C1191,'Inventory Master'!$A$3:$L$300,5,FALSE),0)</f>
      </c>
      <c r="F1191" s="10">
        <f>D1191*E1191</f>
      </c>
      <c r="G1191" s="8"/>
    </row>
    <row r="1192" ht="21" customHeight="1" spans="1:7" x14ac:dyDescent="0.25">
      <c r="A1192" s="8"/>
      <c r="B1192" s="8"/>
      <c r="C1192" s="8"/>
      <c r="D1192" s="8"/>
      <c r="E1192" s="10">
        <f>IFERROR(VLOOKUP(C1192,'Inventory Master'!$A$3:$L$300,5,FALSE),0)</f>
      </c>
      <c r="F1192" s="10">
        <f>D1192*E1192</f>
      </c>
      <c r="G1192" s="8"/>
    </row>
    <row r="1193" ht="21" customHeight="1" spans="1:7" x14ac:dyDescent="0.25">
      <c r="A1193" s="8"/>
      <c r="B1193" s="8"/>
      <c r="C1193" s="8"/>
      <c r="D1193" s="8"/>
      <c r="E1193" s="10">
        <f>IFERROR(VLOOKUP(C1193,'Inventory Master'!$A$3:$L$300,5,FALSE),0)</f>
      </c>
      <c r="F1193" s="10">
        <f>D1193*E1193</f>
      </c>
      <c r="G1193" s="8"/>
    </row>
    <row r="1194" ht="21" customHeight="1" spans="1:7" x14ac:dyDescent="0.25">
      <c r="A1194" s="8"/>
      <c r="B1194" s="8"/>
      <c r="C1194" s="8"/>
      <c r="D1194" s="8"/>
      <c r="E1194" s="10">
        <f>IFERROR(VLOOKUP(C1194,'Inventory Master'!$A$3:$L$300,5,FALSE),0)</f>
      </c>
      <c r="F1194" s="10">
        <f>D1194*E1194</f>
      </c>
      <c r="G1194" s="8"/>
    </row>
    <row r="1195" ht="21" customHeight="1" spans="1:7" x14ac:dyDescent="0.25">
      <c r="A1195" s="8"/>
      <c r="B1195" s="8"/>
      <c r="C1195" s="8"/>
      <c r="D1195" s="8"/>
      <c r="E1195" s="10">
        <f>IFERROR(VLOOKUP(C1195,'Inventory Master'!$A$3:$L$300,5,FALSE),0)</f>
      </c>
      <c r="F1195" s="10">
        <f>D1195*E1195</f>
      </c>
      <c r="G1195" s="8"/>
    </row>
    <row r="1196" ht="21" customHeight="1" spans="1:7" x14ac:dyDescent="0.25">
      <c r="A1196" s="8"/>
      <c r="B1196" s="8"/>
      <c r="C1196" s="8"/>
      <c r="D1196" s="8"/>
      <c r="E1196" s="10">
        <f>IFERROR(VLOOKUP(C1196,'Inventory Master'!$A$3:$L$300,5,FALSE),0)</f>
      </c>
      <c r="F1196" s="10">
        <f>D1196*E1196</f>
      </c>
      <c r="G1196" s="8"/>
    </row>
    <row r="1197" ht="21" customHeight="1" spans="1:7" x14ac:dyDescent="0.25">
      <c r="A1197" s="8"/>
      <c r="B1197" s="8"/>
      <c r="C1197" s="8"/>
      <c r="D1197" s="8"/>
      <c r="E1197" s="10">
        <f>IFERROR(VLOOKUP(C1197,'Inventory Master'!$A$3:$L$300,5,FALSE),0)</f>
      </c>
      <c r="F1197" s="10">
        <f>D1197*E1197</f>
      </c>
      <c r="G1197" s="8"/>
    </row>
    <row r="1198" ht="21" customHeight="1" spans="1:7" x14ac:dyDescent="0.25">
      <c r="A1198" s="8"/>
      <c r="B1198" s="8"/>
      <c r="C1198" s="8"/>
      <c r="D1198" s="8"/>
      <c r="E1198" s="10">
        <f>IFERROR(VLOOKUP(C1198,'Inventory Master'!$A$3:$L$300,5,FALSE),0)</f>
      </c>
      <c r="F1198" s="10">
        <f>D1198*E1198</f>
      </c>
      <c r="G1198" s="8"/>
    </row>
    <row r="1199" ht="21" customHeight="1" spans="1:7" x14ac:dyDescent="0.25">
      <c r="A1199" s="8"/>
      <c r="B1199" s="8"/>
      <c r="C1199" s="8"/>
      <c r="D1199" s="8"/>
      <c r="E1199" s="10">
        <f>IFERROR(VLOOKUP(C1199,'Inventory Master'!$A$3:$L$300,5,FALSE),0)</f>
      </c>
      <c r="F1199" s="10">
        <f>D1199*E1199</f>
      </c>
      <c r="G1199" s="8"/>
    </row>
    <row r="1200" ht="21" customHeight="1" spans="1:7" x14ac:dyDescent="0.25">
      <c r="A1200" s="8"/>
      <c r="B1200" s="8"/>
      <c r="C1200" s="8"/>
      <c r="D1200" s="8"/>
      <c r="E1200" s="10">
        <f>IFERROR(VLOOKUP(C1200,'Inventory Master'!$A$3:$L$300,5,FALSE),0)</f>
      </c>
      <c r="F1200" s="10">
        <f>D1200*E1200</f>
      </c>
      <c r="G1200" s="8"/>
    </row>
    <row r="1201" ht="21" customHeight="1" spans="1:7" x14ac:dyDescent="0.25">
      <c r="A1201" s="8"/>
      <c r="B1201" s="8"/>
      <c r="C1201" s="8"/>
      <c r="D1201" s="8"/>
      <c r="E1201" s="10">
        <f>IFERROR(VLOOKUP(C1201,'Inventory Master'!$A$3:$L$300,5,FALSE),0)</f>
      </c>
      <c r="F1201" s="10">
        <f>D1201*E1201</f>
      </c>
      <c r="G1201" s="8"/>
    </row>
    <row r="1202" ht="21" customHeight="1" spans="1:7" x14ac:dyDescent="0.25">
      <c r="A1202" s="8"/>
      <c r="B1202" s="8"/>
      <c r="C1202" s="8"/>
      <c r="D1202" s="8"/>
      <c r="E1202" s="10">
        <f>IFERROR(VLOOKUP(C1202,'Inventory Master'!$A$3:$L$300,5,FALSE),0)</f>
      </c>
      <c r="F1202" s="10">
        <f>D1202*E1202</f>
      </c>
      <c r="G1202" s="8"/>
    </row>
    <row r="1203" ht="21" customHeight="1" spans="1:7" x14ac:dyDescent="0.25">
      <c r="A1203" s="8"/>
      <c r="B1203" s="8"/>
      <c r="C1203" s="8"/>
      <c r="D1203" s="8"/>
      <c r="E1203" s="10">
        <f>IFERROR(VLOOKUP(C1203,'Inventory Master'!$A$3:$L$300,5,FALSE),0)</f>
      </c>
      <c r="F1203" s="10">
        <f>D1203*E1203</f>
      </c>
      <c r="G1203" s="8"/>
    </row>
    <row r="1204" ht="21" customHeight="1" spans="1:7" x14ac:dyDescent="0.25">
      <c r="A1204" s="8"/>
      <c r="B1204" s="8"/>
      <c r="C1204" s="8"/>
      <c r="D1204" s="8"/>
      <c r="E1204" s="10">
        <f>IFERROR(VLOOKUP(C1204,'Inventory Master'!$A$3:$L$300,5,FALSE),0)</f>
      </c>
      <c r="F1204" s="10">
        <f>D1204*E1204</f>
      </c>
      <c r="G1204" s="8"/>
    </row>
    <row r="1205" ht="21" customHeight="1" spans="1:7" x14ac:dyDescent="0.25">
      <c r="A1205" s="8"/>
      <c r="B1205" s="8"/>
      <c r="C1205" s="8"/>
      <c r="D1205" s="8"/>
      <c r="E1205" s="10">
        <f>IFERROR(VLOOKUP(C1205,'Inventory Master'!$A$3:$L$300,5,FALSE),0)</f>
      </c>
      <c r="F1205" s="10">
        <f>D1205*E1205</f>
      </c>
      <c r="G1205" s="8"/>
    </row>
    <row r="1206" ht="21" customHeight="1" spans="1:7" x14ac:dyDescent="0.25">
      <c r="A1206" s="8"/>
      <c r="B1206" s="8"/>
      <c r="C1206" s="8"/>
      <c r="D1206" s="8"/>
      <c r="E1206" s="10">
        <f>IFERROR(VLOOKUP(C1206,'Inventory Master'!$A$3:$L$300,5,FALSE),0)</f>
      </c>
      <c r="F1206" s="10">
        <f>D1206*E1206</f>
      </c>
      <c r="G1206" s="8"/>
    </row>
    <row r="1207" ht="21" customHeight="1" spans="1:7" x14ac:dyDescent="0.25">
      <c r="A1207" s="8"/>
      <c r="B1207" s="8"/>
      <c r="C1207" s="8"/>
      <c r="D1207" s="8"/>
      <c r="E1207" s="10">
        <f>IFERROR(VLOOKUP(C1207,'Inventory Master'!$A$3:$L$300,5,FALSE),0)</f>
      </c>
      <c r="F1207" s="10">
        <f>D1207*E1207</f>
      </c>
      <c r="G1207" s="8"/>
    </row>
    <row r="1208" ht="21" customHeight="1" spans="1:7" x14ac:dyDescent="0.25">
      <c r="A1208" s="8"/>
      <c r="B1208" s="8"/>
      <c r="C1208" s="8"/>
      <c r="D1208" s="8"/>
      <c r="E1208" s="10">
        <f>IFERROR(VLOOKUP(C1208,'Inventory Master'!$A$3:$L$300,5,FALSE),0)</f>
      </c>
      <c r="F1208" s="10">
        <f>D1208*E1208</f>
      </c>
      <c r="G1208" s="8"/>
    </row>
    <row r="1209" ht="21" customHeight="1" spans="1:7" x14ac:dyDescent="0.25">
      <c r="A1209" s="8"/>
      <c r="B1209" s="8"/>
      <c r="C1209" s="8"/>
      <c r="D1209" s="8"/>
      <c r="E1209" s="10">
        <f>IFERROR(VLOOKUP(C1209,'Inventory Master'!$A$3:$L$300,5,FALSE),0)</f>
      </c>
      <c r="F1209" s="10">
        <f>D1209*E1209</f>
      </c>
      <c r="G1209" s="8"/>
    </row>
    <row r="1210" ht="21" customHeight="1" spans="1:7" x14ac:dyDescent="0.25">
      <c r="A1210" s="8"/>
      <c r="B1210" s="8"/>
      <c r="C1210" s="8"/>
      <c r="D1210" s="8"/>
      <c r="E1210" s="10">
        <f>IFERROR(VLOOKUP(C1210,'Inventory Master'!$A$3:$L$300,5,FALSE),0)</f>
      </c>
      <c r="F1210" s="10">
        <f>D1210*E1210</f>
      </c>
      <c r="G1210" s="8"/>
    </row>
    <row r="1211" ht="21" customHeight="1" spans="1:7" x14ac:dyDescent="0.25">
      <c r="A1211" s="8"/>
      <c r="B1211" s="8"/>
      <c r="C1211" s="8"/>
      <c r="D1211" s="8"/>
      <c r="E1211" s="10">
        <f>IFERROR(VLOOKUP(C1211,'Inventory Master'!$A$3:$L$300,5,FALSE),0)</f>
      </c>
      <c r="F1211" s="10">
        <f>D1211*E1211</f>
      </c>
      <c r="G1211" s="8"/>
    </row>
    <row r="1212" ht="21" customHeight="1" spans="1:7" x14ac:dyDescent="0.25">
      <c r="A1212" s="8"/>
      <c r="B1212" s="8"/>
      <c r="C1212" s="8"/>
      <c r="D1212" s="8"/>
      <c r="E1212" s="10">
        <f>IFERROR(VLOOKUP(C1212,'Inventory Master'!$A$3:$L$300,5,FALSE),0)</f>
      </c>
      <c r="F1212" s="10">
        <f>D1212*E1212</f>
      </c>
      <c r="G1212" s="8"/>
    </row>
    <row r="1213" ht="21" customHeight="1" spans="1:7" x14ac:dyDescent="0.25">
      <c r="A1213" s="8"/>
      <c r="B1213" s="8"/>
      <c r="C1213" s="8"/>
      <c r="D1213" s="8"/>
      <c r="E1213" s="10">
        <f>IFERROR(VLOOKUP(C1213,'Inventory Master'!$A$3:$L$300,5,FALSE),0)</f>
      </c>
      <c r="F1213" s="10">
        <f>D1213*E1213</f>
      </c>
      <c r="G1213" s="8"/>
    </row>
    <row r="1214" ht="21" customHeight="1" spans="1:7" x14ac:dyDescent="0.25">
      <c r="A1214" s="8"/>
      <c r="B1214" s="8"/>
      <c r="C1214" s="8"/>
      <c r="D1214" s="8"/>
      <c r="E1214" s="10">
        <f>IFERROR(VLOOKUP(C1214,'Inventory Master'!$A$3:$L$300,5,FALSE),0)</f>
      </c>
      <c r="F1214" s="10">
        <f>D1214*E1214</f>
      </c>
      <c r="G1214" s="8"/>
    </row>
    <row r="1215" ht="21" customHeight="1" spans="1:7" x14ac:dyDescent="0.25">
      <c r="A1215" s="8"/>
      <c r="B1215" s="8"/>
      <c r="C1215" s="8"/>
      <c r="D1215" s="8"/>
      <c r="E1215" s="10">
        <f>IFERROR(VLOOKUP(C1215,'Inventory Master'!$A$3:$L$300,5,FALSE),0)</f>
      </c>
      <c r="F1215" s="10">
        <f>D1215*E1215</f>
      </c>
      <c r="G1215" s="8"/>
    </row>
    <row r="1216" ht="21" customHeight="1" spans="1:7" x14ac:dyDescent="0.25">
      <c r="A1216" s="8"/>
      <c r="B1216" s="8"/>
      <c r="C1216" s="8"/>
      <c r="D1216" s="8"/>
      <c r="E1216" s="10">
        <f>IFERROR(VLOOKUP(C1216,'Inventory Master'!$A$3:$L$300,5,FALSE),0)</f>
      </c>
      <c r="F1216" s="10">
        <f>D1216*E1216</f>
      </c>
      <c r="G1216" s="8"/>
    </row>
    <row r="1217" ht="21" customHeight="1" spans="1:7" x14ac:dyDescent="0.25">
      <c r="A1217" s="8"/>
      <c r="B1217" s="8"/>
      <c r="C1217" s="8"/>
      <c r="D1217" s="8"/>
      <c r="E1217" s="10">
        <f>IFERROR(VLOOKUP(C1217,'Inventory Master'!$A$3:$L$300,5,FALSE),0)</f>
      </c>
      <c r="F1217" s="10">
        <f>D1217*E1217</f>
      </c>
      <c r="G1217" s="8"/>
    </row>
    <row r="1218" ht="21" customHeight="1" spans="1:7" x14ac:dyDescent="0.25">
      <c r="A1218" s="8"/>
      <c r="B1218" s="8"/>
      <c r="C1218" s="8"/>
      <c r="D1218" s="8"/>
      <c r="E1218" s="10">
        <f>IFERROR(VLOOKUP(C1218,'Inventory Master'!$A$3:$L$300,5,FALSE),0)</f>
      </c>
      <c r="F1218" s="10">
        <f>D1218*E1218</f>
      </c>
      <c r="G1218" s="8"/>
    </row>
    <row r="1219" ht="21" customHeight="1" spans="1:7" x14ac:dyDescent="0.25">
      <c r="A1219" s="8"/>
      <c r="B1219" s="8"/>
      <c r="C1219" s="8"/>
      <c r="D1219" s="8"/>
      <c r="E1219" s="10">
        <f>IFERROR(VLOOKUP(C1219,'Inventory Master'!$A$3:$L$300,5,FALSE),0)</f>
      </c>
      <c r="F1219" s="10">
        <f>D1219*E1219</f>
      </c>
      <c r="G1219" s="8"/>
    </row>
    <row r="1220" ht="21" customHeight="1" spans="1:7" x14ac:dyDescent="0.25">
      <c r="A1220" s="8"/>
      <c r="B1220" s="8"/>
      <c r="C1220" s="8"/>
      <c r="D1220" s="8"/>
      <c r="E1220" s="10">
        <f>IFERROR(VLOOKUP(C1220,'Inventory Master'!$A$3:$L$300,5,FALSE),0)</f>
      </c>
      <c r="F1220" s="10">
        <f>D1220*E1220</f>
      </c>
      <c r="G1220" s="8"/>
    </row>
    <row r="1221" ht="21" customHeight="1" spans="1:7" x14ac:dyDescent="0.25">
      <c r="A1221" s="8"/>
      <c r="B1221" s="8"/>
      <c r="C1221" s="8"/>
      <c r="D1221" s="8"/>
      <c r="E1221" s="10">
        <f>IFERROR(VLOOKUP(C1221,'Inventory Master'!$A$3:$L$300,5,FALSE),0)</f>
      </c>
      <c r="F1221" s="10">
        <f>D1221*E1221</f>
      </c>
      <c r="G1221" s="8"/>
    </row>
    <row r="1222" ht="21" customHeight="1" spans="1:7" x14ac:dyDescent="0.25">
      <c r="A1222" s="8"/>
      <c r="B1222" s="8"/>
      <c r="C1222" s="8"/>
      <c r="D1222" s="8"/>
      <c r="E1222" s="10">
        <f>IFERROR(VLOOKUP(C1222,'Inventory Master'!$A$3:$L$300,5,FALSE),0)</f>
      </c>
      <c r="F1222" s="10">
        <f>D1222*E1222</f>
      </c>
      <c r="G1222" s="8"/>
    </row>
    <row r="1223" ht="21" customHeight="1" spans="1:7" x14ac:dyDescent="0.25">
      <c r="A1223" s="8"/>
      <c r="B1223" s="8"/>
      <c r="C1223" s="8"/>
      <c r="D1223" s="8"/>
      <c r="E1223" s="10">
        <f>IFERROR(VLOOKUP(C1223,'Inventory Master'!$A$3:$L$300,5,FALSE),0)</f>
      </c>
      <c r="F1223" s="10">
        <f>D1223*E1223</f>
      </c>
      <c r="G1223" s="8"/>
    </row>
    <row r="1224" ht="21" customHeight="1" spans="1:7" x14ac:dyDescent="0.25">
      <c r="A1224" s="8"/>
      <c r="B1224" s="8"/>
      <c r="C1224" s="8"/>
      <c r="D1224" s="8"/>
      <c r="E1224" s="10">
        <f>IFERROR(VLOOKUP(C1224,'Inventory Master'!$A$3:$L$300,5,FALSE),0)</f>
      </c>
      <c r="F1224" s="10">
        <f>D1224*E1224</f>
      </c>
      <c r="G1224" s="8"/>
    </row>
    <row r="1225" ht="21" customHeight="1" spans="1:7" x14ac:dyDescent="0.25">
      <c r="A1225" s="8"/>
      <c r="B1225" s="8"/>
      <c r="C1225" s="8"/>
      <c r="D1225" s="8"/>
      <c r="E1225" s="10">
        <f>IFERROR(VLOOKUP(C1225,'Inventory Master'!$A$3:$L$300,5,FALSE),0)</f>
      </c>
      <c r="F1225" s="10">
        <f>D1225*E1225</f>
      </c>
      <c r="G1225" s="8"/>
    </row>
    <row r="1226" ht="21" customHeight="1" spans="1:7" x14ac:dyDescent="0.25">
      <c r="A1226" s="8"/>
      <c r="B1226" s="8"/>
      <c r="C1226" s="8"/>
      <c r="D1226" s="8"/>
      <c r="E1226" s="10">
        <f>IFERROR(VLOOKUP(C1226,'Inventory Master'!$A$3:$L$300,5,FALSE),0)</f>
      </c>
      <c r="F1226" s="10">
        <f>D1226*E1226</f>
      </c>
      <c r="G1226" s="8"/>
    </row>
    <row r="1227" ht="21" customHeight="1" spans="1:7" x14ac:dyDescent="0.25">
      <c r="A1227" s="8"/>
      <c r="B1227" s="8"/>
      <c r="C1227" s="8"/>
      <c r="D1227" s="8"/>
      <c r="E1227" s="10">
        <f>IFERROR(VLOOKUP(C1227,'Inventory Master'!$A$3:$L$300,5,FALSE),0)</f>
      </c>
      <c r="F1227" s="10">
        <f>D1227*E1227</f>
      </c>
      <c r="G1227" s="8"/>
    </row>
    <row r="1228" ht="21" customHeight="1" spans="1:7" x14ac:dyDescent="0.25">
      <c r="A1228" s="8"/>
      <c r="B1228" s="8"/>
      <c r="C1228" s="8"/>
      <c r="D1228" s="8"/>
      <c r="E1228" s="10">
        <f>IFERROR(VLOOKUP(C1228,'Inventory Master'!$A$3:$L$300,5,FALSE),0)</f>
      </c>
      <c r="F1228" s="10">
        <f>D1228*E1228</f>
      </c>
      <c r="G1228" s="8"/>
    </row>
    <row r="1229" ht="21" customHeight="1" spans="1:7" x14ac:dyDescent="0.25">
      <c r="A1229" s="8"/>
      <c r="B1229" s="8"/>
      <c r="C1229" s="8"/>
      <c r="D1229" s="8"/>
      <c r="E1229" s="10">
        <f>IFERROR(VLOOKUP(C1229,'Inventory Master'!$A$3:$L$300,5,FALSE),0)</f>
      </c>
      <c r="F1229" s="10">
        <f>D1229*E1229</f>
      </c>
      <c r="G1229" s="8"/>
    </row>
    <row r="1230" ht="21" customHeight="1" spans="1:7" x14ac:dyDescent="0.25">
      <c r="A1230" s="8"/>
      <c r="B1230" s="8"/>
      <c r="C1230" s="8"/>
      <c r="D1230" s="8"/>
      <c r="E1230" s="10">
        <f>IFERROR(VLOOKUP(C1230,'Inventory Master'!$A$3:$L$300,5,FALSE),0)</f>
      </c>
      <c r="F1230" s="10">
        <f>D1230*E1230</f>
      </c>
      <c r="G1230" s="8"/>
    </row>
    <row r="1231" ht="21" customHeight="1" spans="1:7" x14ac:dyDescent="0.25">
      <c r="A1231" s="8"/>
      <c r="B1231" s="8"/>
      <c r="C1231" s="8"/>
      <c r="D1231" s="8"/>
      <c r="E1231" s="10">
        <f>IFERROR(VLOOKUP(C1231,'Inventory Master'!$A$3:$L$300,5,FALSE),0)</f>
      </c>
      <c r="F1231" s="10">
        <f>D1231*E1231</f>
      </c>
      <c r="G1231" s="8"/>
    </row>
    <row r="1232" ht="21" customHeight="1" spans="1:7" x14ac:dyDescent="0.25">
      <c r="A1232" s="8"/>
      <c r="B1232" s="8"/>
      <c r="C1232" s="8"/>
      <c r="D1232" s="8"/>
      <c r="E1232" s="10">
        <f>IFERROR(VLOOKUP(C1232,'Inventory Master'!$A$3:$L$300,5,FALSE),0)</f>
      </c>
      <c r="F1232" s="10">
        <f>D1232*E1232</f>
      </c>
      <c r="G1232" s="8"/>
    </row>
    <row r="1233" ht="21" customHeight="1" spans="1:7" x14ac:dyDescent="0.25">
      <c r="A1233" s="8"/>
      <c r="B1233" s="8"/>
      <c r="C1233" s="8"/>
      <c r="D1233" s="8"/>
      <c r="E1233" s="10">
        <f>IFERROR(VLOOKUP(C1233,'Inventory Master'!$A$3:$L$300,5,FALSE),0)</f>
      </c>
      <c r="F1233" s="10">
        <f>D1233*E1233</f>
      </c>
      <c r="G1233" s="8"/>
    </row>
    <row r="1234" ht="21" customHeight="1" spans="1:7" x14ac:dyDescent="0.25">
      <c r="A1234" s="8"/>
      <c r="B1234" s="8"/>
      <c r="C1234" s="8"/>
      <c r="D1234" s="8"/>
      <c r="E1234" s="10">
        <f>IFERROR(VLOOKUP(C1234,'Inventory Master'!$A$3:$L$300,5,FALSE),0)</f>
      </c>
      <c r="F1234" s="10">
        <f>D1234*E1234</f>
      </c>
      <c r="G1234" s="8"/>
    </row>
    <row r="1235" ht="21" customHeight="1" spans="1:7" x14ac:dyDescent="0.25">
      <c r="A1235" s="8"/>
      <c r="B1235" s="8"/>
      <c r="C1235" s="8"/>
      <c r="D1235" s="8"/>
      <c r="E1235" s="10">
        <f>IFERROR(VLOOKUP(C1235,'Inventory Master'!$A$3:$L$300,5,FALSE),0)</f>
      </c>
      <c r="F1235" s="10">
        <f>D1235*E1235</f>
      </c>
      <c r="G1235" s="8"/>
    </row>
    <row r="1236" ht="21" customHeight="1" spans="1:7" x14ac:dyDescent="0.25">
      <c r="A1236" s="8"/>
      <c r="B1236" s="8"/>
      <c r="C1236" s="8"/>
      <c r="D1236" s="8"/>
      <c r="E1236" s="10">
        <f>IFERROR(VLOOKUP(C1236,'Inventory Master'!$A$3:$L$300,5,FALSE),0)</f>
      </c>
      <c r="F1236" s="10">
        <f>D1236*E1236</f>
      </c>
      <c r="G1236" s="8"/>
    </row>
    <row r="1237" ht="21" customHeight="1" spans="1:7" x14ac:dyDescent="0.25">
      <c r="A1237" s="8"/>
      <c r="B1237" s="8"/>
      <c r="C1237" s="8"/>
      <c r="D1237" s="8"/>
      <c r="E1237" s="10">
        <f>IFERROR(VLOOKUP(C1237,'Inventory Master'!$A$3:$L$300,5,FALSE),0)</f>
      </c>
      <c r="F1237" s="10">
        <f>D1237*E1237</f>
      </c>
      <c r="G1237" s="8"/>
    </row>
    <row r="1238" ht="21" customHeight="1" spans="1:7" x14ac:dyDescent="0.25">
      <c r="A1238" s="8"/>
      <c r="B1238" s="8"/>
      <c r="C1238" s="8"/>
      <c r="D1238" s="8"/>
      <c r="E1238" s="10">
        <f>IFERROR(VLOOKUP(C1238,'Inventory Master'!$A$3:$L$300,5,FALSE),0)</f>
      </c>
      <c r="F1238" s="10">
        <f>D1238*E1238</f>
      </c>
      <c r="G1238" s="8"/>
    </row>
    <row r="1239" ht="21" customHeight="1" spans="1:7" x14ac:dyDescent="0.25">
      <c r="A1239" s="8"/>
      <c r="B1239" s="8"/>
      <c r="C1239" s="8"/>
      <c r="D1239" s="8"/>
      <c r="E1239" s="10">
        <f>IFERROR(VLOOKUP(C1239,'Inventory Master'!$A$3:$L$300,5,FALSE),0)</f>
      </c>
      <c r="F1239" s="10">
        <f>D1239*E1239</f>
      </c>
      <c r="G1239" s="8"/>
    </row>
    <row r="1240" ht="21" customHeight="1" spans="1:7" x14ac:dyDescent="0.25">
      <c r="A1240" s="8"/>
      <c r="B1240" s="8"/>
      <c r="C1240" s="8"/>
      <c r="D1240" s="8"/>
      <c r="E1240" s="10">
        <f>IFERROR(VLOOKUP(C1240,'Inventory Master'!$A$3:$L$300,5,FALSE),0)</f>
      </c>
      <c r="F1240" s="10">
        <f>D1240*E1240</f>
      </c>
      <c r="G1240" s="8"/>
    </row>
    <row r="1241" ht="21" customHeight="1" spans="1:7" x14ac:dyDescent="0.25">
      <c r="A1241" s="8"/>
      <c r="B1241" s="8"/>
      <c r="C1241" s="8"/>
      <c r="D1241" s="8"/>
      <c r="E1241" s="10">
        <f>IFERROR(VLOOKUP(C1241,'Inventory Master'!$A$3:$L$300,5,FALSE),0)</f>
      </c>
      <c r="F1241" s="10">
        <f>D1241*E1241</f>
      </c>
      <c r="G1241" s="8"/>
    </row>
    <row r="1242" ht="21" customHeight="1" spans="1:7" x14ac:dyDescent="0.25">
      <c r="A1242" s="8"/>
      <c r="B1242" s="8"/>
      <c r="C1242" s="8"/>
      <c r="D1242" s="8"/>
      <c r="E1242" s="10">
        <f>IFERROR(VLOOKUP(C1242,'Inventory Master'!$A$3:$L$300,5,FALSE),0)</f>
      </c>
      <c r="F1242" s="10">
        <f>D1242*E1242</f>
      </c>
      <c r="G1242" s="8"/>
    </row>
    <row r="1243" ht="21" customHeight="1" spans="1:7" x14ac:dyDescent="0.25">
      <c r="A1243" s="8"/>
      <c r="B1243" s="8"/>
      <c r="C1243" s="8"/>
      <c r="D1243" s="8"/>
      <c r="E1243" s="10">
        <f>IFERROR(VLOOKUP(C1243,'Inventory Master'!$A$3:$L$300,5,FALSE),0)</f>
      </c>
      <c r="F1243" s="10">
        <f>D1243*E1243</f>
      </c>
      <c r="G1243" s="8"/>
    </row>
    <row r="1244" ht="21" customHeight="1" spans="1:7" x14ac:dyDescent="0.25">
      <c r="A1244" s="8"/>
      <c r="B1244" s="8"/>
      <c r="C1244" s="8"/>
      <c r="D1244" s="8"/>
      <c r="E1244" s="10">
        <f>IFERROR(VLOOKUP(C1244,'Inventory Master'!$A$3:$L$300,5,FALSE),0)</f>
      </c>
      <c r="F1244" s="10">
        <f>D1244*E1244</f>
      </c>
      <c r="G1244" s="8"/>
    </row>
    <row r="1245" ht="21" customHeight="1" spans="1:7" x14ac:dyDescent="0.25">
      <c r="A1245" s="8"/>
      <c r="B1245" s="8"/>
      <c r="C1245" s="8"/>
      <c r="D1245" s="8"/>
      <c r="E1245" s="10">
        <f>IFERROR(VLOOKUP(C1245,'Inventory Master'!$A$3:$L$300,5,FALSE),0)</f>
      </c>
      <c r="F1245" s="10">
        <f>D1245*E1245</f>
      </c>
      <c r="G1245" s="8"/>
    </row>
    <row r="1246" ht="21" customHeight="1" spans="1:7" x14ac:dyDescent="0.25">
      <c r="A1246" s="8"/>
      <c r="B1246" s="8"/>
      <c r="C1246" s="8"/>
      <c r="D1246" s="8"/>
      <c r="E1246" s="10">
        <f>IFERROR(VLOOKUP(C1246,'Inventory Master'!$A$3:$L$300,5,FALSE),0)</f>
      </c>
      <c r="F1246" s="10">
        <f>D1246*E1246</f>
      </c>
      <c r="G1246" s="8"/>
    </row>
    <row r="1247" ht="21" customHeight="1" spans="1:7" x14ac:dyDescent="0.25">
      <c r="A1247" s="8"/>
      <c r="B1247" s="8"/>
      <c r="C1247" s="8"/>
      <c r="D1247" s="8"/>
      <c r="E1247" s="10">
        <f>IFERROR(VLOOKUP(C1247,'Inventory Master'!$A$3:$L$300,5,FALSE),0)</f>
      </c>
      <c r="F1247" s="10">
        <f>D1247*E1247</f>
      </c>
      <c r="G1247" s="8"/>
    </row>
    <row r="1248" ht="21" customHeight="1" spans="1:7" x14ac:dyDescent="0.25">
      <c r="A1248" s="8"/>
      <c r="B1248" s="8"/>
      <c r="C1248" s="8"/>
      <c r="D1248" s="8"/>
      <c r="E1248" s="10">
        <f>IFERROR(VLOOKUP(C1248,'Inventory Master'!$A$3:$L$300,5,FALSE),0)</f>
      </c>
      <c r="F1248" s="10">
        <f>D1248*E1248</f>
      </c>
      <c r="G1248" s="8"/>
    </row>
    <row r="1249" ht="21" customHeight="1" spans="1:7" x14ac:dyDescent="0.25">
      <c r="A1249" s="8"/>
      <c r="B1249" s="8"/>
      <c r="C1249" s="8"/>
      <c r="D1249" s="8"/>
      <c r="E1249" s="10">
        <f>IFERROR(VLOOKUP(C1249,'Inventory Master'!$A$3:$L$300,5,FALSE),0)</f>
      </c>
      <c r="F1249" s="10">
        <f>D1249*E1249</f>
      </c>
      <c r="G1249" s="8"/>
    </row>
    <row r="1250" ht="21" customHeight="1" spans="1:7" x14ac:dyDescent="0.25">
      <c r="A1250" s="8"/>
      <c r="B1250" s="8"/>
      <c r="C1250" s="8"/>
      <c r="D1250" s="8"/>
      <c r="E1250" s="10">
        <f>IFERROR(VLOOKUP(C1250,'Inventory Master'!$A$3:$L$300,5,FALSE),0)</f>
      </c>
      <c r="F1250" s="10">
        <f>D1250*E1250</f>
      </c>
      <c r="G1250" s="8"/>
    </row>
    <row r="1251" ht="21" customHeight="1" spans="1:7" x14ac:dyDescent="0.25">
      <c r="A1251" s="8"/>
      <c r="B1251" s="8"/>
      <c r="C1251" s="8"/>
      <c r="D1251" s="8"/>
      <c r="E1251" s="10">
        <f>IFERROR(VLOOKUP(C1251,'Inventory Master'!$A$3:$L$300,5,FALSE),0)</f>
      </c>
      <c r="F1251" s="10">
        <f>D1251*E1251</f>
      </c>
      <c r="G1251" s="8"/>
    </row>
    <row r="1252" ht="21" customHeight="1" spans="1:7" x14ac:dyDescent="0.25">
      <c r="A1252" s="8"/>
      <c r="B1252" s="8"/>
      <c r="C1252" s="8"/>
      <c r="D1252" s="8"/>
      <c r="E1252" s="10">
        <f>IFERROR(VLOOKUP(C1252,'Inventory Master'!$A$3:$L$300,5,FALSE),0)</f>
      </c>
      <c r="F1252" s="10">
        <f>D1252*E1252</f>
      </c>
      <c r="G1252" s="8"/>
    </row>
    <row r="1253" ht="21" customHeight="1" spans="1:7" x14ac:dyDescent="0.25">
      <c r="A1253" s="8"/>
      <c r="B1253" s="8"/>
      <c r="C1253" s="8"/>
      <c r="D1253" s="8"/>
      <c r="E1253" s="10">
        <f>IFERROR(VLOOKUP(C1253,'Inventory Master'!$A$3:$L$300,5,FALSE),0)</f>
      </c>
      <c r="F1253" s="10">
        <f>D1253*E1253</f>
      </c>
      <c r="G1253" s="8"/>
    </row>
    <row r="1254" ht="21" customHeight="1" spans="1:7" x14ac:dyDescent="0.25">
      <c r="A1254" s="8"/>
      <c r="B1254" s="8"/>
      <c r="C1254" s="8"/>
      <c r="D1254" s="8"/>
      <c r="E1254" s="10">
        <f>IFERROR(VLOOKUP(C1254,'Inventory Master'!$A$3:$L$300,5,FALSE),0)</f>
      </c>
      <c r="F1254" s="10">
        <f>D1254*E1254</f>
      </c>
      <c r="G1254" s="8"/>
    </row>
    <row r="1255" ht="21" customHeight="1" spans="1:7" x14ac:dyDescent="0.25">
      <c r="A1255" s="8"/>
      <c r="B1255" s="8"/>
      <c r="C1255" s="8"/>
      <c r="D1255" s="8"/>
      <c r="E1255" s="10">
        <f>IFERROR(VLOOKUP(C1255,'Inventory Master'!$A$3:$L$300,5,FALSE),0)</f>
      </c>
      <c r="F1255" s="10">
        <f>D1255*E1255</f>
      </c>
      <c r="G1255" s="8"/>
    </row>
    <row r="1256" ht="21" customHeight="1" spans="1:7" x14ac:dyDescent="0.25">
      <c r="A1256" s="8"/>
      <c r="B1256" s="8"/>
      <c r="C1256" s="8"/>
      <c r="D1256" s="8"/>
      <c r="E1256" s="10">
        <f>IFERROR(VLOOKUP(C1256,'Inventory Master'!$A$3:$L$300,5,FALSE),0)</f>
      </c>
      <c r="F1256" s="10">
        <f>D1256*E1256</f>
      </c>
      <c r="G1256" s="8"/>
    </row>
    <row r="1257" ht="21" customHeight="1" spans="1:7" x14ac:dyDescent="0.25">
      <c r="A1257" s="8"/>
      <c r="B1257" s="8"/>
      <c r="C1257" s="8"/>
      <c r="D1257" s="8"/>
      <c r="E1257" s="10">
        <f>IFERROR(VLOOKUP(C1257,'Inventory Master'!$A$3:$L$300,5,FALSE),0)</f>
      </c>
      <c r="F1257" s="10">
        <f>D1257*E1257</f>
      </c>
      <c r="G1257" s="8"/>
    </row>
    <row r="1258" ht="21" customHeight="1" spans="1:7" x14ac:dyDescent="0.25">
      <c r="A1258" s="8"/>
      <c r="B1258" s="8"/>
      <c r="C1258" s="8"/>
      <c r="D1258" s="8"/>
      <c r="E1258" s="10">
        <f>IFERROR(VLOOKUP(C1258,'Inventory Master'!$A$3:$L$300,5,FALSE),0)</f>
      </c>
      <c r="F1258" s="10">
        <f>D1258*E1258</f>
      </c>
      <c r="G1258" s="8"/>
    </row>
    <row r="1259" ht="21" customHeight="1" spans="1:7" x14ac:dyDescent="0.25">
      <c r="A1259" s="8"/>
      <c r="B1259" s="8"/>
      <c r="C1259" s="8"/>
      <c r="D1259" s="8"/>
      <c r="E1259" s="10">
        <f>IFERROR(VLOOKUP(C1259,'Inventory Master'!$A$3:$L$300,5,FALSE),0)</f>
      </c>
      <c r="F1259" s="10">
        <f>D1259*E1259</f>
      </c>
      <c r="G1259" s="8"/>
    </row>
    <row r="1260" ht="21" customHeight="1" spans="1:7" x14ac:dyDescent="0.25">
      <c r="A1260" s="8"/>
      <c r="B1260" s="8"/>
      <c r="C1260" s="8"/>
      <c r="D1260" s="8"/>
      <c r="E1260" s="10">
        <f>IFERROR(VLOOKUP(C1260,'Inventory Master'!$A$3:$L$300,5,FALSE),0)</f>
      </c>
      <c r="F1260" s="10">
        <f>D1260*E1260</f>
      </c>
      <c r="G1260" s="8"/>
    </row>
    <row r="1261" ht="21" customHeight="1" spans="1:7" x14ac:dyDescent="0.25">
      <c r="A1261" s="8"/>
      <c r="B1261" s="8"/>
      <c r="C1261" s="8"/>
      <c r="D1261" s="8"/>
      <c r="E1261" s="10">
        <f>IFERROR(VLOOKUP(C1261,'Inventory Master'!$A$3:$L$300,5,FALSE),0)</f>
      </c>
      <c r="F1261" s="10">
        <f>D1261*E1261</f>
      </c>
      <c r="G1261" s="8"/>
    </row>
    <row r="1262" ht="21" customHeight="1" spans="1:7" x14ac:dyDescent="0.25">
      <c r="A1262" s="8"/>
      <c r="B1262" s="8"/>
      <c r="C1262" s="8"/>
      <c r="D1262" s="8"/>
      <c r="E1262" s="10">
        <f>IFERROR(VLOOKUP(C1262,'Inventory Master'!$A$3:$L$300,5,FALSE),0)</f>
      </c>
      <c r="F1262" s="10">
        <f>D1262*E1262</f>
      </c>
      <c r="G1262" s="8"/>
    </row>
    <row r="1263" ht="21" customHeight="1" spans="1:7" x14ac:dyDescent="0.25">
      <c r="A1263" s="8"/>
      <c r="B1263" s="8"/>
      <c r="C1263" s="8"/>
      <c r="D1263" s="8"/>
      <c r="E1263" s="10">
        <f>IFERROR(VLOOKUP(C1263,'Inventory Master'!$A$3:$L$300,5,FALSE),0)</f>
      </c>
      <c r="F1263" s="10">
        <f>D1263*E1263</f>
      </c>
      <c r="G1263" s="8"/>
    </row>
    <row r="1264" ht="21" customHeight="1" spans="1:7" x14ac:dyDescent="0.25">
      <c r="A1264" s="8"/>
      <c r="B1264" s="8"/>
      <c r="C1264" s="8"/>
      <c r="D1264" s="8"/>
      <c r="E1264" s="10">
        <f>IFERROR(VLOOKUP(C1264,'Inventory Master'!$A$3:$L$300,5,FALSE),0)</f>
      </c>
      <c r="F1264" s="10">
        <f>D1264*E1264</f>
      </c>
      <c r="G1264" s="8"/>
    </row>
    <row r="1265" ht="21" customHeight="1" spans="1:7" x14ac:dyDescent="0.25">
      <c r="A1265" s="8"/>
      <c r="B1265" s="8"/>
      <c r="C1265" s="8"/>
      <c r="D1265" s="8"/>
      <c r="E1265" s="10">
        <f>IFERROR(VLOOKUP(C1265,'Inventory Master'!$A$3:$L$300,5,FALSE),0)</f>
      </c>
      <c r="F1265" s="10">
        <f>D1265*E1265</f>
      </c>
      <c r="G1265" s="8"/>
    </row>
    <row r="1266" ht="21" customHeight="1" spans="1:7" x14ac:dyDescent="0.25">
      <c r="A1266" s="8"/>
      <c r="B1266" s="8"/>
      <c r="C1266" s="8"/>
      <c r="D1266" s="8"/>
      <c r="E1266" s="10">
        <f>IFERROR(VLOOKUP(C1266,'Inventory Master'!$A$3:$L$300,5,FALSE),0)</f>
      </c>
      <c r="F1266" s="10">
        <f>D1266*E1266</f>
      </c>
      <c r="G1266" s="8"/>
    </row>
    <row r="1267" ht="21" customHeight="1" spans="1:7" x14ac:dyDescent="0.25">
      <c r="A1267" s="8"/>
      <c r="B1267" s="8"/>
      <c r="C1267" s="8"/>
      <c r="D1267" s="8"/>
      <c r="E1267" s="10">
        <f>IFERROR(VLOOKUP(C1267,'Inventory Master'!$A$3:$L$300,5,FALSE),0)</f>
      </c>
      <c r="F1267" s="10">
        <f>D1267*E1267</f>
      </c>
      <c r="G1267" s="8"/>
    </row>
    <row r="1268" ht="21" customHeight="1" spans="1:7" x14ac:dyDescent="0.25">
      <c r="A1268" s="8"/>
      <c r="B1268" s="8"/>
      <c r="C1268" s="8"/>
      <c r="D1268" s="8"/>
      <c r="E1268" s="10">
        <f>IFERROR(VLOOKUP(C1268,'Inventory Master'!$A$3:$L$300,5,FALSE),0)</f>
      </c>
      <c r="F1268" s="10">
        <f>D1268*E1268</f>
      </c>
      <c r="G1268" s="8"/>
    </row>
    <row r="1269" ht="21" customHeight="1" spans="1:7" x14ac:dyDescent="0.25">
      <c r="A1269" s="8"/>
      <c r="B1269" s="8"/>
      <c r="C1269" s="8"/>
      <c r="D1269" s="8"/>
      <c r="E1269" s="10">
        <f>IFERROR(VLOOKUP(C1269,'Inventory Master'!$A$3:$L$300,5,FALSE),0)</f>
      </c>
      <c r="F1269" s="10">
        <f>D1269*E1269</f>
      </c>
      <c r="G1269" s="8"/>
    </row>
    <row r="1270" ht="21" customHeight="1" spans="1:7" x14ac:dyDescent="0.25">
      <c r="A1270" s="8"/>
      <c r="B1270" s="8"/>
      <c r="C1270" s="8"/>
      <c r="D1270" s="8"/>
      <c r="E1270" s="10">
        <f>IFERROR(VLOOKUP(C1270,'Inventory Master'!$A$3:$L$300,5,FALSE),0)</f>
      </c>
      <c r="F1270" s="10">
        <f>D1270*E1270</f>
      </c>
      <c r="G1270" s="8"/>
    </row>
    <row r="1271" ht="21" customHeight="1" spans="1:7" x14ac:dyDescent="0.25">
      <c r="A1271" s="8"/>
      <c r="B1271" s="8"/>
      <c r="C1271" s="8"/>
      <c r="D1271" s="8"/>
      <c r="E1271" s="10">
        <f>IFERROR(VLOOKUP(C1271,'Inventory Master'!$A$3:$L$300,5,FALSE),0)</f>
      </c>
      <c r="F1271" s="10">
        <f>D1271*E1271</f>
      </c>
      <c r="G1271" s="8"/>
    </row>
    <row r="1272" ht="21" customHeight="1" spans="1:7" x14ac:dyDescent="0.25">
      <c r="A1272" s="8"/>
      <c r="B1272" s="8"/>
      <c r="C1272" s="8"/>
      <c r="D1272" s="8"/>
      <c r="E1272" s="10">
        <f>IFERROR(VLOOKUP(C1272,'Inventory Master'!$A$3:$L$300,5,FALSE),0)</f>
      </c>
      <c r="F1272" s="10">
        <f>D1272*E1272</f>
      </c>
      <c r="G1272" s="8"/>
    </row>
    <row r="1273" ht="21" customHeight="1" spans="1:7" x14ac:dyDescent="0.25">
      <c r="A1273" s="8"/>
      <c r="B1273" s="8"/>
      <c r="C1273" s="8"/>
      <c r="D1273" s="8"/>
      <c r="E1273" s="10">
        <f>IFERROR(VLOOKUP(C1273,'Inventory Master'!$A$3:$L$300,5,FALSE),0)</f>
      </c>
      <c r="F1273" s="10">
        <f>D1273*E1273</f>
      </c>
      <c r="G1273" s="8"/>
    </row>
    <row r="1274" ht="21" customHeight="1" spans="1:7" x14ac:dyDescent="0.25">
      <c r="A1274" s="8"/>
      <c r="B1274" s="8"/>
      <c r="C1274" s="8"/>
      <c r="D1274" s="8"/>
      <c r="E1274" s="10">
        <f>IFERROR(VLOOKUP(C1274,'Inventory Master'!$A$3:$L$300,5,FALSE),0)</f>
      </c>
      <c r="F1274" s="10">
        <f>D1274*E1274</f>
      </c>
      <c r="G1274" s="8"/>
    </row>
    <row r="1275" ht="21" customHeight="1" spans="1:7" x14ac:dyDescent="0.25">
      <c r="A1275" s="8"/>
      <c r="B1275" s="8"/>
      <c r="C1275" s="8"/>
      <c r="D1275" s="8"/>
      <c r="E1275" s="10">
        <f>IFERROR(VLOOKUP(C1275,'Inventory Master'!$A$3:$L$300,5,FALSE),0)</f>
      </c>
      <c r="F1275" s="10">
        <f>D1275*E1275</f>
      </c>
      <c r="G1275" s="8"/>
    </row>
    <row r="1276" ht="21" customHeight="1" spans="1:7" x14ac:dyDescent="0.25">
      <c r="A1276" s="8"/>
      <c r="B1276" s="8"/>
      <c r="C1276" s="8"/>
      <c r="D1276" s="8"/>
      <c r="E1276" s="10">
        <f>IFERROR(VLOOKUP(C1276,'Inventory Master'!$A$3:$L$300,5,FALSE),0)</f>
      </c>
      <c r="F1276" s="10">
        <f>D1276*E1276</f>
      </c>
      <c r="G1276" s="8"/>
    </row>
    <row r="1277" ht="21" customHeight="1" spans="1:7" x14ac:dyDescent="0.25">
      <c r="A1277" s="8"/>
      <c r="B1277" s="8"/>
      <c r="C1277" s="8"/>
      <c r="D1277" s="8"/>
      <c r="E1277" s="10">
        <f>IFERROR(VLOOKUP(C1277,'Inventory Master'!$A$3:$L$300,5,FALSE),0)</f>
      </c>
      <c r="F1277" s="10">
        <f>D1277*E1277</f>
      </c>
      <c r="G1277" s="8"/>
    </row>
    <row r="1278" ht="21" customHeight="1" spans="1:7" x14ac:dyDescent="0.25">
      <c r="A1278" s="8"/>
      <c r="B1278" s="8"/>
      <c r="C1278" s="8"/>
      <c r="D1278" s="8"/>
      <c r="E1278" s="10">
        <f>IFERROR(VLOOKUP(C1278,'Inventory Master'!$A$3:$L$300,5,FALSE),0)</f>
      </c>
      <c r="F1278" s="10">
        <f>D1278*E1278</f>
      </c>
      <c r="G1278" s="8"/>
    </row>
    <row r="1279" ht="21" customHeight="1" spans="1:7" x14ac:dyDescent="0.25">
      <c r="A1279" s="8"/>
      <c r="B1279" s="8"/>
      <c r="C1279" s="8"/>
      <c r="D1279" s="8"/>
      <c r="E1279" s="10">
        <f>IFERROR(VLOOKUP(C1279,'Inventory Master'!$A$3:$L$300,5,FALSE),0)</f>
      </c>
      <c r="F1279" s="10">
        <f>D1279*E1279</f>
      </c>
      <c r="G1279" s="8"/>
    </row>
    <row r="1280" ht="21" customHeight="1" spans="1:7" x14ac:dyDescent="0.25">
      <c r="A1280" s="8"/>
      <c r="B1280" s="8"/>
      <c r="C1280" s="8"/>
      <c r="D1280" s="8"/>
      <c r="E1280" s="10">
        <f>IFERROR(VLOOKUP(C1280,'Inventory Master'!$A$3:$L$300,5,FALSE),0)</f>
      </c>
      <c r="F1280" s="10">
        <f>D1280*E1280</f>
      </c>
      <c r="G1280" s="8"/>
    </row>
    <row r="1281" ht="21" customHeight="1" spans="1:7" x14ac:dyDescent="0.25">
      <c r="A1281" s="8"/>
      <c r="B1281" s="8"/>
      <c r="C1281" s="8"/>
      <c r="D1281" s="8"/>
      <c r="E1281" s="10">
        <f>IFERROR(VLOOKUP(C1281,'Inventory Master'!$A$3:$L$300,5,FALSE),0)</f>
      </c>
      <c r="F1281" s="10">
        <f>D1281*E1281</f>
      </c>
      <c r="G1281" s="8"/>
    </row>
    <row r="1282" ht="21" customHeight="1" spans="1:7" x14ac:dyDescent="0.25">
      <c r="A1282" s="8"/>
      <c r="B1282" s="8"/>
      <c r="C1282" s="8"/>
      <c r="D1282" s="8"/>
      <c r="E1282" s="10">
        <f>IFERROR(VLOOKUP(C1282,'Inventory Master'!$A$3:$L$300,5,FALSE),0)</f>
      </c>
      <c r="F1282" s="10">
        <f>D1282*E1282</f>
      </c>
      <c r="G1282" s="8"/>
    </row>
    <row r="1283" ht="21" customHeight="1" spans="1:7" x14ac:dyDescent="0.25">
      <c r="A1283" s="8"/>
      <c r="B1283" s="8"/>
      <c r="C1283" s="8"/>
      <c r="D1283" s="8"/>
      <c r="E1283" s="10">
        <f>IFERROR(VLOOKUP(C1283,'Inventory Master'!$A$3:$L$300,5,FALSE),0)</f>
      </c>
      <c r="F1283" s="10">
        <f>D1283*E1283</f>
      </c>
      <c r="G1283" s="8"/>
    </row>
    <row r="1284" ht="21" customHeight="1" spans="1:7" x14ac:dyDescent="0.25">
      <c r="A1284" s="8"/>
      <c r="B1284" s="8"/>
      <c r="C1284" s="8"/>
      <c r="D1284" s="8"/>
      <c r="E1284" s="10">
        <f>IFERROR(VLOOKUP(C1284,'Inventory Master'!$A$3:$L$300,5,FALSE),0)</f>
      </c>
      <c r="F1284" s="10">
        <f>D1284*E1284</f>
      </c>
      <c r="G1284" s="8"/>
    </row>
    <row r="1285" ht="21" customHeight="1" spans="1:7" x14ac:dyDescent="0.25">
      <c r="A1285" s="8"/>
      <c r="B1285" s="8"/>
      <c r="C1285" s="8"/>
      <c r="D1285" s="8"/>
      <c r="E1285" s="10">
        <f>IFERROR(VLOOKUP(C1285,'Inventory Master'!$A$3:$L$300,5,FALSE),0)</f>
      </c>
      <c r="F1285" s="10">
        <f>D1285*E1285</f>
      </c>
      <c r="G1285" s="8"/>
    </row>
    <row r="1286" ht="21" customHeight="1" spans="1:7" x14ac:dyDescent="0.25">
      <c r="A1286" s="8"/>
      <c r="B1286" s="8"/>
      <c r="C1286" s="8"/>
      <c r="D1286" s="8"/>
      <c r="E1286" s="10">
        <f>IFERROR(VLOOKUP(C1286,'Inventory Master'!$A$3:$L$300,5,FALSE),0)</f>
      </c>
      <c r="F1286" s="10">
        <f>D1286*E1286</f>
      </c>
      <c r="G1286" s="8"/>
    </row>
    <row r="1287" ht="21" customHeight="1" spans="1:7" x14ac:dyDescent="0.25">
      <c r="A1287" s="8"/>
      <c r="B1287" s="8"/>
      <c r="C1287" s="8"/>
      <c r="D1287" s="8"/>
      <c r="E1287" s="10">
        <f>IFERROR(VLOOKUP(C1287,'Inventory Master'!$A$3:$L$300,5,FALSE),0)</f>
      </c>
      <c r="F1287" s="10">
        <f>D1287*E1287</f>
      </c>
      <c r="G1287" s="8"/>
    </row>
    <row r="1288" ht="21" customHeight="1" spans="1:7" x14ac:dyDescent="0.25">
      <c r="A1288" s="8"/>
      <c r="B1288" s="8"/>
      <c r="C1288" s="8"/>
      <c r="D1288" s="8"/>
      <c r="E1288" s="10">
        <f>IFERROR(VLOOKUP(C1288,'Inventory Master'!$A$3:$L$300,5,FALSE),0)</f>
      </c>
      <c r="F1288" s="10">
        <f>D1288*E1288</f>
      </c>
      <c r="G1288" s="8"/>
    </row>
    <row r="1289" ht="21" customHeight="1" spans="1:7" x14ac:dyDescent="0.25">
      <c r="A1289" s="8"/>
      <c r="B1289" s="8"/>
      <c r="C1289" s="8"/>
      <c r="D1289" s="8"/>
      <c r="E1289" s="10">
        <f>IFERROR(VLOOKUP(C1289,'Inventory Master'!$A$3:$L$300,5,FALSE),0)</f>
      </c>
      <c r="F1289" s="10">
        <f>D1289*E1289</f>
      </c>
      <c r="G1289" s="8"/>
    </row>
    <row r="1290" ht="21" customHeight="1" spans="1:7" x14ac:dyDescent="0.25">
      <c r="A1290" s="8"/>
      <c r="B1290" s="8"/>
      <c r="C1290" s="8"/>
      <c r="D1290" s="8"/>
      <c r="E1290" s="10">
        <f>IFERROR(VLOOKUP(C1290,'Inventory Master'!$A$3:$L$300,5,FALSE),0)</f>
      </c>
      <c r="F1290" s="10">
        <f>D1290*E1290</f>
      </c>
      <c r="G1290" s="8"/>
    </row>
    <row r="1291" ht="21" customHeight="1" spans="1:7" x14ac:dyDescent="0.25">
      <c r="A1291" s="8"/>
      <c r="B1291" s="8"/>
      <c r="C1291" s="8"/>
      <c r="D1291" s="8"/>
      <c r="E1291" s="10">
        <f>IFERROR(VLOOKUP(C1291,'Inventory Master'!$A$3:$L$300,5,FALSE),0)</f>
      </c>
      <c r="F1291" s="10">
        <f>D1291*E1291</f>
      </c>
      <c r="G1291" s="8"/>
    </row>
    <row r="1292" ht="21" customHeight="1" spans="1:7" x14ac:dyDescent="0.25">
      <c r="A1292" s="8"/>
      <c r="B1292" s="8"/>
      <c r="C1292" s="8"/>
      <c r="D1292" s="8"/>
      <c r="E1292" s="10">
        <f>IFERROR(VLOOKUP(C1292,'Inventory Master'!$A$3:$L$300,5,FALSE),0)</f>
      </c>
      <c r="F1292" s="10">
        <f>D1292*E1292</f>
      </c>
      <c r="G1292" s="8"/>
    </row>
    <row r="1293" ht="21" customHeight="1" spans="1:7" x14ac:dyDescent="0.25">
      <c r="A1293" s="8"/>
      <c r="B1293" s="8"/>
      <c r="C1293" s="8"/>
      <c r="D1293" s="8"/>
      <c r="E1293" s="10">
        <f>IFERROR(VLOOKUP(C1293,'Inventory Master'!$A$3:$L$300,5,FALSE),0)</f>
      </c>
      <c r="F1293" s="10">
        <f>D1293*E1293</f>
      </c>
      <c r="G1293" s="8"/>
    </row>
    <row r="1294" ht="21" customHeight="1" spans="1:7" x14ac:dyDescent="0.25">
      <c r="A1294" s="8"/>
      <c r="B1294" s="8"/>
      <c r="C1294" s="8"/>
      <c r="D1294" s="8"/>
      <c r="E1294" s="10">
        <f>IFERROR(VLOOKUP(C1294,'Inventory Master'!$A$3:$L$300,5,FALSE),0)</f>
      </c>
      <c r="F1294" s="10">
        <f>D1294*E1294</f>
      </c>
      <c r="G1294" s="8"/>
    </row>
    <row r="1295" ht="21" customHeight="1" spans="1:7" x14ac:dyDescent="0.25">
      <c r="A1295" s="8"/>
      <c r="B1295" s="8"/>
      <c r="C1295" s="8"/>
      <c r="D1295" s="8"/>
      <c r="E1295" s="10">
        <f>IFERROR(VLOOKUP(C1295,'Inventory Master'!$A$3:$L$300,5,FALSE),0)</f>
      </c>
      <c r="F1295" s="10">
        <f>D1295*E1295</f>
      </c>
      <c r="G1295" s="8"/>
    </row>
    <row r="1296" ht="21" customHeight="1" spans="1:7" x14ac:dyDescent="0.25">
      <c r="A1296" s="8"/>
      <c r="B1296" s="8"/>
      <c r="C1296" s="8"/>
      <c r="D1296" s="8"/>
      <c r="E1296" s="10">
        <f>IFERROR(VLOOKUP(C1296,'Inventory Master'!$A$3:$L$300,5,FALSE),0)</f>
      </c>
      <c r="F1296" s="10">
        <f>D1296*E1296</f>
      </c>
      <c r="G1296" s="8"/>
    </row>
    <row r="1297" ht="21" customHeight="1" spans="1:7" x14ac:dyDescent="0.25">
      <c r="A1297" s="8"/>
      <c r="B1297" s="8"/>
      <c r="C1297" s="8"/>
      <c r="D1297" s="8"/>
      <c r="E1297" s="10">
        <f>IFERROR(VLOOKUP(C1297,'Inventory Master'!$A$3:$L$300,5,FALSE),0)</f>
      </c>
      <c r="F1297" s="10">
        <f>D1297*E1297</f>
      </c>
      <c r="G1297" s="8"/>
    </row>
    <row r="1298" ht="21" customHeight="1" spans="1:7" x14ac:dyDescent="0.25">
      <c r="A1298" s="8"/>
      <c r="B1298" s="8"/>
      <c r="C1298" s="8"/>
      <c r="D1298" s="8"/>
      <c r="E1298" s="10">
        <f>IFERROR(VLOOKUP(C1298,'Inventory Master'!$A$3:$L$300,5,FALSE),0)</f>
      </c>
      <c r="F1298" s="10">
        <f>D1298*E1298</f>
      </c>
      <c r="G1298" s="8"/>
    </row>
    <row r="1299" ht="21" customHeight="1" spans="1:7" x14ac:dyDescent="0.25">
      <c r="A1299" s="8"/>
      <c r="B1299" s="8"/>
      <c r="C1299" s="8"/>
      <c r="D1299" s="8"/>
      <c r="E1299" s="10">
        <f>IFERROR(VLOOKUP(C1299,'Inventory Master'!$A$3:$L$300,5,FALSE),0)</f>
      </c>
      <c r="F1299" s="10">
        <f>D1299*E1299</f>
      </c>
      <c r="G1299" s="8"/>
    </row>
    <row r="1300" ht="21" customHeight="1" spans="1:7" x14ac:dyDescent="0.25">
      <c r="A1300" s="8"/>
      <c r="B1300" s="8"/>
      <c r="C1300" s="8"/>
      <c r="D1300" s="8"/>
      <c r="E1300" s="10">
        <f>IFERROR(VLOOKUP(C1300,'Inventory Master'!$A$3:$L$300,5,FALSE),0)</f>
      </c>
      <c r="F1300" s="10">
        <f>D1300*E1300</f>
      </c>
      <c r="G1300" s="8"/>
    </row>
    <row r="1301" ht="21" customHeight="1" spans="1:7" x14ac:dyDescent="0.25">
      <c r="A1301" s="8"/>
      <c r="B1301" s="8"/>
      <c r="C1301" s="8"/>
      <c r="D1301" s="8"/>
      <c r="E1301" s="10">
        <f>IFERROR(VLOOKUP(C1301,'Inventory Master'!$A$3:$L$300,5,FALSE),0)</f>
      </c>
      <c r="F1301" s="10">
        <f>D1301*E1301</f>
      </c>
      <c r="G1301" s="8"/>
    </row>
    <row r="1302" ht="21" customHeight="1" spans="1:7" x14ac:dyDescent="0.25">
      <c r="A1302" s="8"/>
      <c r="B1302" s="8"/>
      <c r="C1302" s="8"/>
      <c r="D1302" s="8"/>
      <c r="E1302" s="10">
        <f>IFERROR(VLOOKUP(C1302,'Inventory Master'!$A$3:$L$300,5,FALSE),0)</f>
      </c>
      <c r="F1302" s="10">
        <f>D1302*E1302</f>
      </c>
      <c r="G1302" s="8"/>
    </row>
    <row r="1303" ht="21" customHeight="1" spans="1:7" x14ac:dyDescent="0.25">
      <c r="A1303" s="8"/>
      <c r="B1303" s="8"/>
      <c r="C1303" s="8"/>
      <c r="D1303" s="8"/>
      <c r="E1303" s="10">
        <f>IFERROR(VLOOKUP(C1303,'Inventory Master'!$A$3:$L$300,5,FALSE),0)</f>
      </c>
      <c r="F1303" s="10">
        <f>D1303*E1303</f>
      </c>
      <c r="G1303" s="8"/>
    </row>
    <row r="1304" ht="21" customHeight="1" spans="1:7" x14ac:dyDescent="0.25">
      <c r="A1304" s="8"/>
      <c r="B1304" s="8"/>
      <c r="C1304" s="8"/>
      <c r="D1304" s="8"/>
      <c r="E1304" s="10">
        <f>IFERROR(VLOOKUP(C1304,'Inventory Master'!$A$3:$L$300,5,FALSE),0)</f>
      </c>
      <c r="F1304" s="10">
        <f>D1304*E1304</f>
      </c>
      <c r="G1304" s="8"/>
    </row>
    <row r="1305" ht="21" customHeight="1" spans="1:7" x14ac:dyDescent="0.25">
      <c r="A1305" s="8"/>
      <c r="B1305" s="8"/>
      <c r="C1305" s="8"/>
      <c r="D1305" s="8"/>
      <c r="E1305" s="10">
        <f>IFERROR(VLOOKUP(C1305,'Inventory Master'!$A$3:$L$300,5,FALSE),0)</f>
      </c>
      <c r="F1305" s="10">
        <f>D1305*E1305</f>
      </c>
      <c r="G1305" s="8"/>
    </row>
    <row r="1306" ht="21" customHeight="1" spans="1:7" x14ac:dyDescent="0.25">
      <c r="A1306" s="8"/>
      <c r="B1306" s="8"/>
      <c r="C1306" s="8"/>
      <c r="D1306" s="8"/>
      <c r="E1306" s="10">
        <f>IFERROR(VLOOKUP(C1306,'Inventory Master'!$A$3:$L$300,5,FALSE),0)</f>
      </c>
      <c r="F1306" s="10">
        <f>D1306*E1306</f>
      </c>
      <c r="G1306" s="8"/>
    </row>
    <row r="1307" ht="21" customHeight="1" spans="1:7" x14ac:dyDescent="0.25">
      <c r="A1307" s="8"/>
      <c r="B1307" s="8"/>
      <c r="C1307" s="8"/>
      <c r="D1307" s="8"/>
      <c r="E1307" s="10">
        <f>IFERROR(VLOOKUP(C1307,'Inventory Master'!$A$3:$L$300,5,FALSE),0)</f>
      </c>
      <c r="F1307" s="10">
        <f>D1307*E1307</f>
      </c>
      <c r="G1307" s="8"/>
    </row>
    <row r="1308" ht="21" customHeight="1" spans="1:7" x14ac:dyDescent="0.25">
      <c r="A1308" s="8"/>
      <c r="B1308" s="8"/>
      <c r="C1308" s="8"/>
      <c r="D1308" s="8"/>
      <c r="E1308" s="10">
        <f>IFERROR(VLOOKUP(C1308,'Inventory Master'!$A$3:$L$300,5,FALSE),0)</f>
      </c>
      <c r="F1308" s="10">
        <f>D1308*E1308</f>
      </c>
      <c r="G1308" s="8"/>
    </row>
    <row r="1309" ht="21" customHeight="1" spans="1:7" x14ac:dyDescent="0.25">
      <c r="A1309" s="8"/>
      <c r="B1309" s="8"/>
      <c r="C1309" s="8"/>
      <c r="D1309" s="8"/>
      <c r="E1309" s="10">
        <f>IFERROR(VLOOKUP(C1309,'Inventory Master'!$A$3:$L$300,5,FALSE),0)</f>
      </c>
      <c r="F1309" s="10">
        <f>D1309*E1309</f>
      </c>
      <c r="G1309" s="8"/>
    </row>
    <row r="1310" ht="21" customHeight="1" spans="1:7" x14ac:dyDescent="0.25">
      <c r="A1310" s="8"/>
      <c r="B1310" s="8"/>
      <c r="C1310" s="8"/>
      <c r="D1310" s="8"/>
      <c r="E1310" s="10">
        <f>IFERROR(VLOOKUP(C1310,'Inventory Master'!$A$3:$L$300,5,FALSE),0)</f>
      </c>
      <c r="F1310" s="10">
        <f>D1310*E1310</f>
      </c>
      <c r="G1310" s="8"/>
    </row>
    <row r="1311" ht="21" customHeight="1" spans="1:7" x14ac:dyDescent="0.25">
      <c r="A1311" s="8"/>
      <c r="B1311" s="8"/>
      <c r="C1311" s="8"/>
      <c r="D1311" s="8"/>
      <c r="E1311" s="10">
        <f>IFERROR(VLOOKUP(C1311,'Inventory Master'!$A$3:$L$300,5,FALSE),0)</f>
      </c>
      <c r="F1311" s="10">
        <f>D1311*E1311</f>
      </c>
      <c r="G1311" s="8"/>
    </row>
    <row r="1312" ht="21" customHeight="1" spans="1:7" x14ac:dyDescent="0.25">
      <c r="A1312" s="8"/>
      <c r="B1312" s="8"/>
      <c r="C1312" s="8"/>
      <c r="D1312" s="8"/>
      <c r="E1312" s="10">
        <f>IFERROR(VLOOKUP(C1312,'Inventory Master'!$A$3:$L$300,5,FALSE),0)</f>
      </c>
      <c r="F1312" s="10">
        <f>D1312*E1312</f>
      </c>
      <c r="G1312" s="8"/>
    </row>
    <row r="1313" ht="21" customHeight="1" spans="1:7" x14ac:dyDescent="0.25">
      <c r="A1313" s="8"/>
      <c r="B1313" s="8"/>
      <c r="C1313" s="8"/>
      <c r="D1313" s="8"/>
      <c r="E1313" s="10">
        <f>IFERROR(VLOOKUP(C1313,'Inventory Master'!$A$3:$L$300,5,FALSE),0)</f>
      </c>
      <c r="F1313" s="10">
        <f>D1313*E1313</f>
      </c>
      <c r="G1313" s="8"/>
    </row>
    <row r="1314" ht="21" customHeight="1" spans="1:7" x14ac:dyDescent="0.25">
      <c r="A1314" s="8"/>
      <c r="B1314" s="8"/>
      <c r="C1314" s="8"/>
      <c r="D1314" s="8"/>
      <c r="E1314" s="10">
        <f>IFERROR(VLOOKUP(C1314,'Inventory Master'!$A$3:$L$300,5,FALSE),0)</f>
      </c>
      <c r="F1314" s="10">
        <f>D1314*E1314</f>
      </c>
      <c r="G1314" s="8"/>
    </row>
    <row r="1315" ht="21" customHeight="1" spans="1:7" x14ac:dyDescent="0.25">
      <c r="A1315" s="8"/>
      <c r="B1315" s="8"/>
      <c r="C1315" s="8"/>
      <c r="D1315" s="8"/>
      <c r="E1315" s="10">
        <f>IFERROR(VLOOKUP(C1315,'Inventory Master'!$A$3:$L$300,5,FALSE),0)</f>
      </c>
      <c r="F1315" s="10">
        <f>D1315*E1315</f>
      </c>
      <c r="G1315" s="8"/>
    </row>
    <row r="1316" ht="21" customHeight="1" spans="1:7" x14ac:dyDescent="0.25">
      <c r="A1316" s="8"/>
      <c r="B1316" s="8"/>
      <c r="C1316" s="8"/>
      <c r="D1316" s="8"/>
      <c r="E1316" s="10">
        <f>IFERROR(VLOOKUP(C1316,'Inventory Master'!$A$3:$L$300,5,FALSE),0)</f>
      </c>
      <c r="F1316" s="10">
        <f>D1316*E1316</f>
      </c>
      <c r="G1316" s="8"/>
    </row>
    <row r="1317" ht="21" customHeight="1" spans="1:7" x14ac:dyDescent="0.25">
      <c r="A1317" s="8"/>
      <c r="B1317" s="8"/>
      <c r="C1317" s="8"/>
      <c r="D1317" s="8"/>
      <c r="E1317" s="10">
        <f>IFERROR(VLOOKUP(C1317,'Inventory Master'!$A$3:$L$300,5,FALSE),0)</f>
      </c>
      <c r="F1317" s="10">
        <f>D1317*E1317</f>
      </c>
      <c r="G1317" s="8"/>
    </row>
    <row r="1318" ht="21" customHeight="1" spans="1:7" x14ac:dyDescent="0.25">
      <c r="A1318" s="8"/>
      <c r="B1318" s="8"/>
      <c r="C1318" s="8"/>
      <c r="D1318" s="8"/>
      <c r="E1318" s="10">
        <f>IFERROR(VLOOKUP(C1318,'Inventory Master'!$A$3:$L$300,5,FALSE),0)</f>
      </c>
      <c r="F1318" s="10">
        <f>D1318*E1318</f>
      </c>
      <c r="G1318" s="8"/>
    </row>
    <row r="1319" ht="21" customHeight="1" spans="1:7" x14ac:dyDescent="0.25">
      <c r="A1319" s="8"/>
      <c r="B1319" s="8"/>
      <c r="C1319" s="8"/>
      <c r="D1319" s="8"/>
      <c r="E1319" s="10">
        <f>IFERROR(VLOOKUP(C1319,'Inventory Master'!$A$3:$L$300,5,FALSE),0)</f>
      </c>
      <c r="F1319" s="10">
        <f>D1319*E1319</f>
      </c>
      <c r="G1319" s="8"/>
    </row>
    <row r="1320" ht="21" customHeight="1" spans="1:7" x14ac:dyDescent="0.25">
      <c r="A1320" s="8"/>
      <c r="B1320" s="8"/>
      <c r="C1320" s="8"/>
      <c r="D1320" s="8"/>
      <c r="E1320" s="10">
        <f>IFERROR(VLOOKUP(C1320,'Inventory Master'!$A$3:$L$300,5,FALSE),0)</f>
      </c>
      <c r="F1320" s="10">
        <f>D1320*E1320</f>
      </c>
      <c r="G1320" s="8"/>
    </row>
    <row r="1321" ht="21" customHeight="1" spans="1:7" x14ac:dyDescent="0.25">
      <c r="A1321" s="8"/>
      <c r="B1321" s="8"/>
      <c r="C1321" s="8"/>
      <c r="D1321" s="8"/>
      <c r="E1321" s="10">
        <f>IFERROR(VLOOKUP(C1321,'Inventory Master'!$A$3:$L$300,5,FALSE),0)</f>
      </c>
      <c r="F1321" s="10">
        <f>D1321*E1321</f>
      </c>
      <c r="G1321" s="8"/>
    </row>
    <row r="1322" ht="21" customHeight="1" spans="1:7" x14ac:dyDescent="0.25">
      <c r="A1322" s="8"/>
      <c r="B1322" s="8"/>
      <c r="C1322" s="8"/>
      <c r="D1322" s="8"/>
      <c r="E1322" s="10">
        <f>IFERROR(VLOOKUP(C1322,'Inventory Master'!$A$3:$L$300,5,FALSE),0)</f>
      </c>
      <c r="F1322" s="10">
        <f>D1322*E1322</f>
      </c>
      <c r="G1322" s="8"/>
    </row>
    <row r="1323" ht="21" customHeight="1" spans="1:7" x14ac:dyDescent="0.25">
      <c r="A1323" s="8"/>
      <c r="B1323" s="8"/>
      <c r="C1323" s="8"/>
      <c r="D1323" s="8"/>
      <c r="E1323" s="10">
        <f>IFERROR(VLOOKUP(C1323,'Inventory Master'!$A$3:$L$300,5,FALSE),0)</f>
      </c>
      <c r="F1323" s="10">
        <f>D1323*E1323</f>
      </c>
      <c r="G1323" s="8"/>
    </row>
    <row r="1324" ht="21" customHeight="1" spans="1:7" x14ac:dyDescent="0.25">
      <c r="A1324" s="8"/>
      <c r="B1324" s="8"/>
      <c r="C1324" s="8"/>
      <c r="D1324" s="8"/>
      <c r="E1324" s="10">
        <f>IFERROR(VLOOKUP(C1324,'Inventory Master'!$A$3:$L$300,5,FALSE),0)</f>
      </c>
      <c r="F1324" s="10">
        <f>D1324*E1324</f>
      </c>
      <c r="G1324" s="8"/>
    </row>
    <row r="1325" ht="21" customHeight="1" spans="1:7" x14ac:dyDescent="0.25">
      <c r="A1325" s="8"/>
      <c r="B1325" s="8"/>
      <c r="C1325" s="8"/>
      <c r="D1325" s="8"/>
      <c r="E1325" s="10">
        <f>IFERROR(VLOOKUP(C1325,'Inventory Master'!$A$3:$L$300,5,FALSE),0)</f>
      </c>
      <c r="F1325" s="10">
        <f>D1325*E1325</f>
      </c>
      <c r="G1325" s="8"/>
    </row>
    <row r="1326" ht="21" customHeight="1" spans="1:7" x14ac:dyDescent="0.25">
      <c r="A1326" s="8"/>
      <c r="B1326" s="8"/>
      <c r="C1326" s="8"/>
      <c r="D1326" s="8"/>
      <c r="E1326" s="10">
        <f>IFERROR(VLOOKUP(C1326,'Inventory Master'!$A$3:$L$300,5,FALSE),0)</f>
      </c>
      <c r="F1326" s="10">
        <f>D1326*E1326</f>
      </c>
      <c r="G1326" s="8"/>
    </row>
    <row r="1327" ht="21" customHeight="1" spans="1:7" x14ac:dyDescent="0.25">
      <c r="A1327" s="8"/>
      <c r="B1327" s="8"/>
      <c r="C1327" s="8"/>
      <c r="D1327" s="8"/>
      <c r="E1327" s="10">
        <f>IFERROR(VLOOKUP(C1327,'Inventory Master'!$A$3:$L$300,5,FALSE),0)</f>
      </c>
      <c r="F1327" s="10">
        <f>D1327*E1327</f>
      </c>
      <c r="G1327" s="8"/>
    </row>
    <row r="1328" ht="21" customHeight="1" spans="1:7" x14ac:dyDescent="0.25">
      <c r="A1328" s="8"/>
      <c r="B1328" s="8"/>
      <c r="C1328" s="8"/>
      <c r="D1328" s="8"/>
      <c r="E1328" s="10">
        <f>IFERROR(VLOOKUP(C1328,'Inventory Master'!$A$3:$L$300,5,FALSE),0)</f>
      </c>
      <c r="F1328" s="10">
        <f>D1328*E1328</f>
      </c>
      <c r="G1328" s="8"/>
    </row>
    <row r="1329" ht="21" customHeight="1" spans="1:7" x14ac:dyDescent="0.25">
      <c r="A1329" s="8"/>
      <c r="B1329" s="8"/>
      <c r="C1329" s="8"/>
      <c r="D1329" s="8"/>
      <c r="E1329" s="10">
        <f>IFERROR(VLOOKUP(C1329,'Inventory Master'!$A$3:$L$300,5,FALSE),0)</f>
      </c>
      <c r="F1329" s="10">
        <f>D1329*E1329</f>
      </c>
      <c r="G1329" s="8"/>
    </row>
    <row r="1330" ht="21" customHeight="1" spans="1:7" x14ac:dyDescent="0.25">
      <c r="A1330" s="8"/>
      <c r="B1330" s="8"/>
      <c r="C1330" s="8"/>
      <c r="D1330" s="8"/>
      <c r="E1330" s="10">
        <f>IFERROR(VLOOKUP(C1330,'Inventory Master'!$A$3:$L$300,5,FALSE),0)</f>
      </c>
      <c r="F1330" s="10">
        <f>D1330*E1330</f>
      </c>
      <c r="G1330" s="8"/>
    </row>
    <row r="1331" ht="21" customHeight="1" spans="1:7" x14ac:dyDescent="0.25">
      <c r="A1331" s="8"/>
      <c r="B1331" s="8"/>
      <c r="C1331" s="8"/>
      <c r="D1331" s="8"/>
      <c r="E1331" s="10">
        <f>IFERROR(VLOOKUP(C1331,'Inventory Master'!$A$3:$L$300,5,FALSE),0)</f>
      </c>
      <c r="F1331" s="10">
        <f>D1331*E1331</f>
      </c>
      <c r="G1331" s="8"/>
    </row>
    <row r="1332" ht="21" customHeight="1" spans="1:7" x14ac:dyDescent="0.25">
      <c r="A1332" s="8"/>
      <c r="B1332" s="8"/>
      <c r="C1332" s="8"/>
      <c r="D1332" s="8"/>
      <c r="E1332" s="10">
        <f>IFERROR(VLOOKUP(C1332,'Inventory Master'!$A$3:$L$300,5,FALSE),0)</f>
      </c>
      <c r="F1332" s="10">
        <f>D1332*E1332</f>
      </c>
      <c r="G1332" s="8"/>
    </row>
    <row r="1333" ht="21" customHeight="1" spans="1:7" x14ac:dyDescent="0.25">
      <c r="A1333" s="8"/>
      <c r="B1333" s="8"/>
      <c r="C1333" s="8"/>
      <c r="D1333" s="8"/>
      <c r="E1333" s="10">
        <f>IFERROR(VLOOKUP(C1333,'Inventory Master'!$A$3:$L$300,5,FALSE),0)</f>
      </c>
      <c r="F1333" s="10">
        <f>D1333*E1333</f>
      </c>
      <c r="G1333" s="8"/>
    </row>
    <row r="1334" ht="21" customHeight="1" spans="1:7" x14ac:dyDescent="0.25">
      <c r="A1334" s="8"/>
      <c r="B1334" s="8"/>
      <c r="C1334" s="8"/>
      <c r="D1334" s="8"/>
      <c r="E1334" s="10">
        <f>IFERROR(VLOOKUP(C1334,'Inventory Master'!$A$3:$L$300,5,FALSE),0)</f>
      </c>
      <c r="F1334" s="10">
        <f>D1334*E1334</f>
      </c>
      <c r="G1334" s="8"/>
    </row>
    <row r="1335" ht="21" customHeight="1" spans="1:7" x14ac:dyDescent="0.25">
      <c r="A1335" s="8"/>
      <c r="B1335" s="8"/>
      <c r="C1335" s="8"/>
      <c r="D1335" s="8"/>
      <c r="E1335" s="10">
        <f>IFERROR(VLOOKUP(C1335,'Inventory Master'!$A$3:$L$300,5,FALSE),0)</f>
      </c>
      <c r="F1335" s="10">
        <f>D1335*E1335</f>
      </c>
      <c r="G1335" s="8"/>
    </row>
    <row r="1336" ht="21" customHeight="1" spans="1:7" x14ac:dyDescent="0.25">
      <c r="A1336" s="8"/>
      <c r="B1336" s="8"/>
      <c r="C1336" s="8"/>
      <c r="D1336" s="8"/>
      <c r="E1336" s="10">
        <f>IFERROR(VLOOKUP(C1336,'Inventory Master'!$A$3:$L$300,5,FALSE),0)</f>
      </c>
      <c r="F1336" s="10">
        <f>D1336*E1336</f>
      </c>
      <c r="G1336" s="8"/>
    </row>
    <row r="1337" ht="21" customHeight="1" spans="1:7" x14ac:dyDescent="0.25">
      <c r="A1337" s="8"/>
      <c r="B1337" s="8"/>
      <c r="C1337" s="8"/>
      <c r="D1337" s="8"/>
      <c r="E1337" s="10">
        <f>IFERROR(VLOOKUP(C1337,'Inventory Master'!$A$3:$L$300,5,FALSE),0)</f>
      </c>
      <c r="F1337" s="10">
        <f>D1337*E1337</f>
      </c>
      <c r="G1337" s="8"/>
    </row>
    <row r="1338" ht="21" customHeight="1" spans="1:7" x14ac:dyDescent="0.25">
      <c r="A1338" s="8"/>
      <c r="B1338" s="8"/>
      <c r="C1338" s="8"/>
      <c r="D1338" s="8"/>
      <c r="E1338" s="10">
        <f>IFERROR(VLOOKUP(C1338,'Inventory Master'!$A$3:$L$300,5,FALSE),0)</f>
      </c>
      <c r="F1338" s="10">
        <f>D1338*E1338</f>
      </c>
      <c r="G1338" s="8"/>
    </row>
    <row r="1339" ht="21" customHeight="1" spans="1:7" x14ac:dyDescent="0.25">
      <c r="A1339" s="8"/>
      <c r="B1339" s="8"/>
      <c r="C1339" s="8"/>
      <c r="D1339" s="8"/>
      <c r="E1339" s="10">
        <f>IFERROR(VLOOKUP(C1339,'Inventory Master'!$A$3:$L$300,5,FALSE),0)</f>
      </c>
      <c r="F1339" s="10">
        <f>D1339*E1339</f>
      </c>
      <c r="G1339" s="8"/>
    </row>
    <row r="1340" ht="21" customHeight="1" spans="1:7" x14ac:dyDescent="0.25">
      <c r="A1340" s="8"/>
      <c r="B1340" s="8"/>
      <c r="C1340" s="8"/>
      <c r="D1340" s="8"/>
      <c r="E1340" s="10">
        <f>IFERROR(VLOOKUP(C1340,'Inventory Master'!$A$3:$L$300,5,FALSE),0)</f>
      </c>
      <c r="F1340" s="10">
        <f>D1340*E1340</f>
      </c>
      <c r="G1340" s="8"/>
    </row>
    <row r="1341" ht="21" customHeight="1" spans="1:7" x14ac:dyDescent="0.25">
      <c r="A1341" s="8"/>
      <c r="B1341" s="8"/>
      <c r="C1341" s="8"/>
      <c r="D1341" s="8"/>
      <c r="E1341" s="10">
        <f>IFERROR(VLOOKUP(C1341,'Inventory Master'!$A$3:$L$300,5,FALSE),0)</f>
      </c>
      <c r="F1341" s="10">
        <f>D1341*E1341</f>
      </c>
      <c r="G1341" s="8"/>
    </row>
    <row r="1342" ht="21" customHeight="1" spans="1:7" x14ac:dyDescent="0.25">
      <c r="A1342" s="8"/>
      <c r="B1342" s="8"/>
      <c r="C1342" s="8"/>
      <c r="D1342" s="8"/>
      <c r="E1342" s="10">
        <f>IFERROR(VLOOKUP(C1342,'Inventory Master'!$A$3:$L$300,5,FALSE),0)</f>
      </c>
      <c r="F1342" s="10">
        <f>D1342*E1342</f>
      </c>
      <c r="G1342" s="8"/>
    </row>
    <row r="1343" ht="21" customHeight="1" spans="1:7" x14ac:dyDescent="0.25">
      <c r="A1343" s="8"/>
      <c r="B1343" s="8"/>
      <c r="C1343" s="8"/>
      <c r="D1343" s="8"/>
      <c r="E1343" s="10">
        <f>IFERROR(VLOOKUP(C1343,'Inventory Master'!$A$3:$L$300,5,FALSE),0)</f>
      </c>
      <c r="F1343" s="10">
        <f>D1343*E1343</f>
      </c>
      <c r="G1343" s="8"/>
    </row>
    <row r="1344" ht="21" customHeight="1" spans="1:7" x14ac:dyDescent="0.25">
      <c r="A1344" s="8"/>
      <c r="B1344" s="8"/>
      <c r="C1344" s="8"/>
      <c r="D1344" s="8"/>
      <c r="E1344" s="10">
        <f>IFERROR(VLOOKUP(C1344,'Inventory Master'!$A$3:$L$300,5,FALSE),0)</f>
      </c>
      <c r="F1344" s="10">
        <f>D1344*E1344</f>
      </c>
      <c r="G1344" s="8"/>
    </row>
    <row r="1345" ht="21" customHeight="1" spans="1:7" x14ac:dyDescent="0.25">
      <c r="A1345" s="8"/>
      <c r="B1345" s="8"/>
      <c r="C1345" s="8"/>
      <c r="D1345" s="8"/>
      <c r="E1345" s="10">
        <f>IFERROR(VLOOKUP(C1345,'Inventory Master'!$A$3:$L$300,5,FALSE),0)</f>
      </c>
      <c r="F1345" s="10">
        <f>D1345*E1345</f>
      </c>
      <c r="G1345" s="8"/>
    </row>
    <row r="1346" ht="21" customHeight="1" spans="1:7" x14ac:dyDescent="0.25">
      <c r="A1346" s="8"/>
      <c r="B1346" s="8"/>
      <c r="C1346" s="8"/>
      <c r="D1346" s="8"/>
      <c r="E1346" s="10">
        <f>IFERROR(VLOOKUP(C1346,'Inventory Master'!$A$3:$L$300,5,FALSE),0)</f>
      </c>
      <c r="F1346" s="10">
        <f>D1346*E1346</f>
      </c>
      <c r="G1346" s="8"/>
    </row>
    <row r="1347" ht="21" customHeight="1" spans="1:7" x14ac:dyDescent="0.25">
      <c r="A1347" s="8"/>
      <c r="B1347" s="8"/>
      <c r="C1347" s="8"/>
      <c r="D1347" s="8"/>
      <c r="E1347" s="10">
        <f>IFERROR(VLOOKUP(C1347,'Inventory Master'!$A$3:$L$300,5,FALSE),0)</f>
      </c>
      <c r="F1347" s="10">
        <f>D1347*E1347</f>
      </c>
      <c r="G1347" s="8"/>
    </row>
    <row r="1348" ht="21" customHeight="1" spans="1:7" x14ac:dyDescent="0.25">
      <c r="A1348" s="8"/>
      <c r="B1348" s="8"/>
      <c r="C1348" s="8"/>
      <c r="D1348" s="8"/>
      <c r="E1348" s="10">
        <f>IFERROR(VLOOKUP(C1348,'Inventory Master'!$A$3:$L$300,5,FALSE),0)</f>
      </c>
      <c r="F1348" s="10">
        <f>D1348*E1348</f>
      </c>
      <c r="G1348" s="8"/>
    </row>
    <row r="1349" ht="21" customHeight="1" spans="1:7" x14ac:dyDescent="0.25">
      <c r="A1349" s="8"/>
      <c r="B1349" s="8"/>
      <c r="C1349" s="8"/>
      <c r="D1349" s="8"/>
      <c r="E1349" s="10">
        <f>IFERROR(VLOOKUP(C1349,'Inventory Master'!$A$3:$L$300,5,FALSE),0)</f>
      </c>
      <c r="F1349" s="10">
        <f>D1349*E1349</f>
      </c>
      <c r="G1349" s="8"/>
    </row>
    <row r="1350" ht="21" customHeight="1" spans="1:7" x14ac:dyDescent="0.25">
      <c r="A1350" s="8"/>
      <c r="B1350" s="8"/>
      <c r="C1350" s="8"/>
      <c r="D1350" s="8"/>
      <c r="E1350" s="10">
        <f>IFERROR(VLOOKUP(C1350,'Inventory Master'!$A$3:$L$300,5,FALSE),0)</f>
      </c>
      <c r="F1350" s="10">
        <f>D1350*E1350</f>
      </c>
      <c r="G1350" s="8"/>
    </row>
    <row r="1351" ht="21" customHeight="1" spans="1:7" x14ac:dyDescent="0.25">
      <c r="A1351" s="8"/>
      <c r="B1351" s="8"/>
      <c r="C1351" s="8"/>
      <c r="D1351" s="8"/>
      <c r="E1351" s="10">
        <f>IFERROR(VLOOKUP(C1351,'Inventory Master'!$A$3:$L$300,5,FALSE),0)</f>
      </c>
      <c r="F1351" s="10">
        <f>D1351*E1351</f>
      </c>
      <c r="G1351" s="8"/>
    </row>
    <row r="1352" ht="21" customHeight="1" spans="1:7" x14ac:dyDescent="0.25">
      <c r="A1352" s="8"/>
      <c r="B1352" s="8"/>
      <c r="C1352" s="8"/>
      <c r="D1352" s="8"/>
      <c r="E1352" s="10">
        <f>IFERROR(VLOOKUP(C1352,'Inventory Master'!$A$3:$L$300,5,FALSE),0)</f>
      </c>
      <c r="F1352" s="10">
        <f>D1352*E1352</f>
      </c>
      <c r="G1352" s="8"/>
    </row>
    <row r="1353" ht="21" customHeight="1" spans="1:7" x14ac:dyDescent="0.25">
      <c r="A1353" s="8"/>
      <c r="B1353" s="8"/>
      <c r="C1353" s="8"/>
      <c r="D1353" s="8"/>
      <c r="E1353" s="10">
        <f>IFERROR(VLOOKUP(C1353,'Inventory Master'!$A$3:$L$300,5,FALSE),0)</f>
      </c>
      <c r="F1353" s="10">
        <f>D1353*E1353</f>
      </c>
      <c r="G1353" s="8"/>
    </row>
    <row r="1354" ht="21" customHeight="1" spans="1:7" x14ac:dyDescent="0.25">
      <c r="A1354" s="8"/>
      <c r="B1354" s="8"/>
      <c r="C1354" s="8"/>
      <c r="D1354" s="8"/>
      <c r="E1354" s="10">
        <f>IFERROR(VLOOKUP(C1354,'Inventory Master'!$A$3:$L$300,5,FALSE),0)</f>
      </c>
      <c r="F1354" s="10">
        <f>D1354*E1354</f>
      </c>
      <c r="G1354" s="8"/>
    </row>
    <row r="1355" ht="21" customHeight="1" spans="1:7" x14ac:dyDescent="0.25">
      <c r="A1355" s="8"/>
      <c r="B1355" s="8"/>
      <c r="C1355" s="8"/>
      <c r="D1355" s="8"/>
      <c r="E1355" s="10">
        <f>IFERROR(VLOOKUP(C1355,'Inventory Master'!$A$3:$L$300,5,FALSE),0)</f>
      </c>
      <c r="F1355" s="10">
        <f>D1355*E1355</f>
      </c>
      <c r="G1355" s="8"/>
    </row>
    <row r="1356" ht="21" customHeight="1" spans="1:7" x14ac:dyDescent="0.25">
      <c r="A1356" s="8"/>
      <c r="B1356" s="8"/>
      <c r="C1356" s="8"/>
      <c r="D1356" s="8"/>
      <c r="E1356" s="10">
        <f>IFERROR(VLOOKUP(C1356,'Inventory Master'!$A$3:$L$300,5,FALSE),0)</f>
      </c>
      <c r="F1356" s="10">
        <f>D1356*E1356</f>
      </c>
      <c r="G1356" s="8"/>
    </row>
    <row r="1357" ht="21" customHeight="1" spans="1:7" x14ac:dyDescent="0.25">
      <c r="A1357" s="8"/>
      <c r="B1357" s="8"/>
      <c r="C1357" s="8"/>
      <c r="D1357" s="8"/>
      <c r="E1357" s="10">
        <f>IFERROR(VLOOKUP(C1357,'Inventory Master'!$A$3:$L$300,5,FALSE),0)</f>
      </c>
      <c r="F1357" s="10">
        <f>D1357*E1357</f>
      </c>
      <c r="G1357" s="8"/>
    </row>
    <row r="1358" ht="21" customHeight="1" spans="1:7" x14ac:dyDescent="0.25">
      <c r="A1358" s="8"/>
      <c r="B1358" s="8"/>
      <c r="C1358" s="8"/>
      <c r="D1358" s="8"/>
      <c r="E1358" s="10">
        <f>IFERROR(VLOOKUP(C1358,'Inventory Master'!$A$3:$L$300,5,FALSE),0)</f>
      </c>
      <c r="F1358" s="10">
        <f>D1358*E1358</f>
      </c>
      <c r="G1358" s="8"/>
    </row>
    <row r="1359" ht="21" customHeight="1" spans="1:7" x14ac:dyDescent="0.25">
      <c r="A1359" s="8"/>
      <c r="B1359" s="8"/>
      <c r="C1359" s="8"/>
      <c r="D1359" s="8"/>
      <c r="E1359" s="10">
        <f>IFERROR(VLOOKUP(C1359,'Inventory Master'!$A$3:$L$300,5,FALSE),0)</f>
      </c>
      <c r="F1359" s="10">
        <f>D1359*E1359</f>
      </c>
      <c r="G1359" s="8"/>
    </row>
    <row r="1360" ht="21" customHeight="1" spans="1:7" x14ac:dyDescent="0.25">
      <c r="A1360" s="8"/>
      <c r="B1360" s="8"/>
      <c r="C1360" s="8"/>
      <c r="D1360" s="8"/>
      <c r="E1360" s="10">
        <f>IFERROR(VLOOKUP(C1360,'Inventory Master'!$A$3:$L$300,5,FALSE),0)</f>
      </c>
      <c r="F1360" s="10">
        <f>D1360*E1360</f>
      </c>
      <c r="G1360" s="8"/>
    </row>
    <row r="1361" ht="21" customHeight="1" spans="1:7" x14ac:dyDescent="0.25">
      <c r="A1361" s="8"/>
      <c r="B1361" s="8"/>
      <c r="C1361" s="8"/>
      <c r="D1361" s="8"/>
      <c r="E1361" s="10">
        <f>IFERROR(VLOOKUP(C1361,'Inventory Master'!$A$3:$L$300,5,FALSE),0)</f>
      </c>
      <c r="F1361" s="10">
        <f>D1361*E1361</f>
      </c>
      <c r="G1361" s="8"/>
    </row>
    <row r="1362" ht="21" customHeight="1" spans="1:7" x14ac:dyDescent="0.25">
      <c r="A1362" s="8"/>
      <c r="B1362" s="8"/>
      <c r="C1362" s="8"/>
      <c r="D1362" s="8"/>
      <c r="E1362" s="10">
        <f>IFERROR(VLOOKUP(C1362,'Inventory Master'!$A$3:$L$300,5,FALSE),0)</f>
      </c>
      <c r="F1362" s="10">
        <f>D1362*E1362</f>
      </c>
      <c r="G1362" s="8"/>
    </row>
    <row r="1363" ht="21" customHeight="1" spans="1:7" x14ac:dyDescent="0.25">
      <c r="A1363" s="8"/>
      <c r="B1363" s="8"/>
      <c r="C1363" s="8"/>
      <c r="D1363" s="8"/>
      <c r="E1363" s="10">
        <f>IFERROR(VLOOKUP(C1363,'Inventory Master'!$A$3:$L$300,5,FALSE),0)</f>
      </c>
      <c r="F1363" s="10">
        <f>D1363*E1363</f>
      </c>
      <c r="G1363" s="8"/>
    </row>
    <row r="1364" ht="21" customHeight="1" spans="1:7" x14ac:dyDescent="0.25">
      <c r="A1364" s="8"/>
      <c r="B1364" s="8"/>
      <c r="C1364" s="8"/>
      <c r="D1364" s="8"/>
      <c r="E1364" s="10">
        <f>IFERROR(VLOOKUP(C1364,'Inventory Master'!$A$3:$L$300,5,FALSE),0)</f>
      </c>
      <c r="F1364" s="10">
        <f>D1364*E1364</f>
      </c>
      <c r="G1364" s="8"/>
    </row>
    <row r="1365" ht="21" customHeight="1" spans="1:7" x14ac:dyDescent="0.25">
      <c r="A1365" s="8"/>
      <c r="B1365" s="8"/>
      <c r="C1365" s="8"/>
      <c r="D1365" s="8"/>
      <c r="E1365" s="10">
        <f>IFERROR(VLOOKUP(C1365,'Inventory Master'!$A$3:$L$300,5,FALSE),0)</f>
      </c>
      <c r="F1365" s="10">
        <f>D1365*E1365</f>
      </c>
      <c r="G1365" s="8"/>
    </row>
    <row r="1366" ht="21" customHeight="1" spans="1:7" x14ac:dyDescent="0.25">
      <c r="A1366" s="8"/>
      <c r="B1366" s="8"/>
      <c r="C1366" s="8"/>
      <c r="D1366" s="8"/>
      <c r="E1366" s="10">
        <f>IFERROR(VLOOKUP(C1366,'Inventory Master'!$A$3:$L$300,5,FALSE),0)</f>
      </c>
      <c r="F1366" s="10">
        <f>D1366*E1366</f>
      </c>
      <c r="G1366" s="8"/>
    </row>
    <row r="1367" ht="21" customHeight="1" spans="1:7" x14ac:dyDescent="0.25">
      <c r="A1367" s="8"/>
      <c r="B1367" s="8"/>
      <c r="C1367" s="8"/>
      <c r="D1367" s="8"/>
      <c r="E1367" s="10">
        <f>IFERROR(VLOOKUP(C1367,'Inventory Master'!$A$3:$L$300,5,FALSE),0)</f>
      </c>
      <c r="F1367" s="10">
        <f>D1367*E1367</f>
      </c>
      <c r="G1367" s="8"/>
    </row>
    <row r="1368" ht="21" customHeight="1" spans="1:7" x14ac:dyDescent="0.25">
      <c r="A1368" s="8"/>
      <c r="B1368" s="8"/>
      <c r="C1368" s="8"/>
      <c r="D1368" s="8"/>
      <c r="E1368" s="10">
        <f>IFERROR(VLOOKUP(C1368,'Inventory Master'!$A$3:$L$300,5,FALSE),0)</f>
      </c>
      <c r="F1368" s="10">
        <f>D1368*E1368</f>
      </c>
      <c r="G1368" s="8"/>
    </row>
    <row r="1369" ht="21" customHeight="1" spans="1:7" x14ac:dyDescent="0.25">
      <c r="A1369" s="8"/>
      <c r="B1369" s="8"/>
      <c r="C1369" s="8"/>
      <c r="D1369" s="8"/>
      <c r="E1369" s="10">
        <f>IFERROR(VLOOKUP(C1369,'Inventory Master'!$A$3:$L$300,5,FALSE),0)</f>
      </c>
      <c r="F1369" s="10">
        <f>D1369*E1369</f>
      </c>
      <c r="G1369" s="8"/>
    </row>
    <row r="1370" ht="21" customHeight="1" spans="1:7" x14ac:dyDescent="0.25">
      <c r="A1370" s="8"/>
      <c r="B1370" s="8"/>
      <c r="C1370" s="8"/>
      <c r="D1370" s="8"/>
      <c r="E1370" s="10">
        <f>IFERROR(VLOOKUP(C1370,'Inventory Master'!$A$3:$L$300,5,FALSE),0)</f>
      </c>
      <c r="F1370" s="10">
        <f>D1370*E1370</f>
      </c>
      <c r="G1370" s="8"/>
    </row>
    <row r="1371" ht="21" customHeight="1" spans="1:7" x14ac:dyDescent="0.25">
      <c r="A1371" s="8"/>
      <c r="B1371" s="8"/>
      <c r="C1371" s="8"/>
      <c r="D1371" s="8"/>
      <c r="E1371" s="10">
        <f>IFERROR(VLOOKUP(C1371,'Inventory Master'!$A$3:$L$300,5,FALSE),0)</f>
      </c>
      <c r="F1371" s="10">
        <f>D1371*E1371</f>
      </c>
      <c r="G1371" s="8"/>
    </row>
    <row r="1372" ht="21" customHeight="1" spans="1:7" x14ac:dyDescent="0.25">
      <c r="A1372" s="8"/>
      <c r="B1372" s="8"/>
      <c r="C1372" s="8"/>
      <c r="D1372" s="8"/>
      <c r="E1372" s="10">
        <f>IFERROR(VLOOKUP(C1372,'Inventory Master'!$A$3:$L$300,5,FALSE),0)</f>
      </c>
      <c r="F1372" s="10">
        <f>D1372*E1372</f>
      </c>
      <c r="G1372" s="8"/>
    </row>
    <row r="1373" ht="21" customHeight="1" spans="1:7" x14ac:dyDescent="0.25">
      <c r="A1373" s="8"/>
      <c r="B1373" s="8"/>
      <c r="C1373" s="8"/>
      <c r="D1373" s="8"/>
      <c r="E1373" s="10">
        <f>IFERROR(VLOOKUP(C1373,'Inventory Master'!$A$3:$L$300,5,FALSE),0)</f>
      </c>
      <c r="F1373" s="10">
        <f>D1373*E1373</f>
      </c>
      <c r="G1373" s="8"/>
    </row>
    <row r="1374" ht="21" customHeight="1" spans="1:7" x14ac:dyDescent="0.25">
      <c r="A1374" s="8"/>
      <c r="B1374" s="8"/>
      <c r="C1374" s="8"/>
      <c r="D1374" s="8"/>
      <c r="E1374" s="10">
        <f>IFERROR(VLOOKUP(C1374,'Inventory Master'!$A$3:$L$300,5,FALSE),0)</f>
      </c>
      <c r="F1374" s="10">
        <f>D1374*E1374</f>
      </c>
      <c r="G1374" s="8"/>
    </row>
    <row r="1375" ht="21" customHeight="1" spans="1:7" x14ac:dyDescent="0.25">
      <c r="A1375" s="8"/>
      <c r="B1375" s="8"/>
      <c r="C1375" s="8"/>
      <c r="D1375" s="8"/>
      <c r="E1375" s="10">
        <f>IFERROR(VLOOKUP(C1375,'Inventory Master'!$A$3:$L$300,5,FALSE),0)</f>
      </c>
      <c r="F1375" s="10">
        <f>D1375*E1375</f>
      </c>
      <c r="G1375" s="8"/>
    </row>
    <row r="1376" ht="21" customHeight="1" spans="1:7" x14ac:dyDescent="0.25">
      <c r="A1376" s="8"/>
      <c r="B1376" s="8"/>
      <c r="C1376" s="8"/>
      <c r="D1376" s="8"/>
      <c r="E1376" s="10">
        <f>IFERROR(VLOOKUP(C1376,'Inventory Master'!$A$3:$L$300,5,FALSE),0)</f>
      </c>
      <c r="F1376" s="10">
        <f>D1376*E1376</f>
      </c>
      <c r="G1376" s="8"/>
    </row>
    <row r="1377" ht="21" customHeight="1" spans="1:7" x14ac:dyDescent="0.25">
      <c r="A1377" s="8"/>
      <c r="B1377" s="8"/>
      <c r="C1377" s="8"/>
      <c r="D1377" s="8"/>
      <c r="E1377" s="10">
        <f>IFERROR(VLOOKUP(C1377,'Inventory Master'!$A$3:$L$300,5,FALSE),0)</f>
      </c>
      <c r="F1377" s="10">
        <f>D1377*E1377</f>
      </c>
      <c r="G1377" s="8"/>
    </row>
    <row r="1378" ht="21" customHeight="1" spans="1:7" x14ac:dyDescent="0.25">
      <c r="A1378" s="8"/>
      <c r="B1378" s="8"/>
      <c r="C1378" s="8"/>
      <c r="D1378" s="8"/>
      <c r="E1378" s="10">
        <f>IFERROR(VLOOKUP(C1378,'Inventory Master'!$A$3:$L$300,5,FALSE),0)</f>
      </c>
      <c r="F1378" s="10">
        <f>D1378*E1378</f>
      </c>
      <c r="G1378" s="8"/>
    </row>
    <row r="1379" ht="21" customHeight="1" spans="1:7" x14ac:dyDescent="0.25">
      <c r="A1379" s="8"/>
      <c r="B1379" s="8"/>
      <c r="C1379" s="8"/>
      <c r="D1379" s="8"/>
      <c r="E1379" s="10">
        <f>IFERROR(VLOOKUP(C1379,'Inventory Master'!$A$3:$L$300,5,FALSE),0)</f>
      </c>
      <c r="F1379" s="10">
        <f>D1379*E1379</f>
      </c>
      <c r="G1379" s="8"/>
    </row>
    <row r="1380" ht="21" customHeight="1" spans="1:7" x14ac:dyDescent="0.25">
      <c r="A1380" s="8"/>
      <c r="B1380" s="8"/>
      <c r="C1380" s="8"/>
      <c r="D1380" s="8"/>
      <c r="E1380" s="10">
        <f>IFERROR(VLOOKUP(C1380,'Inventory Master'!$A$3:$L$300,5,FALSE),0)</f>
      </c>
      <c r="F1380" s="10">
        <f>D1380*E1380</f>
      </c>
      <c r="G1380" s="8"/>
    </row>
    <row r="1381" ht="21" customHeight="1" spans="1:7" x14ac:dyDescent="0.25">
      <c r="A1381" s="8"/>
      <c r="B1381" s="8"/>
      <c r="C1381" s="8"/>
      <c r="D1381" s="8"/>
      <c r="E1381" s="10">
        <f>IFERROR(VLOOKUP(C1381,'Inventory Master'!$A$3:$L$300,5,FALSE),0)</f>
      </c>
      <c r="F1381" s="10">
        <f>D1381*E1381</f>
      </c>
      <c r="G1381" s="8"/>
    </row>
    <row r="1382" ht="21" customHeight="1" spans="1:7" x14ac:dyDescent="0.25">
      <c r="A1382" s="8"/>
      <c r="B1382" s="8"/>
      <c r="C1382" s="8"/>
      <c r="D1382" s="8"/>
      <c r="E1382" s="10">
        <f>IFERROR(VLOOKUP(C1382,'Inventory Master'!$A$3:$L$300,5,FALSE),0)</f>
      </c>
      <c r="F1382" s="10">
        <f>D1382*E1382</f>
      </c>
      <c r="G1382" s="8"/>
    </row>
    <row r="1383" ht="21" customHeight="1" spans="1:7" x14ac:dyDescent="0.25">
      <c r="A1383" s="8"/>
      <c r="B1383" s="8"/>
      <c r="C1383" s="8"/>
      <c r="D1383" s="8"/>
      <c r="E1383" s="10">
        <f>IFERROR(VLOOKUP(C1383,'Inventory Master'!$A$3:$L$300,5,FALSE),0)</f>
      </c>
      <c r="F1383" s="10">
        <f>D1383*E1383</f>
      </c>
      <c r="G1383" s="8"/>
    </row>
    <row r="1384" ht="21" customHeight="1" spans="1:7" x14ac:dyDescent="0.25">
      <c r="A1384" s="8"/>
      <c r="B1384" s="8"/>
      <c r="C1384" s="8"/>
      <c r="D1384" s="8"/>
      <c r="E1384" s="10">
        <f>IFERROR(VLOOKUP(C1384,'Inventory Master'!$A$3:$L$300,5,FALSE),0)</f>
      </c>
      <c r="F1384" s="10">
        <f>D1384*E1384</f>
      </c>
      <c r="G1384" s="8"/>
    </row>
    <row r="1385" ht="21" customHeight="1" spans="1:7" x14ac:dyDescent="0.25">
      <c r="A1385" s="8"/>
      <c r="B1385" s="8"/>
      <c r="C1385" s="8"/>
      <c r="D1385" s="8"/>
      <c r="E1385" s="10">
        <f>IFERROR(VLOOKUP(C1385,'Inventory Master'!$A$3:$L$300,5,FALSE),0)</f>
      </c>
      <c r="F1385" s="10">
        <f>D1385*E1385</f>
      </c>
      <c r="G1385" s="8"/>
    </row>
    <row r="1386" ht="21" customHeight="1" spans="1:7" x14ac:dyDescent="0.25">
      <c r="A1386" s="8"/>
      <c r="B1386" s="8"/>
      <c r="C1386" s="8"/>
      <c r="D1386" s="8"/>
      <c r="E1386" s="10">
        <f>IFERROR(VLOOKUP(C1386,'Inventory Master'!$A$3:$L$300,5,FALSE),0)</f>
      </c>
      <c r="F1386" s="10">
        <f>D1386*E1386</f>
      </c>
      <c r="G1386" s="8"/>
    </row>
    <row r="1387" ht="21" customHeight="1" spans="1:7" x14ac:dyDescent="0.25">
      <c r="A1387" s="8"/>
      <c r="B1387" s="8"/>
      <c r="C1387" s="8"/>
      <c r="D1387" s="8"/>
      <c r="E1387" s="10">
        <f>IFERROR(VLOOKUP(C1387,'Inventory Master'!$A$3:$L$300,5,FALSE),0)</f>
      </c>
      <c r="F1387" s="10">
        <f>D1387*E1387</f>
      </c>
      <c r="G1387" s="8"/>
    </row>
    <row r="1388" ht="21" customHeight="1" spans="1:7" x14ac:dyDescent="0.25">
      <c r="A1388" s="8"/>
      <c r="B1388" s="8"/>
      <c r="C1388" s="8"/>
      <c r="D1388" s="8"/>
      <c r="E1388" s="10">
        <f>IFERROR(VLOOKUP(C1388,'Inventory Master'!$A$3:$L$300,5,FALSE),0)</f>
      </c>
      <c r="F1388" s="10">
        <f>D1388*E1388</f>
      </c>
      <c r="G1388" s="8"/>
    </row>
    <row r="1389" ht="21" customHeight="1" spans="1:7" x14ac:dyDescent="0.25">
      <c r="A1389" s="8"/>
      <c r="B1389" s="8"/>
      <c r="C1389" s="8"/>
      <c r="D1389" s="8"/>
      <c r="E1389" s="10">
        <f>IFERROR(VLOOKUP(C1389,'Inventory Master'!$A$3:$L$300,5,FALSE),0)</f>
      </c>
      <c r="F1389" s="10">
        <f>D1389*E1389</f>
      </c>
      <c r="G1389" s="8"/>
    </row>
    <row r="1390" ht="21" customHeight="1" spans="1:7" x14ac:dyDescent="0.25">
      <c r="A1390" s="8"/>
      <c r="B1390" s="8"/>
      <c r="C1390" s="8"/>
      <c r="D1390" s="8"/>
      <c r="E1390" s="10">
        <f>IFERROR(VLOOKUP(C1390,'Inventory Master'!$A$3:$L$300,5,FALSE),0)</f>
      </c>
      <c r="F1390" s="10">
        <f>D1390*E1390</f>
      </c>
      <c r="G1390" s="8"/>
    </row>
    <row r="1391" ht="21" customHeight="1" spans="1:7" x14ac:dyDescent="0.25">
      <c r="A1391" s="8"/>
      <c r="B1391" s="8"/>
      <c r="C1391" s="8"/>
      <c r="D1391" s="8"/>
      <c r="E1391" s="10">
        <f>IFERROR(VLOOKUP(C1391,'Inventory Master'!$A$3:$L$300,5,FALSE),0)</f>
      </c>
      <c r="F1391" s="10">
        <f>D1391*E1391</f>
      </c>
      <c r="G1391" s="8"/>
    </row>
    <row r="1392" ht="21" customHeight="1" spans="1:7" x14ac:dyDescent="0.25">
      <c r="A1392" s="8"/>
      <c r="B1392" s="8"/>
      <c r="C1392" s="8"/>
      <c r="D1392" s="8"/>
      <c r="E1392" s="10">
        <f>IFERROR(VLOOKUP(C1392,'Inventory Master'!$A$3:$L$300,5,FALSE),0)</f>
      </c>
      <c r="F1392" s="10">
        <f>D1392*E1392</f>
      </c>
      <c r="G1392" s="8"/>
    </row>
    <row r="1393" ht="21" customHeight="1" spans="1:7" x14ac:dyDescent="0.25">
      <c r="A1393" s="8"/>
      <c r="B1393" s="8"/>
      <c r="C1393" s="8"/>
      <c r="D1393" s="8"/>
      <c r="E1393" s="10">
        <f>IFERROR(VLOOKUP(C1393,'Inventory Master'!$A$3:$L$300,5,FALSE),0)</f>
      </c>
      <c r="F1393" s="10">
        <f>D1393*E1393</f>
      </c>
      <c r="G1393" s="8"/>
    </row>
    <row r="1394" ht="21" customHeight="1" spans="1:7" x14ac:dyDescent="0.25">
      <c r="A1394" s="8"/>
      <c r="B1394" s="8"/>
      <c r="C1394" s="8"/>
      <c r="D1394" s="8"/>
      <c r="E1394" s="10">
        <f>IFERROR(VLOOKUP(C1394,'Inventory Master'!$A$3:$L$300,5,FALSE),0)</f>
      </c>
      <c r="F1394" s="10">
        <f>D1394*E1394</f>
      </c>
      <c r="G1394" s="8"/>
    </row>
    <row r="1395" ht="21" customHeight="1" spans="1:7" x14ac:dyDescent="0.25">
      <c r="A1395" s="8"/>
      <c r="B1395" s="8"/>
      <c r="C1395" s="8"/>
      <c r="D1395" s="8"/>
      <c r="E1395" s="10">
        <f>IFERROR(VLOOKUP(C1395,'Inventory Master'!$A$3:$L$300,5,FALSE),0)</f>
      </c>
      <c r="F1395" s="10">
        <f>D1395*E1395</f>
      </c>
      <c r="G1395" s="8"/>
    </row>
    <row r="1396" ht="21" customHeight="1" spans="1:7" x14ac:dyDescent="0.25">
      <c r="A1396" s="8"/>
      <c r="B1396" s="8"/>
      <c r="C1396" s="8"/>
      <c r="D1396" s="8"/>
      <c r="E1396" s="10">
        <f>IFERROR(VLOOKUP(C1396,'Inventory Master'!$A$3:$L$300,5,FALSE),0)</f>
      </c>
      <c r="F1396" s="10">
        <f>D1396*E1396</f>
      </c>
      <c r="G1396" s="8"/>
    </row>
    <row r="1397" ht="21" customHeight="1" spans="1:7" x14ac:dyDescent="0.25">
      <c r="A1397" s="8"/>
      <c r="B1397" s="8"/>
      <c r="C1397" s="8"/>
      <c r="D1397" s="8"/>
      <c r="E1397" s="10">
        <f>IFERROR(VLOOKUP(C1397,'Inventory Master'!$A$3:$L$300,5,FALSE),0)</f>
      </c>
      <c r="F1397" s="10">
        <f>D1397*E1397</f>
      </c>
      <c r="G1397" s="8"/>
    </row>
    <row r="1398" ht="21" customHeight="1" spans="1:7" x14ac:dyDescent="0.25">
      <c r="A1398" s="8"/>
      <c r="B1398" s="8"/>
      <c r="C1398" s="8"/>
      <c r="D1398" s="8"/>
      <c r="E1398" s="10">
        <f>IFERROR(VLOOKUP(C1398,'Inventory Master'!$A$3:$L$300,5,FALSE),0)</f>
      </c>
      <c r="F1398" s="10">
        <f>D1398*E1398</f>
      </c>
      <c r="G1398" s="8"/>
    </row>
    <row r="1399" ht="21" customHeight="1" spans="1:7" x14ac:dyDescent="0.25">
      <c r="A1399" s="8"/>
      <c r="B1399" s="8"/>
      <c r="C1399" s="8"/>
      <c r="D1399" s="8"/>
      <c r="E1399" s="10">
        <f>IFERROR(VLOOKUP(C1399,'Inventory Master'!$A$3:$L$300,5,FALSE),0)</f>
      </c>
      <c r="F1399" s="10">
        <f>D1399*E1399</f>
      </c>
      <c r="G1399" s="8"/>
    </row>
    <row r="1400" ht="21" customHeight="1" spans="1:7" x14ac:dyDescent="0.25">
      <c r="A1400" s="8"/>
      <c r="B1400" s="8"/>
      <c r="C1400" s="8"/>
      <c r="D1400" s="8"/>
      <c r="E1400" s="10">
        <f>IFERROR(VLOOKUP(C1400,'Inventory Master'!$A$3:$L$300,5,FALSE),0)</f>
      </c>
      <c r="F1400" s="10">
        <f>D1400*E1400</f>
      </c>
      <c r="G1400" s="8"/>
    </row>
    <row r="1401" ht="21" customHeight="1" spans="1:7" x14ac:dyDescent="0.25">
      <c r="A1401" s="8"/>
      <c r="B1401" s="8"/>
      <c r="C1401" s="8"/>
      <c r="D1401" s="8"/>
      <c r="E1401" s="10">
        <f>IFERROR(VLOOKUP(C1401,'Inventory Master'!$A$3:$L$300,5,FALSE),0)</f>
      </c>
      <c r="F1401" s="10">
        <f>D1401*E1401</f>
      </c>
      <c r="G1401" s="8"/>
    </row>
    <row r="1402" ht="21" customHeight="1" spans="1:7" x14ac:dyDescent="0.25">
      <c r="A1402" s="8"/>
      <c r="B1402" s="8"/>
      <c r="C1402" s="8"/>
      <c r="D1402" s="8"/>
      <c r="E1402" s="10">
        <f>IFERROR(VLOOKUP(C1402,'Inventory Master'!$A$3:$L$300,5,FALSE),0)</f>
      </c>
      <c r="F1402" s="10">
        <f>D1402*E1402</f>
      </c>
      <c r="G1402" s="8"/>
    </row>
    <row r="1403" ht="21" customHeight="1" spans="1:7" x14ac:dyDescent="0.25">
      <c r="A1403" s="8"/>
      <c r="B1403" s="8"/>
      <c r="C1403" s="8"/>
      <c r="D1403" s="8"/>
      <c r="E1403" s="10">
        <f>IFERROR(VLOOKUP(C1403,'Inventory Master'!$A$3:$L$300,5,FALSE),0)</f>
      </c>
      <c r="F1403" s="10">
        <f>D1403*E1403</f>
      </c>
      <c r="G1403" s="8"/>
    </row>
    <row r="1404" ht="21" customHeight="1" spans="1:7" x14ac:dyDescent="0.25">
      <c r="A1404" s="8"/>
      <c r="B1404" s="8"/>
      <c r="C1404" s="8"/>
      <c r="D1404" s="8"/>
      <c r="E1404" s="10">
        <f>IFERROR(VLOOKUP(C1404,'Inventory Master'!$A$3:$L$300,5,FALSE),0)</f>
      </c>
      <c r="F1404" s="10">
        <f>D1404*E1404</f>
      </c>
      <c r="G1404" s="8"/>
    </row>
    <row r="1405" ht="21" customHeight="1" spans="1:7" x14ac:dyDescent="0.25">
      <c r="A1405" s="8"/>
      <c r="B1405" s="8"/>
      <c r="C1405" s="8"/>
      <c r="D1405" s="8"/>
      <c r="E1405" s="10">
        <f>IFERROR(VLOOKUP(C1405,'Inventory Master'!$A$3:$L$300,5,FALSE),0)</f>
      </c>
      <c r="F1405" s="10">
        <f>D1405*E1405</f>
      </c>
      <c r="G1405" s="8"/>
    </row>
    <row r="1406" ht="21" customHeight="1" spans="1:7" x14ac:dyDescent="0.25">
      <c r="A1406" s="8"/>
      <c r="B1406" s="8"/>
      <c r="C1406" s="8"/>
      <c r="D1406" s="8"/>
      <c r="E1406" s="10">
        <f>IFERROR(VLOOKUP(C1406,'Inventory Master'!$A$3:$L$300,5,FALSE),0)</f>
      </c>
      <c r="F1406" s="10">
        <f>D1406*E1406</f>
      </c>
      <c r="G1406" s="8"/>
    </row>
    <row r="1407" ht="21" customHeight="1" spans="1:7" x14ac:dyDescent="0.25">
      <c r="A1407" s="8"/>
      <c r="B1407" s="8"/>
      <c r="C1407" s="8"/>
      <c r="D1407" s="8"/>
      <c r="E1407" s="10">
        <f>IFERROR(VLOOKUP(C1407,'Inventory Master'!$A$3:$L$300,5,FALSE),0)</f>
      </c>
      <c r="F1407" s="10">
        <f>D1407*E1407</f>
      </c>
      <c r="G1407" s="8"/>
    </row>
    <row r="1408" ht="21" customHeight="1" spans="1:7" x14ac:dyDescent="0.25">
      <c r="A1408" s="8"/>
      <c r="B1408" s="8"/>
      <c r="C1408" s="8"/>
      <c r="D1408" s="8"/>
      <c r="E1408" s="10">
        <f>IFERROR(VLOOKUP(C1408,'Inventory Master'!$A$3:$L$300,5,FALSE),0)</f>
      </c>
      <c r="F1408" s="10">
        <f>D1408*E1408</f>
      </c>
      <c r="G1408" s="8"/>
    </row>
    <row r="1409" ht="21" customHeight="1" spans="1:7" x14ac:dyDescent="0.25">
      <c r="A1409" s="8"/>
      <c r="B1409" s="8"/>
      <c r="C1409" s="8"/>
      <c r="D1409" s="8"/>
      <c r="E1409" s="10">
        <f>IFERROR(VLOOKUP(C1409,'Inventory Master'!$A$3:$L$300,5,FALSE),0)</f>
      </c>
      <c r="F1409" s="10">
        <f>D1409*E1409</f>
      </c>
      <c r="G1409" s="8"/>
    </row>
    <row r="1410" ht="21" customHeight="1" spans="1:7" x14ac:dyDescent="0.25">
      <c r="A1410" s="8"/>
      <c r="B1410" s="8"/>
      <c r="C1410" s="8"/>
      <c r="D1410" s="8"/>
      <c r="E1410" s="10">
        <f>IFERROR(VLOOKUP(C1410,'Inventory Master'!$A$3:$L$300,5,FALSE),0)</f>
      </c>
      <c r="F1410" s="10">
        <f>D1410*E1410</f>
      </c>
      <c r="G1410" s="8"/>
    </row>
    <row r="1411" ht="21" customHeight="1" spans="1:7" x14ac:dyDescent="0.25">
      <c r="A1411" s="8"/>
      <c r="B1411" s="8"/>
      <c r="C1411" s="8"/>
      <c r="D1411" s="8"/>
      <c r="E1411" s="10">
        <f>IFERROR(VLOOKUP(C1411,'Inventory Master'!$A$3:$L$300,5,FALSE),0)</f>
      </c>
      <c r="F1411" s="10">
        <f>D1411*E1411</f>
      </c>
      <c r="G1411" s="8"/>
    </row>
    <row r="1412" ht="21" customHeight="1" spans="1:7" x14ac:dyDescent="0.25">
      <c r="A1412" s="8"/>
      <c r="B1412" s="8"/>
      <c r="C1412" s="8"/>
      <c r="D1412" s="8"/>
      <c r="E1412" s="10">
        <f>IFERROR(VLOOKUP(C1412,'Inventory Master'!$A$3:$L$300,5,FALSE),0)</f>
      </c>
      <c r="F1412" s="10">
        <f>D1412*E1412</f>
      </c>
      <c r="G1412" s="8"/>
    </row>
    <row r="1413" ht="21" customHeight="1" spans="1:7" x14ac:dyDescent="0.25">
      <c r="A1413" s="8"/>
      <c r="B1413" s="8"/>
      <c r="C1413" s="8"/>
      <c r="D1413" s="8"/>
      <c r="E1413" s="10">
        <f>IFERROR(VLOOKUP(C1413,'Inventory Master'!$A$3:$L$300,5,FALSE),0)</f>
      </c>
      <c r="F1413" s="10">
        <f>D1413*E1413</f>
      </c>
      <c r="G1413" s="8"/>
    </row>
    <row r="1414" ht="21" customHeight="1" spans="1:7" x14ac:dyDescent="0.25">
      <c r="A1414" s="8"/>
      <c r="B1414" s="8"/>
      <c r="C1414" s="8"/>
      <c r="D1414" s="8"/>
      <c r="E1414" s="10">
        <f>IFERROR(VLOOKUP(C1414,'Inventory Master'!$A$3:$L$300,5,FALSE),0)</f>
      </c>
      <c r="F1414" s="10">
        <f>D1414*E1414</f>
      </c>
      <c r="G1414" s="8"/>
    </row>
    <row r="1415" ht="21" customHeight="1" spans="1:7" x14ac:dyDescent="0.25">
      <c r="A1415" s="8"/>
      <c r="B1415" s="8"/>
      <c r="C1415" s="8"/>
      <c r="D1415" s="8"/>
      <c r="E1415" s="10">
        <f>IFERROR(VLOOKUP(C1415,'Inventory Master'!$A$3:$L$300,5,FALSE),0)</f>
      </c>
      <c r="F1415" s="10">
        <f>D1415*E1415</f>
      </c>
      <c r="G1415" s="8"/>
    </row>
    <row r="1416" ht="21" customHeight="1" spans="1:7" x14ac:dyDescent="0.25">
      <c r="A1416" s="8"/>
      <c r="B1416" s="8"/>
      <c r="C1416" s="8"/>
      <c r="D1416" s="8"/>
      <c r="E1416" s="10">
        <f>IFERROR(VLOOKUP(C1416,'Inventory Master'!$A$3:$L$300,5,FALSE),0)</f>
      </c>
      <c r="F1416" s="10">
        <f>D1416*E1416</f>
      </c>
      <c r="G1416" s="8"/>
    </row>
    <row r="1417" ht="21" customHeight="1" spans="1:7" x14ac:dyDescent="0.25">
      <c r="A1417" s="8"/>
      <c r="B1417" s="8"/>
      <c r="C1417" s="8"/>
      <c r="D1417" s="8"/>
      <c r="E1417" s="10">
        <f>IFERROR(VLOOKUP(C1417,'Inventory Master'!$A$3:$L$300,5,FALSE),0)</f>
      </c>
      <c r="F1417" s="10">
        <f>D1417*E1417</f>
      </c>
      <c r="G1417" s="8"/>
    </row>
    <row r="1418" ht="21" customHeight="1" spans="1:7" x14ac:dyDescent="0.25">
      <c r="A1418" s="8"/>
      <c r="B1418" s="8"/>
      <c r="C1418" s="8"/>
      <c r="D1418" s="8"/>
      <c r="E1418" s="10">
        <f>IFERROR(VLOOKUP(C1418,'Inventory Master'!$A$3:$L$300,5,FALSE),0)</f>
      </c>
      <c r="F1418" s="10">
        <f>D1418*E1418</f>
      </c>
      <c r="G1418" s="8"/>
    </row>
    <row r="1419" ht="21" customHeight="1" spans="1:7" x14ac:dyDescent="0.25">
      <c r="A1419" s="8"/>
      <c r="B1419" s="8"/>
      <c r="C1419" s="8"/>
      <c r="D1419" s="8"/>
      <c r="E1419" s="10">
        <f>IFERROR(VLOOKUP(C1419,'Inventory Master'!$A$3:$L$300,5,FALSE),0)</f>
      </c>
      <c r="F1419" s="10">
        <f>D1419*E1419</f>
      </c>
      <c r="G1419" s="8"/>
    </row>
    <row r="1420" ht="21" customHeight="1" spans="1:7" x14ac:dyDescent="0.25">
      <c r="A1420" s="8"/>
      <c r="B1420" s="8"/>
      <c r="C1420" s="8"/>
      <c r="D1420" s="8"/>
      <c r="E1420" s="10">
        <f>IFERROR(VLOOKUP(C1420,'Inventory Master'!$A$3:$L$300,5,FALSE),0)</f>
      </c>
      <c r="F1420" s="10">
        <f>D1420*E1420</f>
      </c>
      <c r="G1420" s="8"/>
    </row>
    <row r="1421" ht="21" customHeight="1" spans="1:7" x14ac:dyDescent="0.25">
      <c r="A1421" s="8"/>
      <c r="B1421" s="8"/>
      <c r="C1421" s="8"/>
      <c r="D1421" s="8"/>
      <c r="E1421" s="10">
        <f>IFERROR(VLOOKUP(C1421,'Inventory Master'!$A$3:$L$300,5,FALSE),0)</f>
      </c>
      <c r="F1421" s="10">
        <f>D1421*E1421</f>
      </c>
      <c r="G1421" s="8"/>
    </row>
    <row r="1422" ht="21" customHeight="1" spans="1:7" x14ac:dyDescent="0.25">
      <c r="A1422" s="8"/>
      <c r="B1422" s="8"/>
      <c r="C1422" s="8"/>
      <c r="D1422" s="8"/>
      <c r="E1422" s="10">
        <f>IFERROR(VLOOKUP(C1422,'Inventory Master'!$A$3:$L$300,5,FALSE),0)</f>
      </c>
      <c r="F1422" s="10">
        <f>D1422*E1422</f>
      </c>
      <c r="G1422" s="8"/>
    </row>
    <row r="1423" ht="21" customHeight="1" spans="1:7" x14ac:dyDescent="0.25">
      <c r="A1423" s="8"/>
      <c r="B1423" s="8"/>
      <c r="C1423" s="8"/>
      <c r="D1423" s="8"/>
      <c r="E1423" s="10">
        <f>IFERROR(VLOOKUP(C1423,'Inventory Master'!$A$3:$L$300,5,FALSE),0)</f>
      </c>
      <c r="F1423" s="10">
        <f>D1423*E1423</f>
      </c>
      <c r="G1423" s="8"/>
    </row>
    <row r="1424" ht="21" customHeight="1" spans="1:7" x14ac:dyDescent="0.25">
      <c r="A1424" s="8"/>
      <c r="B1424" s="8"/>
      <c r="C1424" s="8"/>
      <c r="D1424" s="8"/>
      <c r="E1424" s="10">
        <f>IFERROR(VLOOKUP(C1424,'Inventory Master'!$A$3:$L$300,5,FALSE),0)</f>
      </c>
      <c r="F1424" s="10">
        <f>D1424*E1424</f>
      </c>
      <c r="G1424" s="8"/>
    </row>
    <row r="1425" ht="21" customHeight="1" spans="1:7" x14ac:dyDescent="0.25">
      <c r="A1425" s="8"/>
      <c r="B1425" s="8"/>
      <c r="C1425" s="8"/>
      <c r="D1425" s="8"/>
      <c r="E1425" s="10">
        <f>IFERROR(VLOOKUP(C1425,'Inventory Master'!$A$3:$L$300,5,FALSE),0)</f>
      </c>
      <c r="F1425" s="10">
        <f>D1425*E1425</f>
      </c>
      <c r="G1425" s="8"/>
    </row>
    <row r="1426" ht="21" customHeight="1" spans="1:7" x14ac:dyDescent="0.25">
      <c r="A1426" s="8"/>
      <c r="B1426" s="8"/>
      <c r="C1426" s="8"/>
      <c r="D1426" s="8"/>
      <c r="E1426" s="10">
        <f>IFERROR(VLOOKUP(C1426,'Inventory Master'!$A$3:$L$300,5,FALSE),0)</f>
      </c>
      <c r="F1426" s="10">
        <f>D1426*E1426</f>
      </c>
      <c r="G1426" s="8"/>
    </row>
    <row r="1427" ht="21" customHeight="1" spans="1:7" x14ac:dyDescent="0.25">
      <c r="A1427" s="8"/>
      <c r="B1427" s="8"/>
      <c r="C1427" s="8"/>
      <c r="D1427" s="8"/>
      <c r="E1427" s="10">
        <f>IFERROR(VLOOKUP(C1427,'Inventory Master'!$A$3:$L$300,5,FALSE),0)</f>
      </c>
      <c r="F1427" s="10">
        <f>D1427*E1427</f>
      </c>
      <c r="G1427" s="8"/>
    </row>
    <row r="1428" ht="21" customHeight="1" spans="1:7" x14ac:dyDescent="0.25">
      <c r="A1428" s="8"/>
      <c r="B1428" s="8"/>
      <c r="C1428" s="8"/>
      <c r="D1428" s="8"/>
      <c r="E1428" s="10">
        <f>IFERROR(VLOOKUP(C1428,'Inventory Master'!$A$3:$L$300,5,FALSE),0)</f>
      </c>
      <c r="F1428" s="10">
        <f>D1428*E1428</f>
      </c>
      <c r="G1428" s="8"/>
    </row>
    <row r="1429" ht="21" customHeight="1" spans="1:7" x14ac:dyDescent="0.25">
      <c r="A1429" s="8"/>
      <c r="B1429" s="8"/>
      <c r="C1429" s="8"/>
      <c r="D1429" s="8"/>
      <c r="E1429" s="10">
        <f>IFERROR(VLOOKUP(C1429,'Inventory Master'!$A$3:$L$300,5,FALSE),0)</f>
      </c>
      <c r="F1429" s="10">
        <f>D1429*E1429</f>
      </c>
      <c r="G1429" s="8"/>
    </row>
    <row r="1430" ht="21" customHeight="1" spans="1:7" x14ac:dyDescent="0.25">
      <c r="A1430" s="8"/>
      <c r="B1430" s="8"/>
      <c r="C1430" s="8"/>
      <c r="D1430" s="8"/>
      <c r="E1430" s="10">
        <f>IFERROR(VLOOKUP(C1430,'Inventory Master'!$A$3:$L$300,5,FALSE),0)</f>
      </c>
      <c r="F1430" s="10">
        <f>D1430*E1430</f>
      </c>
      <c r="G1430" s="8"/>
    </row>
    <row r="1431" ht="21" customHeight="1" spans="1:7" x14ac:dyDescent="0.25">
      <c r="A1431" s="8"/>
      <c r="B1431" s="8"/>
      <c r="C1431" s="8"/>
      <c r="D1431" s="8"/>
      <c r="E1431" s="10">
        <f>IFERROR(VLOOKUP(C1431,'Inventory Master'!$A$3:$L$300,5,FALSE),0)</f>
      </c>
      <c r="F1431" s="10">
        <f>D1431*E1431</f>
      </c>
      <c r="G1431" s="8"/>
    </row>
    <row r="1432" ht="21" customHeight="1" spans="1:7" x14ac:dyDescent="0.25">
      <c r="A1432" s="8"/>
      <c r="B1432" s="8"/>
      <c r="C1432" s="8"/>
      <c r="D1432" s="8"/>
      <c r="E1432" s="10">
        <f>IFERROR(VLOOKUP(C1432,'Inventory Master'!$A$3:$L$300,5,FALSE),0)</f>
      </c>
      <c r="F1432" s="10">
        <f>D1432*E1432</f>
      </c>
      <c r="G1432" s="8"/>
    </row>
    <row r="1433" ht="21" customHeight="1" spans="1:7" x14ac:dyDescent="0.25">
      <c r="A1433" s="8"/>
      <c r="B1433" s="8"/>
      <c r="C1433" s="8"/>
      <c r="D1433" s="8"/>
      <c r="E1433" s="10">
        <f>IFERROR(VLOOKUP(C1433,'Inventory Master'!$A$3:$L$300,5,FALSE),0)</f>
      </c>
      <c r="F1433" s="10">
        <f>D1433*E1433</f>
      </c>
      <c r="G1433" s="8"/>
    </row>
    <row r="1434" ht="21" customHeight="1" spans="1:7" x14ac:dyDescent="0.25">
      <c r="A1434" s="8"/>
      <c r="B1434" s="8"/>
      <c r="C1434" s="8"/>
      <c r="D1434" s="8"/>
      <c r="E1434" s="10">
        <f>IFERROR(VLOOKUP(C1434,'Inventory Master'!$A$3:$L$300,5,FALSE),0)</f>
      </c>
      <c r="F1434" s="10">
        <f>D1434*E1434</f>
      </c>
      <c r="G1434" s="8"/>
    </row>
    <row r="1435" ht="21" customHeight="1" spans="1:7" x14ac:dyDescent="0.25">
      <c r="A1435" s="8"/>
      <c r="B1435" s="8"/>
      <c r="C1435" s="8"/>
      <c r="D1435" s="8"/>
      <c r="E1435" s="10">
        <f>IFERROR(VLOOKUP(C1435,'Inventory Master'!$A$3:$L$300,5,FALSE),0)</f>
      </c>
      <c r="F1435" s="10">
        <f>D1435*E1435</f>
      </c>
      <c r="G1435" s="8"/>
    </row>
    <row r="1436" ht="21" customHeight="1" spans="1:7" x14ac:dyDescent="0.25">
      <c r="A1436" s="8"/>
      <c r="B1436" s="8"/>
      <c r="C1436" s="8"/>
      <c r="D1436" s="8"/>
      <c r="E1436" s="10">
        <f>IFERROR(VLOOKUP(C1436,'Inventory Master'!$A$3:$L$300,5,FALSE),0)</f>
      </c>
      <c r="F1436" s="10">
        <f>D1436*E1436</f>
      </c>
      <c r="G1436" s="8"/>
    </row>
    <row r="1437" ht="21" customHeight="1" spans="1:7" x14ac:dyDescent="0.25">
      <c r="A1437" s="8"/>
      <c r="B1437" s="8"/>
      <c r="C1437" s="8"/>
      <c r="D1437" s="8"/>
      <c r="E1437" s="10">
        <f>IFERROR(VLOOKUP(C1437,'Inventory Master'!$A$3:$L$300,5,FALSE),0)</f>
      </c>
      <c r="F1437" s="10">
        <f>D1437*E1437</f>
      </c>
      <c r="G1437" s="8"/>
    </row>
    <row r="1438" ht="21" customHeight="1" spans="1:7" x14ac:dyDescent="0.25">
      <c r="A1438" s="8"/>
      <c r="B1438" s="8"/>
      <c r="C1438" s="8"/>
      <c r="D1438" s="8"/>
      <c r="E1438" s="10">
        <f>IFERROR(VLOOKUP(C1438,'Inventory Master'!$A$3:$L$300,5,FALSE),0)</f>
      </c>
      <c r="F1438" s="10">
        <f>D1438*E1438</f>
      </c>
      <c r="G1438" s="8"/>
    </row>
    <row r="1439" ht="21" customHeight="1" spans="1:7" x14ac:dyDescent="0.25">
      <c r="A1439" s="8"/>
      <c r="B1439" s="8"/>
      <c r="C1439" s="8"/>
      <c r="D1439" s="8"/>
      <c r="E1439" s="10">
        <f>IFERROR(VLOOKUP(C1439,'Inventory Master'!$A$3:$L$300,5,FALSE),0)</f>
      </c>
      <c r="F1439" s="10">
        <f>D1439*E1439</f>
      </c>
      <c r="G1439" s="8"/>
    </row>
    <row r="1440" ht="21" customHeight="1" spans="1:7" x14ac:dyDescent="0.25">
      <c r="A1440" s="8"/>
      <c r="B1440" s="8"/>
      <c r="C1440" s="8"/>
      <c r="D1440" s="8"/>
      <c r="E1440" s="10">
        <f>IFERROR(VLOOKUP(C1440,'Inventory Master'!$A$3:$L$300,5,FALSE),0)</f>
      </c>
      <c r="F1440" s="10">
        <f>D1440*E1440</f>
      </c>
      <c r="G1440" s="8"/>
    </row>
    <row r="1441" ht="21" customHeight="1" spans="1:7" x14ac:dyDescent="0.25">
      <c r="A1441" s="8"/>
      <c r="B1441" s="8"/>
      <c r="C1441" s="8"/>
      <c r="D1441" s="8"/>
      <c r="E1441" s="10">
        <f>IFERROR(VLOOKUP(C1441,'Inventory Master'!$A$3:$L$300,5,FALSE),0)</f>
      </c>
      <c r="F1441" s="10">
        <f>D1441*E1441</f>
      </c>
      <c r="G1441" s="8"/>
    </row>
    <row r="1442" ht="21" customHeight="1" spans="1:7" x14ac:dyDescent="0.25">
      <c r="A1442" s="8"/>
      <c r="B1442" s="8"/>
      <c r="C1442" s="8"/>
      <c r="D1442" s="8"/>
      <c r="E1442" s="10">
        <f>IFERROR(VLOOKUP(C1442,'Inventory Master'!$A$3:$L$300,5,FALSE),0)</f>
      </c>
      <c r="F1442" s="10">
        <f>D1442*E1442</f>
      </c>
      <c r="G1442" s="8"/>
    </row>
    <row r="1443" ht="21" customHeight="1" spans="1:7" x14ac:dyDescent="0.25">
      <c r="A1443" s="8"/>
      <c r="B1443" s="8"/>
      <c r="C1443" s="8"/>
      <c r="D1443" s="8"/>
      <c r="E1443" s="10">
        <f>IFERROR(VLOOKUP(C1443,'Inventory Master'!$A$3:$L$300,5,FALSE),0)</f>
      </c>
      <c r="F1443" s="10">
        <f>D1443*E1443</f>
      </c>
      <c r="G1443" s="8"/>
    </row>
    <row r="1444" ht="21" customHeight="1" spans="1:7" x14ac:dyDescent="0.25">
      <c r="A1444" s="8"/>
      <c r="B1444" s="8"/>
      <c r="C1444" s="8"/>
      <c r="D1444" s="8"/>
      <c r="E1444" s="10">
        <f>IFERROR(VLOOKUP(C1444,'Inventory Master'!$A$3:$L$300,5,FALSE),0)</f>
      </c>
      <c r="F1444" s="10">
        <f>D1444*E1444</f>
      </c>
      <c r="G1444" s="8"/>
    </row>
    <row r="1445" ht="21" customHeight="1" spans="1:7" x14ac:dyDescent="0.25">
      <c r="A1445" s="8"/>
      <c r="B1445" s="8"/>
      <c r="C1445" s="8"/>
      <c r="D1445" s="8"/>
      <c r="E1445" s="10">
        <f>IFERROR(VLOOKUP(C1445,'Inventory Master'!$A$3:$L$300,5,FALSE),0)</f>
      </c>
      <c r="F1445" s="10">
        <f>D1445*E1445</f>
      </c>
      <c r="G1445" s="8"/>
    </row>
    <row r="1446" ht="21" customHeight="1" spans="1:7" x14ac:dyDescent="0.25">
      <c r="A1446" s="8"/>
      <c r="B1446" s="8"/>
      <c r="C1446" s="8"/>
      <c r="D1446" s="8"/>
      <c r="E1446" s="10">
        <f>IFERROR(VLOOKUP(C1446,'Inventory Master'!$A$3:$L$300,5,FALSE),0)</f>
      </c>
      <c r="F1446" s="10">
        <f>D1446*E1446</f>
      </c>
      <c r="G1446" s="8"/>
    </row>
    <row r="1447" ht="21" customHeight="1" spans="1:7" x14ac:dyDescent="0.25">
      <c r="A1447" s="8"/>
      <c r="B1447" s="8"/>
      <c r="C1447" s="8"/>
      <c r="D1447" s="8"/>
      <c r="E1447" s="10">
        <f>IFERROR(VLOOKUP(C1447,'Inventory Master'!$A$3:$L$300,5,FALSE),0)</f>
      </c>
      <c r="F1447" s="10">
        <f>D1447*E1447</f>
      </c>
      <c r="G1447" s="8"/>
    </row>
    <row r="1448" ht="21" customHeight="1" spans="1:7" x14ac:dyDescent="0.25">
      <c r="A1448" s="8"/>
      <c r="B1448" s="8"/>
      <c r="C1448" s="8"/>
      <c r="D1448" s="8"/>
      <c r="E1448" s="10">
        <f>IFERROR(VLOOKUP(C1448,'Inventory Master'!$A$3:$L$300,5,FALSE),0)</f>
      </c>
      <c r="F1448" s="10">
        <f>D1448*E1448</f>
      </c>
      <c r="G1448" s="8"/>
    </row>
    <row r="1449" ht="21" customHeight="1" spans="1:7" x14ac:dyDescent="0.25">
      <c r="A1449" s="8"/>
      <c r="B1449" s="8"/>
      <c r="C1449" s="8"/>
      <c r="D1449" s="8"/>
      <c r="E1449" s="10">
        <f>IFERROR(VLOOKUP(C1449,'Inventory Master'!$A$3:$L$300,5,FALSE),0)</f>
      </c>
      <c r="F1449" s="10">
        <f>D1449*E1449</f>
      </c>
      <c r="G1449" s="8"/>
    </row>
    <row r="1450" ht="21" customHeight="1" spans="1:7" x14ac:dyDescent="0.25">
      <c r="A1450" s="8"/>
      <c r="B1450" s="8"/>
      <c r="C1450" s="8"/>
      <c r="D1450" s="8"/>
      <c r="E1450" s="10">
        <f>IFERROR(VLOOKUP(C1450,'Inventory Master'!$A$3:$L$300,5,FALSE),0)</f>
      </c>
      <c r="F1450" s="10">
        <f>D1450*E1450</f>
      </c>
      <c r="G1450" s="8"/>
    </row>
    <row r="1451" ht="21" customHeight="1" spans="1:7" x14ac:dyDescent="0.25">
      <c r="A1451" s="8"/>
      <c r="B1451" s="8"/>
      <c r="C1451" s="8"/>
      <c r="D1451" s="8"/>
      <c r="E1451" s="10">
        <f>IFERROR(VLOOKUP(C1451,'Inventory Master'!$A$3:$L$300,5,FALSE),0)</f>
      </c>
      <c r="F1451" s="10">
        <f>D1451*E1451</f>
      </c>
      <c r="G1451" s="8"/>
    </row>
    <row r="1452" ht="21" customHeight="1" spans="1:7" x14ac:dyDescent="0.25">
      <c r="A1452" s="8"/>
      <c r="B1452" s="8"/>
      <c r="C1452" s="8"/>
      <c r="D1452" s="8"/>
      <c r="E1452" s="10">
        <f>IFERROR(VLOOKUP(C1452,'Inventory Master'!$A$3:$L$300,5,FALSE),0)</f>
      </c>
      <c r="F1452" s="10">
        <f>D1452*E1452</f>
      </c>
      <c r="G1452" s="8"/>
    </row>
    <row r="1453" ht="21" customHeight="1" spans="1:7" x14ac:dyDescent="0.25">
      <c r="A1453" s="8"/>
      <c r="B1453" s="8"/>
      <c r="C1453" s="8"/>
      <c r="D1453" s="8"/>
      <c r="E1453" s="10">
        <f>IFERROR(VLOOKUP(C1453,'Inventory Master'!$A$3:$L$300,5,FALSE),0)</f>
      </c>
      <c r="F1453" s="10">
        <f>D1453*E1453</f>
      </c>
      <c r="G1453" s="8"/>
    </row>
    <row r="1454" ht="21" customHeight="1" spans="1:7" x14ac:dyDescent="0.25">
      <c r="A1454" s="8"/>
      <c r="B1454" s="8"/>
      <c r="C1454" s="8"/>
      <c r="D1454" s="8"/>
      <c r="E1454" s="10">
        <f>IFERROR(VLOOKUP(C1454,'Inventory Master'!$A$3:$L$300,5,FALSE),0)</f>
      </c>
      <c r="F1454" s="10">
        <f>D1454*E1454</f>
      </c>
      <c r="G1454" s="8"/>
    </row>
    <row r="1455" ht="21" customHeight="1" spans="1:7" x14ac:dyDescent="0.25">
      <c r="A1455" s="8"/>
      <c r="B1455" s="8"/>
      <c r="C1455" s="8"/>
      <c r="D1455" s="8"/>
      <c r="E1455" s="10">
        <f>IFERROR(VLOOKUP(C1455,'Inventory Master'!$A$3:$L$300,5,FALSE),0)</f>
      </c>
      <c r="F1455" s="10">
        <f>D1455*E1455</f>
      </c>
      <c r="G1455" s="8"/>
    </row>
    <row r="1456" ht="21" customHeight="1" spans="1:7" x14ac:dyDescent="0.25">
      <c r="A1456" s="8"/>
      <c r="B1456" s="8"/>
      <c r="C1456" s="8"/>
      <c r="D1456" s="8"/>
      <c r="E1456" s="10">
        <f>IFERROR(VLOOKUP(C1456,'Inventory Master'!$A$3:$L$300,5,FALSE),0)</f>
      </c>
      <c r="F1456" s="10">
        <f>D1456*E1456</f>
      </c>
      <c r="G1456" s="8"/>
    </row>
    <row r="1457" ht="21" customHeight="1" spans="1:7" x14ac:dyDescent="0.25">
      <c r="A1457" s="8"/>
      <c r="B1457" s="8"/>
      <c r="C1457" s="8"/>
      <c r="D1457" s="8"/>
      <c r="E1457" s="10">
        <f>IFERROR(VLOOKUP(C1457,'Inventory Master'!$A$3:$L$300,5,FALSE),0)</f>
      </c>
      <c r="F1457" s="10">
        <f>D1457*E1457</f>
      </c>
      <c r="G1457" s="8"/>
    </row>
    <row r="1458" ht="21" customHeight="1" spans="1:7" x14ac:dyDescent="0.25">
      <c r="A1458" s="8"/>
      <c r="B1458" s="8"/>
      <c r="C1458" s="8"/>
      <c r="D1458" s="8"/>
      <c r="E1458" s="10">
        <f>IFERROR(VLOOKUP(C1458,'Inventory Master'!$A$3:$L$300,5,FALSE),0)</f>
      </c>
      <c r="F1458" s="10">
        <f>D1458*E1458</f>
      </c>
      <c r="G1458" s="8"/>
    </row>
    <row r="1459" ht="21" customHeight="1" spans="1:7" x14ac:dyDescent="0.25">
      <c r="A1459" s="8"/>
      <c r="B1459" s="8"/>
      <c r="C1459" s="8"/>
      <c r="D1459" s="8"/>
      <c r="E1459" s="10">
        <f>IFERROR(VLOOKUP(C1459,'Inventory Master'!$A$3:$L$300,5,FALSE),0)</f>
      </c>
      <c r="F1459" s="10">
        <f>D1459*E1459</f>
      </c>
      <c r="G1459" s="8"/>
    </row>
    <row r="1460" ht="21" customHeight="1" spans="1:7" x14ac:dyDescent="0.25">
      <c r="A1460" s="8"/>
      <c r="B1460" s="8"/>
      <c r="C1460" s="8"/>
      <c r="D1460" s="8"/>
      <c r="E1460" s="10">
        <f>IFERROR(VLOOKUP(C1460,'Inventory Master'!$A$3:$L$300,5,FALSE),0)</f>
      </c>
      <c r="F1460" s="10">
        <f>D1460*E1460</f>
      </c>
      <c r="G1460" s="8"/>
    </row>
    <row r="1461" ht="21" customHeight="1" spans="1:7" x14ac:dyDescent="0.25">
      <c r="A1461" s="8"/>
      <c r="B1461" s="8"/>
      <c r="C1461" s="8"/>
      <c r="D1461" s="8"/>
      <c r="E1461" s="10">
        <f>IFERROR(VLOOKUP(C1461,'Inventory Master'!$A$3:$L$300,5,FALSE),0)</f>
      </c>
      <c r="F1461" s="10">
        <f>D1461*E1461</f>
      </c>
      <c r="G1461" s="8"/>
    </row>
    <row r="1462" ht="21" customHeight="1" spans="1:7" x14ac:dyDescent="0.25">
      <c r="A1462" s="8"/>
      <c r="B1462" s="8"/>
      <c r="C1462" s="8"/>
      <c r="D1462" s="8"/>
      <c r="E1462" s="10">
        <f>IFERROR(VLOOKUP(C1462,'Inventory Master'!$A$3:$L$300,5,FALSE),0)</f>
      </c>
      <c r="F1462" s="10">
        <f>D1462*E1462</f>
      </c>
      <c r="G1462" s="8"/>
    </row>
    <row r="1463" ht="21" customHeight="1" spans="1:7" x14ac:dyDescent="0.25">
      <c r="A1463" s="8"/>
      <c r="B1463" s="8"/>
      <c r="C1463" s="8"/>
      <c r="D1463" s="8"/>
      <c r="E1463" s="10">
        <f>IFERROR(VLOOKUP(C1463,'Inventory Master'!$A$3:$L$300,5,FALSE),0)</f>
      </c>
      <c r="F1463" s="10">
        <f>D1463*E1463</f>
      </c>
      <c r="G1463" s="8"/>
    </row>
    <row r="1464" ht="21" customHeight="1" spans="1:7" x14ac:dyDescent="0.25">
      <c r="A1464" s="8"/>
      <c r="B1464" s="8"/>
      <c r="C1464" s="8"/>
      <c r="D1464" s="8"/>
      <c r="E1464" s="10">
        <f>IFERROR(VLOOKUP(C1464,'Inventory Master'!$A$3:$L$300,5,FALSE),0)</f>
      </c>
      <c r="F1464" s="10">
        <f>D1464*E1464</f>
      </c>
      <c r="G1464" s="8"/>
    </row>
    <row r="1465" ht="21" customHeight="1" spans="1:7" x14ac:dyDescent="0.25">
      <c r="A1465" s="8"/>
      <c r="B1465" s="8"/>
      <c r="C1465" s="8"/>
      <c r="D1465" s="8"/>
      <c r="E1465" s="10">
        <f>IFERROR(VLOOKUP(C1465,'Inventory Master'!$A$3:$L$300,5,FALSE),0)</f>
      </c>
      <c r="F1465" s="10">
        <f>D1465*E1465</f>
      </c>
      <c r="G1465" s="8"/>
    </row>
    <row r="1466" ht="21" customHeight="1" spans="1:7" x14ac:dyDescent="0.25">
      <c r="A1466" s="8"/>
      <c r="B1466" s="8"/>
      <c r="C1466" s="8"/>
      <c r="D1466" s="8"/>
      <c r="E1466" s="10">
        <f>IFERROR(VLOOKUP(C1466,'Inventory Master'!$A$3:$L$300,5,FALSE),0)</f>
      </c>
      <c r="F1466" s="10">
        <f>D1466*E1466</f>
      </c>
      <c r="G1466" s="8"/>
    </row>
    <row r="1467" ht="21" customHeight="1" spans="1:7" x14ac:dyDescent="0.25">
      <c r="A1467" s="8"/>
      <c r="B1467" s="8"/>
      <c r="C1467" s="8"/>
      <c r="D1467" s="8"/>
      <c r="E1467" s="10">
        <f>IFERROR(VLOOKUP(C1467,'Inventory Master'!$A$3:$L$300,5,FALSE),0)</f>
      </c>
      <c r="F1467" s="10">
        <f>D1467*E1467</f>
      </c>
      <c r="G1467" s="8"/>
    </row>
    <row r="1468" ht="21" customHeight="1" spans="1:7" x14ac:dyDescent="0.25">
      <c r="A1468" s="8"/>
      <c r="B1468" s="8"/>
      <c r="C1468" s="8"/>
      <c r="D1468" s="8"/>
      <c r="E1468" s="10">
        <f>IFERROR(VLOOKUP(C1468,'Inventory Master'!$A$3:$L$300,5,FALSE),0)</f>
      </c>
      <c r="F1468" s="10">
        <f>D1468*E1468</f>
      </c>
      <c r="G1468" s="8"/>
    </row>
    <row r="1469" ht="21" customHeight="1" spans="1:7" x14ac:dyDescent="0.25">
      <c r="A1469" s="8"/>
      <c r="B1469" s="8"/>
      <c r="C1469" s="8"/>
      <c r="D1469" s="8"/>
      <c r="E1469" s="10">
        <f>IFERROR(VLOOKUP(C1469,'Inventory Master'!$A$3:$L$300,5,FALSE),0)</f>
      </c>
      <c r="F1469" s="10">
        <f>D1469*E1469</f>
      </c>
      <c r="G1469" s="8"/>
    </row>
    <row r="1470" ht="21" customHeight="1" spans="1:7" x14ac:dyDescent="0.25">
      <c r="A1470" s="8"/>
      <c r="B1470" s="8"/>
      <c r="C1470" s="8"/>
      <c r="D1470" s="8"/>
      <c r="E1470" s="10">
        <f>IFERROR(VLOOKUP(C1470,'Inventory Master'!$A$3:$L$300,5,FALSE),0)</f>
      </c>
      <c r="F1470" s="10">
        <f>D1470*E1470</f>
      </c>
      <c r="G1470" s="8"/>
    </row>
    <row r="1471" ht="21" customHeight="1" spans="1:7" x14ac:dyDescent="0.25">
      <c r="A1471" s="8"/>
      <c r="B1471" s="8"/>
      <c r="C1471" s="8"/>
      <c r="D1471" s="8"/>
      <c r="E1471" s="10">
        <f>IFERROR(VLOOKUP(C1471,'Inventory Master'!$A$3:$L$300,5,FALSE),0)</f>
      </c>
      <c r="F1471" s="10">
        <f>D1471*E1471</f>
      </c>
      <c r="G1471" s="8"/>
    </row>
    <row r="1472" ht="21" customHeight="1" spans="1:7" x14ac:dyDescent="0.25">
      <c r="A1472" s="8"/>
      <c r="B1472" s="8"/>
      <c r="C1472" s="8"/>
      <c r="D1472" s="8"/>
      <c r="E1472" s="10">
        <f>IFERROR(VLOOKUP(C1472,'Inventory Master'!$A$3:$L$300,5,FALSE),0)</f>
      </c>
      <c r="F1472" s="10">
        <f>D1472*E1472</f>
      </c>
      <c r="G1472" s="8"/>
    </row>
    <row r="1473" ht="21" customHeight="1" spans="1:7" x14ac:dyDescent="0.25">
      <c r="A1473" s="8"/>
      <c r="B1473" s="8"/>
      <c r="C1473" s="8"/>
      <c r="D1473" s="8"/>
      <c r="E1473" s="10">
        <f>IFERROR(VLOOKUP(C1473,'Inventory Master'!$A$3:$L$300,5,FALSE),0)</f>
      </c>
      <c r="F1473" s="10">
        <f>D1473*E1473</f>
      </c>
      <c r="G1473" s="8"/>
    </row>
    <row r="1474" ht="21" customHeight="1" spans="1:7" x14ac:dyDescent="0.25">
      <c r="A1474" s="8"/>
      <c r="B1474" s="8"/>
      <c r="C1474" s="8"/>
      <c r="D1474" s="8"/>
      <c r="E1474" s="10">
        <f>IFERROR(VLOOKUP(C1474,'Inventory Master'!$A$3:$L$300,5,FALSE),0)</f>
      </c>
      <c r="F1474" s="10">
        <f>D1474*E1474</f>
      </c>
      <c r="G1474" s="8"/>
    </row>
    <row r="1475" ht="21" customHeight="1" spans="1:7" x14ac:dyDescent="0.25">
      <c r="A1475" s="8"/>
      <c r="B1475" s="8"/>
      <c r="C1475" s="8"/>
      <c r="D1475" s="8"/>
      <c r="E1475" s="10">
        <f>IFERROR(VLOOKUP(C1475,'Inventory Master'!$A$3:$L$300,5,FALSE),0)</f>
      </c>
      <c r="F1475" s="10">
        <f>D1475*E1475</f>
      </c>
      <c r="G1475" s="8"/>
    </row>
    <row r="1476" ht="21" customHeight="1" spans="1:7" x14ac:dyDescent="0.25">
      <c r="A1476" s="8"/>
      <c r="B1476" s="8"/>
      <c r="C1476" s="8"/>
      <c r="D1476" s="8"/>
      <c r="E1476" s="10">
        <f>IFERROR(VLOOKUP(C1476,'Inventory Master'!$A$3:$L$300,5,FALSE),0)</f>
      </c>
      <c r="F1476" s="10">
        <f>D1476*E1476</f>
      </c>
      <c r="G1476" s="8"/>
    </row>
    <row r="1477" ht="21" customHeight="1" spans="1:7" x14ac:dyDescent="0.25">
      <c r="A1477" s="8"/>
      <c r="B1477" s="8"/>
      <c r="C1477" s="8"/>
      <c r="D1477" s="8"/>
      <c r="E1477" s="10">
        <f>IFERROR(VLOOKUP(C1477,'Inventory Master'!$A$3:$L$300,5,FALSE),0)</f>
      </c>
      <c r="F1477" s="10">
        <f>D1477*E1477</f>
      </c>
      <c r="G1477" s="8"/>
    </row>
    <row r="1478" ht="21" customHeight="1" spans="1:7" x14ac:dyDescent="0.25">
      <c r="A1478" s="8"/>
      <c r="B1478" s="8"/>
      <c r="C1478" s="8"/>
      <c r="D1478" s="8"/>
      <c r="E1478" s="10">
        <f>IFERROR(VLOOKUP(C1478,'Inventory Master'!$A$3:$L$300,5,FALSE),0)</f>
      </c>
      <c r="F1478" s="10">
        <f>D1478*E1478</f>
      </c>
      <c r="G1478" s="8"/>
    </row>
    <row r="1479" ht="21" customHeight="1" spans="1:7" x14ac:dyDescent="0.25">
      <c r="A1479" s="8"/>
      <c r="B1479" s="8"/>
      <c r="C1479" s="8"/>
      <c r="D1479" s="8"/>
      <c r="E1479" s="10">
        <f>IFERROR(VLOOKUP(C1479,'Inventory Master'!$A$3:$L$300,5,FALSE),0)</f>
      </c>
      <c r="F1479" s="10">
        <f>D1479*E1479</f>
      </c>
      <c r="G1479" s="8"/>
    </row>
    <row r="1480" ht="21" customHeight="1" spans="1:7" x14ac:dyDescent="0.25">
      <c r="A1480" s="8"/>
      <c r="B1480" s="8"/>
      <c r="C1480" s="8"/>
      <c r="D1480" s="8"/>
      <c r="E1480" s="10">
        <f>IFERROR(VLOOKUP(C1480,'Inventory Master'!$A$3:$L$300,5,FALSE),0)</f>
      </c>
      <c r="F1480" s="10">
        <f>D1480*E1480</f>
      </c>
      <c r="G1480" s="8"/>
    </row>
    <row r="1481" ht="21" customHeight="1" spans="1:7" x14ac:dyDescent="0.25">
      <c r="A1481" s="8"/>
      <c r="B1481" s="8"/>
      <c r="C1481" s="8"/>
      <c r="D1481" s="8"/>
      <c r="E1481" s="10">
        <f>IFERROR(VLOOKUP(C1481,'Inventory Master'!$A$3:$L$300,5,FALSE),0)</f>
      </c>
      <c r="F1481" s="10">
        <f>D1481*E1481</f>
      </c>
      <c r="G1481" s="8"/>
    </row>
    <row r="1482" ht="21" customHeight="1" spans="1:7" x14ac:dyDescent="0.25">
      <c r="A1482" s="8"/>
      <c r="B1482" s="8"/>
      <c r="C1482" s="8"/>
      <c r="D1482" s="8"/>
      <c r="E1482" s="10">
        <f>IFERROR(VLOOKUP(C1482,'Inventory Master'!$A$3:$L$300,5,FALSE),0)</f>
      </c>
      <c r="F1482" s="10">
        <f>D1482*E1482</f>
      </c>
      <c r="G1482" s="8"/>
    </row>
    <row r="1483" ht="21" customHeight="1" spans="1:7" x14ac:dyDescent="0.25">
      <c r="A1483" s="8"/>
      <c r="B1483" s="8"/>
      <c r="C1483" s="8"/>
      <c r="D1483" s="8"/>
      <c r="E1483" s="10">
        <f>IFERROR(VLOOKUP(C1483,'Inventory Master'!$A$3:$L$300,5,FALSE),0)</f>
      </c>
      <c r="F1483" s="10">
        <f>D1483*E1483</f>
      </c>
      <c r="G1483" s="8"/>
    </row>
    <row r="1484" ht="21" customHeight="1" spans="1:7" x14ac:dyDescent="0.25">
      <c r="A1484" s="8"/>
      <c r="B1484" s="8"/>
      <c r="C1484" s="8"/>
      <c r="D1484" s="8"/>
      <c r="E1484" s="10">
        <f>IFERROR(VLOOKUP(C1484,'Inventory Master'!$A$3:$L$300,5,FALSE),0)</f>
      </c>
      <c r="F1484" s="10">
        <f>D1484*E1484</f>
      </c>
      <c r="G1484" s="8"/>
    </row>
    <row r="1485" ht="21" customHeight="1" spans="1:7" x14ac:dyDescent="0.25">
      <c r="A1485" s="8"/>
      <c r="B1485" s="8"/>
      <c r="C1485" s="8"/>
      <c r="D1485" s="8"/>
      <c r="E1485" s="10">
        <f>IFERROR(VLOOKUP(C1485,'Inventory Master'!$A$3:$L$300,5,FALSE),0)</f>
      </c>
      <c r="F1485" s="10">
        <f>D1485*E1485</f>
      </c>
      <c r="G1485" s="8"/>
    </row>
    <row r="1486" ht="21" customHeight="1" spans="1:7" x14ac:dyDescent="0.25">
      <c r="A1486" s="8"/>
      <c r="B1486" s="8"/>
      <c r="C1486" s="8"/>
      <c r="D1486" s="8"/>
      <c r="E1486" s="10">
        <f>IFERROR(VLOOKUP(C1486,'Inventory Master'!$A$3:$L$300,5,FALSE),0)</f>
      </c>
      <c r="F1486" s="10">
        <f>D1486*E1486</f>
      </c>
      <c r="G1486" s="8"/>
    </row>
    <row r="1487" ht="21" customHeight="1" spans="1:7" x14ac:dyDescent="0.25">
      <c r="A1487" s="8"/>
      <c r="B1487" s="8"/>
      <c r="C1487" s="8"/>
      <c r="D1487" s="8"/>
      <c r="E1487" s="10">
        <f>IFERROR(VLOOKUP(C1487,'Inventory Master'!$A$3:$L$300,5,FALSE),0)</f>
      </c>
      <c r="F1487" s="10">
        <f>D1487*E1487</f>
      </c>
      <c r="G1487" s="8"/>
    </row>
    <row r="1488" ht="21" customHeight="1" spans="1:7" x14ac:dyDescent="0.25">
      <c r="A1488" s="8"/>
      <c r="B1488" s="8"/>
      <c r="C1488" s="8"/>
      <c r="D1488" s="8"/>
      <c r="E1488" s="10">
        <f>IFERROR(VLOOKUP(C1488,'Inventory Master'!$A$3:$L$300,5,FALSE),0)</f>
      </c>
      <c r="F1488" s="10">
        <f>D1488*E1488</f>
      </c>
      <c r="G1488" s="8"/>
    </row>
    <row r="1489" ht="21" customHeight="1" spans="1:7" x14ac:dyDescent="0.25">
      <c r="A1489" s="8"/>
      <c r="B1489" s="8"/>
      <c r="C1489" s="8"/>
      <c r="D1489" s="8"/>
      <c r="E1489" s="10">
        <f>IFERROR(VLOOKUP(C1489,'Inventory Master'!$A$3:$L$300,5,FALSE),0)</f>
      </c>
      <c r="F1489" s="10">
        <f>D1489*E1489</f>
      </c>
      <c r="G1489" s="8"/>
    </row>
    <row r="1490" ht="21" customHeight="1" spans="1:7" x14ac:dyDescent="0.25">
      <c r="A1490" s="8"/>
      <c r="B1490" s="8"/>
      <c r="C1490" s="8"/>
      <c r="D1490" s="8"/>
      <c r="E1490" s="10">
        <f>IFERROR(VLOOKUP(C1490,'Inventory Master'!$A$3:$L$300,5,FALSE),0)</f>
      </c>
      <c r="F1490" s="10">
        <f>D1490*E1490</f>
      </c>
      <c r="G1490" s="8"/>
    </row>
    <row r="1491" ht="21" customHeight="1" spans="1:7" x14ac:dyDescent="0.25">
      <c r="A1491" s="8"/>
      <c r="B1491" s="8"/>
      <c r="C1491" s="8"/>
      <c r="D1491" s="8"/>
      <c r="E1491" s="10">
        <f>IFERROR(VLOOKUP(C1491,'Inventory Master'!$A$3:$L$300,5,FALSE),0)</f>
      </c>
      <c r="F1491" s="10">
        <f>D1491*E1491</f>
      </c>
      <c r="G1491" s="8"/>
    </row>
    <row r="1492" ht="21" customHeight="1" spans="1:7" x14ac:dyDescent="0.25">
      <c r="A1492" s="8"/>
      <c r="B1492" s="8"/>
      <c r="C1492" s="8"/>
      <c r="D1492" s="8"/>
      <c r="E1492" s="10">
        <f>IFERROR(VLOOKUP(C1492,'Inventory Master'!$A$3:$L$300,5,FALSE),0)</f>
      </c>
      <c r="F1492" s="10">
        <f>D1492*E1492</f>
      </c>
      <c r="G1492" s="8"/>
    </row>
    <row r="1493" ht="21" customHeight="1" spans="1:7" x14ac:dyDescent="0.25">
      <c r="A1493" s="8"/>
      <c r="B1493" s="8"/>
      <c r="C1493" s="8"/>
      <c r="D1493" s="8"/>
      <c r="E1493" s="10">
        <f>IFERROR(VLOOKUP(C1493,'Inventory Master'!$A$3:$L$300,5,FALSE),0)</f>
      </c>
      <c r="F1493" s="10">
        <f>D1493*E1493</f>
      </c>
      <c r="G1493" s="8"/>
    </row>
    <row r="1494" ht="21" customHeight="1" spans="1:7" x14ac:dyDescent="0.25">
      <c r="A1494" s="8"/>
      <c r="B1494" s="8"/>
      <c r="C1494" s="8"/>
      <c r="D1494" s="8"/>
      <c r="E1494" s="10">
        <f>IFERROR(VLOOKUP(C1494,'Inventory Master'!$A$3:$L$300,5,FALSE),0)</f>
      </c>
      <c r="F1494" s="10">
        <f>D1494*E1494</f>
      </c>
      <c r="G1494" s="8"/>
    </row>
    <row r="1495" ht="21" customHeight="1" spans="1:7" x14ac:dyDescent="0.25">
      <c r="A1495" s="8"/>
      <c r="B1495" s="8"/>
      <c r="C1495" s="8"/>
      <c r="D1495" s="8"/>
      <c r="E1495" s="10">
        <f>IFERROR(VLOOKUP(C1495,'Inventory Master'!$A$3:$L$300,5,FALSE),0)</f>
      </c>
      <c r="F1495" s="10">
        <f>D1495*E1495</f>
      </c>
      <c r="G1495" s="8"/>
    </row>
    <row r="1496" ht="21" customHeight="1" spans="1:7" x14ac:dyDescent="0.25">
      <c r="A1496" s="8"/>
      <c r="B1496" s="8"/>
      <c r="C1496" s="8"/>
      <c r="D1496" s="8"/>
      <c r="E1496" s="10">
        <f>IFERROR(VLOOKUP(C1496,'Inventory Master'!$A$3:$L$300,5,FALSE),0)</f>
      </c>
      <c r="F1496" s="10">
        <f>D1496*E1496</f>
      </c>
      <c r="G1496" s="8"/>
    </row>
    <row r="1497" ht="21" customHeight="1" spans="1:7" x14ac:dyDescent="0.25">
      <c r="A1497" s="8"/>
      <c r="B1497" s="8"/>
      <c r="C1497" s="8"/>
      <c r="D1497" s="8"/>
      <c r="E1497" s="10">
        <f>IFERROR(VLOOKUP(C1497,'Inventory Master'!$A$3:$L$300,5,FALSE),0)</f>
      </c>
      <c r="F1497" s="10">
        <f>D1497*E1497</f>
      </c>
      <c r="G1497" s="8"/>
    </row>
    <row r="1498" ht="21" customHeight="1" spans="1:7" x14ac:dyDescent="0.25">
      <c r="A1498" s="8"/>
      <c r="B1498" s="8"/>
      <c r="C1498" s="8"/>
      <c r="D1498" s="8"/>
      <c r="E1498" s="10">
        <f>IFERROR(VLOOKUP(C1498,'Inventory Master'!$A$3:$L$300,5,FALSE),0)</f>
      </c>
      <c r="F1498" s="10">
        <f>D1498*E1498</f>
      </c>
      <c r="G1498" s="8"/>
    </row>
    <row r="1499" ht="21" customHeight="1" spans="1:7" x14ac:dyDescent="0.25">
      <c r="A1499" s="8"/>
      <c r="B1499" s="8"/>
      <c r="C1499" s="8"/>
      <c r="D1499" s="8"/>
      <c r="E1499" s="10">
        <f>IFERROR(VLOOKUP(C1499,'Inventory Master'!$A$3:$L$300,5,FALSE),0)</f>
      </c>
      <c r="F1499" s="10">
        <f>D1499*E1499</f>
      </c>
      <c r="G1499" s="8"/>
    </row>
    <row r="1500" ht="21" customHeight="1" spans="1:7" x14ac:dyDescent="0.25">
      <c r="A1500" s="8"/>
      <c r="B1500" s="8"/>
      <c r="C1500" s="8"/>
      <c r="D1500" s="8"/>
      <c r="E1500" s="10">
        <f>IFERROR(VLOOKUP(C1500,'Inventory Master'!$A$3:$L$300,5,FALSE),0)</f>
      </c>
      <c r="F1500" s="10">
        <f>D1500*E1500</f>
      </c>
      <c r="G1500" s="8"/>
    </row>
    <row r="1501" ht="21" customHeight="1" spans="1:7" x14ac:dyDescent="0.25">
      <c r="A1501" s="8"/>
      <c r="B1501" s="8"/>
      <c r="C1501" s="8"/>
      <c r="D1501" s="8"/>
      <c r="E1501" s="10">
        <f>IFERROR(VLOOKUP(C1501,'Inventory Master'!$A$3:$L$300,5,FALSE),0)</f>
      </c>
      <c r="F1501" s="10">
        <f>D1501*E1501</f>
      </c>
      <c r="G1501" s="8"/>
    </row>
    <row r="1502" ht="21" customHeight="1" spans="1:7" x14ac:dyDescent="0.25">
      <c r="A1502" s="8"/>
      <c r="B1502" s="8"/>
      <c r="C1502" s="8"/>
      <c r="D1502" s="8"/>
      <c r="E1502" s="10">
        <f>IFERROR(VLOOKUP(C1502,'Inventory Master'!$A$3:$L$300,5,FALSE),0)</f>
      </c>
      <c r="F1502" s="10">
        <f>D1502*E1502</f>
      </c>
      <c r="G1502" s="8"/>
    </row>
    <row r="1503" ht="21" customHeight="1" spans="1:7" x14ac:dyDescent="0.25">
      <c r="A1503" s="8"/>
      <c r="B1503" s="8"/>
      <c r="C1503" s="8"/>
      <c r="D1503" s="8"/>
      <c r="E1503" s="10">
        <f>IFERROR(VLOOKUP(C1503,'Inventory Master'!$A$3:$L$300,5,FALSE),0)</f>
      </c>
      <c r="F1503" s="10">
        <f>D1503*E1503</f>
      </c>
      <c r="G1503" s="8"/>
    </row>
    <row r="1504" ht="21" customHeight="1" spans="1:7" x14ac:dyDescent="0.25">
      <c r="A1504" s="8"/>
      <c r="B1504" s="8"/>
      <c r="C1504" s="8"/>
      <c r="D1504" s="8"/>
      <c r="E1504" s="10">
        <f>IFERROR(VLOOKUP(C1504,'Inventory Master'!$A$3:$L$300,5,FALSE),0)</f>
      </c>
      <c r="F1504" s="10">
        <f>D1504*E1504</f>
      </c>
      <c r="G1504" s="8"/>
    </row>
    <row r="1505" ht="21" customHeight="1" spans="1:7" x14ac:dyDescent="0.25">
      <c r="A1505" s="8"/>
      <c r="B1505" s="8"/>
      <c r="C1505" s="8"/>
      <c r="D1505" s="8"/>
      <c r="E1505" s="10">
        <f>IFERROR(VLOOKUP(C1505,'Inventory Master'!$A$3:$L$300,5,FALSE),0)</f>
      </c>
      <c r="F1505" s="10">
        <f>D1505*E1505</f>
      </c>
      <c r="G1505" s="8"/>
    </row>
    <row r="1506" ht="21" customHeight="1" spans="1:7" x14ac:dyDescent="0.25">
      <c r="A1506" s="8"/>
      <c r="B1506" s="8"/>
      <c r="C1506" s="8"/>
      <c r="D1506" s="8"/>
      <c r="E1506" s="10">
        <f>IFERROR(VLOOKUP(C1506,'Inventory Master'!$A$3:$L$300,5,FALSE),0)</f>
      </c>
      <c r="F1506" s="10">
        <f>D1506*E1506</f>
      </c>
      <c r="G1506" s="8"/>
    </row>
    <row r="1507" ht="21" customHeight="1" spans="1:7" x14ac:dyDescent="0.25">
      <c r="A1507" s="8"/>
      <c r="B1507" s="8"/>
      <c r="C1507" s="8"/>
      <c r="D1507" s="8"/>
      <c r="E1507" s="10">
        <f>IFERROR(VLOOKUP(C1507,'Inventory Master'!$A$3:$L$300,5,FALSE),0)</f>
      </c>
      <c r="F1507" s="10">
        <f>D1507*E1507</f>
      </c>
      <c r="G1507" s="8"/>
    </row>
    <row r="1508" ht="21" customHeight="1" spans="1:7" x14ac:dyDescent="0.25">
      <c r="A1508" s="8"/>
      <c r="B1508" s="8"/>
      <c r="C1508" s="8"/>
      <c r="D1508" s="8"/>
      <c r="E1508" s="10">
        <f>IFERROR(VLOOKUP(C1508,'Inventory Master'!$A$3:$L$300,5,FALSE),0)</f>
      </c>
      <c r="F1508" s="10">
        <f>D1508*E1508</f>
      </c>
      <c r="G1508" s="8"/>
    </row>
    <row r="1509" ht="21" customHeight="1" spans="1:7" x14ac:dyDescent="0.25">
      <c r="A1509" s="8"/>
      <c r="B1509" s="8"/>
      <c r="C1509" s="8"/>
      <c r="D1509" s="8"/>
      <c r="E1509" s="10">
        <f>IFERROR(VLOOKUP(C1509,'Inventory Master'!$A$3:$L$300,5,FALSE),0)</f>
      </c>
      <c r="F1509" s="10">
        <f>D1509*E1509</f>
      </c>
      <c r="G1509" s="8"/>
    </row>
    <row r="1510" ht="21" customHeight="1" spans="1:7" x14ac:dyDescent="0.25">
      <c r="A1510" s="8"/>
      <c r="B1510" s="8"/>
      <c r="C1510" s="8"/>
      <c r="D1510" s="8"/>
      <c r="E1510" s="10">
        <f>IFERROR(VLOOKUP(C1510,'Inventory Master'!$A$3:$L$300,5,FALSE),0)</f>
      </c>
      <c r="F1510" s="10">
        <f>D1510*E1510</f>
      </c>
      <c r="G1510" s="8"/>
    </row>
    <row r="1511" ht="21" customHeight="1" spans="1:7" x14ac:dyDescent="0.25">
      <c r="A1511" s="8"/>
      <c r="B1511" s="8"/>
      <c r="C1511" s="8"/>
      <c r="D1511" s="8"/>
      <c r="E1511" s="10">
        <f>IFERROR(VLOOKUP(C1511,'Inventory Master'!$A$3:$L$300,5,FALSE),0)</f>
      </c>
      <c r="F1511" s="10">
        <f>D1511*E1511</f>
      </c>
      <c r="G1511" s="8"/>
    </row>
    <row r="1512" ht="21" customHeight="1" spans="1:7" x14ac:dyDescent="0.25">
      <c r="A1512" s="8"/>
      <c r="B1512" s="8"/>
      <c r="C1512" s="8"/>
      <c r="D1512" s="8"/>
      <c r="E1512" s="10">
        <f>IFERROR(VLOOKUP(C1512,'Inventory Master'!$A$3:$L$300,5,FALSE),0)</f>
      </c>
      <c r="F1512" s="10">
        <f>D1512*E1512</f>
      </c>
      <c r="G1512" s="8"/>
    </row>
    <row r="1513" ht="21" customHeight="1" spans="1:7" x14ac:dyDescent="0.25">
      <c r="A1513" s="8"/>
      <c r="B1513" s="8"/>
      <c r="C1513" s="8"/>
      <c r="D1513" s="8"/>
      <c r="E1513" s="10">
        <f>IFERROR(VLOOKUP(C1513,'Inventory Master'!$A$3:$L$300,5,FALSE),0)</f>
      </c>
      <c r="F1513" s="10">
        <f>D1513*E1513</f>
      </c>
      <c r="G1513" s="8"/>
    </row>
    <row r="1514" ht="21" customHeight="1" spans="1:7" x14ac:dyDescent="0.25">
      <c r="A1514" s="8"/>
      <c r="B1514" s="8"/>
      <c r="C1514" s="8"/>
      <c r="D1514" s="8"/>
      <c r="E1514" s="10">
        <f>IFERROR(VLOOKUP(C1514,'Inventory Master'!$A$3:$L$300,5,FALSE),0)</f>
      </c>
      <c r="F1514" s="10">
        <f>D1514*E1514</f>
      </c>
      <c r="G1514" s="8"/>
    </row>
    <row r="1515" ht="21" customHeight="1" spans="1:7" x14ac:dyDescent="0.25">
      <c r="A1515" s="8"/>
      <c r="B1515" s="8"/>
      <c r="C1515" s="8"/>
      <c r="D1515" s="8"/>
      <c r="E1515" s="10">
        <f>IFERROR(VLOOKUP(C1515,'Inventory Master'!$A$3:$L$300,5,FALSE),0)</f>
      </c>
      <c r="F1515" s="10">
        <f>D1515*E1515</f>
      </c>
      <c r="G1515" s="8"/>
    </row>
    <row r="1516" ht="21" customHeight="1" spans="1:7" x14ac:dyDescent="0.25">
      <c r="A1516" s="8"/>
      <c r="B1516" s="8"/>
      <c r="C1516" s="8"/>
      <c r="D1516" s="8"/>
      <c r="E1516" s="10">
        <f>IFERROR(VLOOKUP(C1516,'Inventory Master'!$A$3:$L$300,5,FALSE),0)</f>
      </c>
      <c r="F1516" s="10">
        <f>D1516*E1516</f>
      </c>
      <c r="G1516" s="8"/>
    </row>
    <row r="1517" ht="21" customHeight="1" spans="1:7" x14ac:dyDescent="0.25">
      <c r="A1517" s="8"/>
      <c r="B1517" s="8"/>
      <c r="C1517" s="8"/>
      <c r="D1517" s="8"/>
      <c r="E1517" s="10">
        <f>IFERROR(VLOOKUP(C1517,'Inventory Master'!$A$3:$L$300,5,FALSE),0)</f>
      </c>
      <c r="F1517" s="10">
        <f>D1517*E1517</f>
      </c>
      <c r="G1517" s="8"/>
    </row>
    <row r="1518" ht="21" customHeight="1" spans="1:7" x14ac:dyDescent="0.25">
      <c r="A1518" s="8"/>
      <c r="B1518" s="8"/>
      <c r="C1518" s="8"/>
      <c r="D1518" s="8"/>
      <c r="E1518" s="10">
        <f>IFERROR(VLOOKUP(C1518,'Inventory Master'!$A$3:$L$300,5,FALSE),0)</f>
      </c>
      <c r="F1518" s="10">
        <f>D1518*E1518</f>
      </c>
      <c r="G1518" s="8"/>
    </row>
    <row r="1519" ht="21" customHeight="1" spans="1:7" x14ac:dyDescent="0.25">
      <c r="A1519" s="8"/>
      <c r="B1519" s="8"/>
      <c r="C1519" s="8"/>
      <c r="D1519" s="8"/>
      <c r="E1519" s="10">
        <f>IFERROR(VLOOKUP(C1519,'Inventory Master'!$A$3:$L$300,5,FALSE),0)</f>
      </c>
      <c r="F1519" s="10">
        <f>D1519*E1519</f>
      </c>
      <c r="G1519" s="8"/>
    </row>
    <row r="1520" ht="21" customHeight="1" spans="1:7" x14ac:dyDescent="0.25">
      <c r="A1520" s="8"/>
      <c r="B1520" s="8"/>
      <c r="C1520" s="8"/>
      <c r="D1520" s="8"/>
      <c r="E1520" s="10">
        <f>IFERROR(VLOOKUP(C1520,'Inventory Master'!$A$3:$L$300,5,FALSE),0)</f>
      </c>
      <c r="F1520" s="10">
        <f>D1520*E1520</f>
      </c>
      <c r="G1520" s="8"/>
    </row>
    <row r="1521" ht="21" customHeight="1" spans="1:7" x14ac:dyDescent="0.25">
      <c r="A1521" s="8"/>
      <c r="B1521" s="8"/>
      <c r="C1521" s="8"/>
      <c r="D1521" s="8"/>
      <c r="E1521" s="10">
        <f>IFERROR(VLOOKUP(C1521,'Inventory Master'!$A$3:$L$300,5,FALSE),0)</f>
      </c>
      <c r="F1521" s="10">
        <f>D1521*E1521</f>
      </c>
      <c r="G1521" s="8"/>
    </row>
    <row r="1522" ht="21" customHeight="1" spans="1:7" x14ac:dyDescent="0.25">
      <c r="A1522" s="8"/>
      <c r="B1522" s="8"/>
      <c r="C1522" s="8"/>
      <c r="D1522" s="8"/>
      <c r="E1522" s="10">
        <f>IFERROR(VLOOKUP(C1522,'Inventory Master'!$A$3:$L$300,5,FALSE),0)</f>
      </c>
      <c r="F1522" s="10">
        <f>D1522*E1522</f>
      </c>
      <c r="G1522" s="8"/>
    </row>
    <row r="1523" ht="21" customHeight="1" spans="1:7" x14ac:dyDescent="0.25">
      <c r="A1523" s="8"/>
      <c r="B1523" s="8"/>
      <c r="C1523" s="8"/>
      <c r="D1523" s="8"/>
      <c r="E1523" s="10">
        <f>IFERROR(VLOOKUP(C1523,'Inventory Master'!$A$3:$L$300,5,FALSE),0)</f>
      </c>
      <c r="F1523" s="10">
        <f>D1523*E1523</f>
      </c>
      <c r="G1523" s="8"/>
    </row>
    <row r="1524" ht="21" customHeight="1" spans="1:7" x14ac:dyDescent="0.25">
      <c r="A1524" s="8"/>
      <c r="B1524" s="8"/>
      <c r="C1524" s="8"/>
      <c r="D1524" s="8"/>
      <c r="E1524" s="10">
        <f>IFERROR(VLOOKUP(C1524,'Inventory Master'!$A$3:$L$300,5,FALSE),0)</f>
      </c>
      <c r="F1524" s="10">
        <f>D1524*E1524</f>
      </c>
      <c r="G1524" s="8"/>
    </row>
    <row r="1525" ht="21" customHeight="1" spans="1:7" x14ac:dyDescent="0.25">
      <c r="A1525" s="8"/>
      <c r="B1525" s="8"/>
      <c r="C1525" s="8"/>
      <c r="D1525" s="8"/>
      <c r="E1525" s="10">
        <f>IFERROR(VLOOKUP(C1525,'Inventory Master'!$A$3:$L$300,5,FALSE),0)</f>
      </c>
      <c r="F1525" s="10">
        <f>D1525*E1525</f>
      </c>
      <c r="G1525" s="8"/>
    </row>
    <row r="1526" ht="21" customHeight="1" spans="1:7" x14ac:dyDescent="0.25">
      <c r="A1526" s="8"/>
      <c r="B1526" s="8"/>
      <c r="C1526" s="8"/>
      <c r="D1526" s="8"/>
      <c r="E1526" s="10">
        <f>IFERROR(VLOOKUP(C1526,'Inventory Master'!$A$3:$L$300,5,FALSE),0)</f>
      </c>
      <c r="F1526" s="10">
        <f>D1526*E1526</f>
      </c>
      <c r="G1526" s="8"/>
    </row>
    <row r="1527" ht="21" customHeight="1" spans="1:7" x14ac:dyDescent="0.25">
      <c r="A1527" s="8"/>
      <c r="B1527" s="8"/>
      <c r="C1527" s="8"/>
      <c r="D1527" s="8"/>
      <c r="E1527" s="10">
        <f>IFERROR(VLOOKUP(C1527,'Inventory Master'!$A$3:$L$300,5,FALSE),0)</f>
      </c>
      <c r="F1527" s="10">
        <f>D1527*E1527</f>
      </c>
      <c r="G1527" s="8"/>
    </row>
    <row r="1528" ht="21" customHeight="1" spans="1:7" x14ac:dyDescent="0.25">
      <c r="A1528" s="8"/>
      <c r="B1528" s="8"/>
      <c r="C1528" s="8"/>
      <c r="D1528" s="8"/>
      <c r="E1528" s="10">
        <f>IFERROR(VLOOKUP(C1528,'Inventory Master'!$A$3:$L$300,5,FALSE),0)</f>
      </c>
      <c r="F1528" s="10">
        <f>D1528*E1528</f>
      </c>
      <c r="G1528" s="8"/>
    </row>
    <row r="1529" ht="21" customHeight="1" spans="1:7" x14ac:dyDescent="0.25">
      <c r="A1529" s="8"/>
      <c r="B1529" s="8"/>
      <c r="C1529" s="8"/>
      <c r="D1529" s="8"/>
      <c r="E1529" s="10">
        <f>IFERROR(VLOOKUP(C1529,'Inventory Master'!$A$3:$L$300,5,FALSE),0)</f>
      </c>
      <c r="F1529" s="10">
        <f>D1529*E1529</f>
      </c>
      <c r="G1529" s="8"/>
    </row>
    <row r="1530" ht="21" customHeight="1" spans="1:7" x14ac:dyDescent="0.25">
      <c r="A1530" s="8"/>
      <c r="B1530" s="8"/>
      <c r="C1530" s="8"/>
      <c r="D1530" s="8"/>
      <c r="E1530" s="10">
        <f>IFERROR(VLOOKUP(C1530,'Inventory Master'!$A$3:$L$300,5,FALSE),0)</f>
      </c>
      <c r="F1530" s="10">
        <f>D1530*E1530</f>
      </c>
      <c r="G1530" s="8"/>
    </row>
    <row r="1531" ht="21" customHeight="1" spans="1:7" x14ac:dyDescent="0.25">
      <c r="A1531" s="8"/>
      <c r="B1531" s="8"/>
      <c r="C1531" s="8"/>
      <c r="D1531" s="8"/>
      <c r="E1531" s="10">
        <f>IFERROR(VLOOKUP(C1531,'Inventory Master'!$A$3:$L$300,5,FALSE),0)</f>
      </c>
      <c r="F1531" s="10">
        <f>D1531*E1531</f>
      </c>
      <c r="G1531" s="8"/>
    </row>
    <row r="1532" ht="21" customHeight="1" spans="1:7" x14ac:dyDescent="0.25">
      <c r="A1532" s="8"/>
      <c r="B1532" s="8"/>
      <c r="C1532" s="8"/>
      <c r="D1532" s="8"/>
      <c r="E1532" s="10">
        <f>IFERROR(VLOOKUP(C1532,'Inventory Master'!$A$3:$L$300,5,FALSE),0)</f>
      </c>
      <c r="F1532" s="10">
        <f>D1532*E1532</f>
      </c>
      <c r="G1532" s="8"/>
    </row>
    <row r="1533" ht="21" customHeight="1" spans="1:7" x14ac:dyDescent="0.25">
      <c r="A1533" s="8"/>
      <c r="B1533" s="8"/>
      <c r="C1533" s="8"/>
      <c r="D1533" s="8"/>
      <c r="E1533" s="10">
        <f>IFERROR(VLOOKUP(C1533,'Inventory Master'!$A$3:$L$300,5,FALSE),0)</f>
      </c>
      <c r="F1533" s="10">
        <f>D1533*E1533</f>
      </c>
      <c r="G1533" s="8"/>
    </row>
    <row r="1534" ht="21" customHeight="1" spans="1:7" x14ac:dyDescent="0.25">
      <c r="A1534" s="8"/>
      <c r="B1534" s="8"/>
      <c r="C1534" s="8"/>
      <c r="D1534" s="8"/>
      <c r="E1534" s="10">
        <f>IFERROR(VLOOKUP(C1534,'Inventory Master'!$A$3:$L$300,5,FALSE),0)</f>
      </c>
      <c r="F1534" s="10">
        <f>D1534*E1534</f>
      </c>
      <c r="G1534" s="8"/>
    </row>
    <row r="1535" ht="21" customHeight="1" spans="1:7" x14ac:dyDescent="0.25">
      <c r="A1535" s="8"/>
      <c r="B1535" s="8"/>
      <c r="C1535" s="8"/>
      <c r="D1535" s="8"/>
      <c r="E1535" s="10">
        <f>IFERROR(VLOOKUP(C1535,'Inventory Master'!$A$3:$L$300,5,FALSE),0)</f>
      </c>
      <c r="F1535" s="10">
        <f>D1535*E1535</f>
      </c>
      <c r="G1535" s="8"/>
    </row>
    <row r="1536" ht="21" customHeight="1" spans="1:7" x14ac:dyDescent="0.25">
      <c r="A1536" s="8"/>
      <c r="B1536" s="8"/>
      <c r="C1536" s="8"/>
      <c r="D1536" s="8"/>
      <c r="E1536" s="10">
        <f>IFERROR(VLOOKUP(C1536,'Inventory Master'!$A$3:$L$300,5,FALSE),0)</f>
      </c>
      <c r="F1536" s="10">
        <f>D1536*E1536</f>
      </c>
      <c r="G1536" s="8"/>
    </row>
    <row r="1537" ht="21" customHeight="1" spans="1:7" x14ac:dyDescent="0.25">
      <c r="A1537" s="8"/>
      <c r="B1537" s="8"/>
      <c r="C1537" s="8"/>
      <c r="D1537" s="8"/>
      <c r="E1537" s="10">
        <f>IFERROR(VLOOKUP(C1537,'Inventory Master'!$A$3:$L$300,5,FALSE),0)</f>
      </c>
      <c r="F1537" s="10">
        <f>D1537*E1537</f>
      </c>
      <c r="G1537" s="8"/>
    </row>
    <row r="1538" ht="21" customHeight="1" spans="1:7" x14ac:dyDescent="0.25">
      <c r="A1538" s="8"/>
      <c r="B1538" s="8"/>
      <c r="C1538" s="8"/>
      <c r="D1538" s="8"/>
      <c r="E1538" s="10">
        <f>IFERROR(VLOOKUP(C1538,'Inventory Master'!$A$3:$L$300,5,FALSE),0)</f>
      </c>
      <c r="F1538" s="10">
        <f>D1538*E1538</f>
      </c>
      <c r="G1538" s="8"/>
    </row>
    <row r="1539" ht="21" customHeight="1" spans="1:7" x14ac:dyDescent="0.25">
      <c r="A1539" s="8"/>
      <c r="B1539" s="8"/>
      <c r="C1539" s="8"/>
      <c r="D1539" s="8"/>
      <c r="E1539" s="10">
        <f>IFERROR(VLOOKUP(C1539,'Inventory Master'!$A$3:$L$300,5,FALSE),0)</f>
      </c>
      <c r="F1539" s="10">
        <f>D1539*E1539</f>
      </c>
      <c r="G1539" s="8"/>
    </row>
    <row r="1540" ht="21" customHeight="1" spans="1:7" x14ac:dyDescent="0.25">
      <c r="A1540" s="8"/>
      <c r="B1540" s="8"/>
      <c r="C1540" s="8"/>
      <c r="D1540" s="8"/>
      <c r="E1540" s="10">
        <f>IFERROR(VLOOKUP(C1540,'Inventory Master'!$A$3:$L$300,5,FALSE),0)</f>
      </c>
      <c r="F1540" s="10">
        <f>D1540*E1540</f>
      </c>
      <c r="G1540" s="8"/>
    </row>
    <row r="1541" ht="21" customHeight="1" spans="1:7" x14ac:dyDescent="0.25">
      <c r="A1541" s="8"/>
      <c r="B1541" s="8"/>
      <c r="C1541" s="8"/>
      <c r="D1541" s="8"/>
      <c r="E1541" s="10">
        <f>IFERROR(VLOOKUP(C1541,'Inventory Master'!$A$3:$L$300,5,FALSE),0)</f>
      </c>
      <c r="F1541" s="10">
        <f>D1541*E1541</f>
      </c>
      <c r="G1541" s="8"/>
    </row>
    <row r="1542" ht="21" customHeight="1" spans="1:7" x14ac:dyDescent="0.25">
      <c r="A1542" s="8"/>
      <c r="B1542" s="8"/>
      <c r="C1542" s="8"/>
      <c r="D1542" s="8"/>
      <c r="E1542" s="10">
        <f>IFERROR(VLOOKUP(C1542,'Inventory Master'!$A$3:$L$300,5,FALSE),0)</f>
      </c>
      <c r="F1542" s="10">
        <f>D1542*E1542</f>
      </c>
      <c r="G1542" s="8"/>
    </row>
    <row r="1543" ht="21" customHeight="1" spans="1:7" x14ac:dyDescent="0.25">
      <c r="A1543" s="8"/>
      <c r="B1543" s="8"/>
      <c r="C1543" s="8"/>
      <c r="D1543" s="8"/>
      <c r="E1543" s="10">
        <f>IFERROR(VLOOKUP(C1543,'Inventory Master'!$A$3:$L$300,5,FALSE),0)</f>
      </c>
      <c r="F1543" s="10">
        <f>D1543*E1543</f>
      </c>
      <c r="G1543" s="8"/>
    </row>
    <row r="1544" ht="21" customHeight="1" spans="1:7" x14ac:dyDescent="0.25">
      <c r="A1544" s="8"/>
      <c r="B1544" s="8"/>
      <c r="C1544" s="8"/>
      <c r="D1544" s="8"/>
      <c r="E1544" s="10">
        <f>IFERROR(VLOOKUP(C1544,'Inventory Master'!$A$3:$L$300,5,FALSE),0)</f>
      </c>
      <c r="F1544" s="10">
        <f>D1544*E1544</f>
      </c>
      <c r="G1544" s="8"/>
    </row>
    <row r="1545" ht="21" customHeight="1" spans="1:7" x14ac:dyDescent="0.25">
      <c r="A1545" s="8"/>
      <c r="B1545" s="8"/>
      <c r="C1545" s="8"/>
      <c r="D1545" s="8"/>
      <c r="E1545" s="10">
        <f>IFERROR(VLOOKUP(C1545,'Inventory Master'!$A$3:$L$300,5,FALSE),0)</f>
      </c>
      <c r="F1545" s="10">
        <f>D1545*E1545</f>
      </c>
      <c r="G1545" s="8"/>
    </row>
    <row r="1546" ht="21" customHeight="1" spans="1:7" x14ac:dyDescent="0.25">
      <c r="A1546" s="8"/>
      <c r="B1546" s="8"/>
      <c r="C1546" s="8"/>
      <c r="D1546" s="8"/>
      <c r="E1546" s="10">
        <f>IFERROR(VLOOKUP(C1546,'Inventory Master'!$A$3:$L$300,5,FALSE),0)</f>
      </c>
      <c r="F1546" s="10">
        <f>D1546*E1546</f>
      </c>
      <c r="G1546" s="8"/>
    </row>
    <row r="1547" ht="21" customHeight="1" spans="1:7" x14ac:dyDescent="0.25">
      <c r="A1547" s="8"/>
      <c r="B1547" s="8"/>
      <c r="C1547" s="8"/>
      <c r="D1547" s="8"/>
      <c r="E1547" s="10">
        <f>IFERROR(VLOOKUP(C1547,'Inventory Master'!$A$3:$L$300,5,FALSE),0)</f>
      </c>
      <c r="F1547" s="10">
        <f>D1547*E1547</f>
      </c>
      <c r="G1547" s="8"/>
    </row>
    <row r="1548" ht="21" customHeight="1" spans="1:7" x14ac:dyDescent="0.25">
      <c r="A1548" s="8"/>
      <c r="B1548" s="8"/>
      <c r="C1548" s="8"/>
      <c r="D1548" s="8"/>
      <c r="E1548" s="10">
        <f>IFERROR(VLOOKUP(C1548,'Inventory Master'!$A$3:$L$300,5,FALSE),0)</f>
      </c>
      <c r="F1548" s="10">
        <f>D1548*E1548</f>
      </c>
      <c r="G1548" s="8"/>
    </row>
    <row r="1549" ht="21" customHeight="1" spans="1:7" x14ac:dyDescent="0.25">
      <c r="A1549" s="8"/>
      <c r="B1549" s="8"/>
      <c r="C1549" s="8"/>
      <c r="D1549" s="8"/>
      <c r="E1549" s="10">
        <f>IFERROR(VLOOKUP(C1549,'Inventory Master'!$A$3:$L$300,5,FALSE),0)</f>
      </c>
      <c r="F1549" s="10">
        <f>D1549*E1549</f>
      </c>
      <c r="G1549" s="8"/>
    </row>
    <row r="1550" ht="21" customHeight="1" spans="1:7" x14ac:dyDescent="0.25">
      <c r="A1550" s="8"/>
      <c r="B1550" s="8"/>
      <c r="C1550" s="8"/>
      <c r="D1550" s="8"/>
      <c r="E1550" s="10">
        <f>IFERROR(VLOOKUP(C1550,'Inventory Master'!$A$3:$L$300,5,FALSE),0)</f>
      </c>
      <c r="F1550" s="10">
        <f>D1550*E1550</f>
      </c>
      <c r="G1550" s="8"/>
    </row>
    <row r="1551" ht="21" customHeight="1" spans="1:7" x14ac:dyDescent="0.25">
      <c r="A1551" s="8"/>
      <c r="B1551" s="8"/>
      <c r="C1551" s="8"/>
      <c r="D1551" s="8"/>
      <c r="E1551" s="10">
        <f>IFERROR(VLOOKUP(C1551,'Inventory Master'!$A$3:$L$300,5,FALSE),0)</f>
      </c>
      <c r="F1551" s="10">
        <f>D1551*E1551</f>
      </c>
      <c r="G1551" s="8"/>
    </row>
    <row r="1552" ht="21" customHeight="1" spans="1:7" x14ac:dyDescent="0.25">
      <c r="A1552" s="8"/>
      <c r="B1552" s="8"/>
      <c r="C1552" s="8"/>
      <c r="D1552" s="8"/>
      <c r="E1552" s="10">
        <f>IFERROR(VLOOKUP(C1552,'Inventory Master'!$A$3:$L$300,5,FALSE),0)</f>
      </c>
      <c r="F1552" s="10">
        <f>D1552*E1552</f>
      </c>
      <c r="G1552" s="8"/>
    </row>
    <row r="1553" ht="21" customHeight="1" spans="1:7" x14ac:dyDescent="0.25">
      <c r="A1553" s="8"/>
      <c r="B1553" s="8"/>
      <c r="C1553" s="8"/>
      <c r="D1553" s="8"/>
      <c r="E1553" s="10">
        <f>IFERROR(VLOOKUP(C1553,'Inventory Master'!$A$3:$L$300,5,FALSE),0)</f>
      </c>
      <c r="F1553" s="10">
        <f>D1553*E1553</f>
      </c>
      <c r="G1553" s="8"/>
    </row>
    <row r="1554" ht="21" customHeight="1" spans="1:7" x14ac:dyDescent="0.25">
      <c r="A1554" s="8"/>
      <c r="B1554" s="8"/>
      <c r="C1554" s="8"/>
      <c r="D1554" s="8"/>
      <c r="E1554" s="10">
        <f>IFERROR(VLOOKUP(C1554,'Inventory Master'!$A$3:$L$300,5,FALSE),0)</f>
      </c>
      <c r="F1554" s="10">
        <f>D1554*E1554</f>
      </c>
      <c r="G1554" s="8"/>
    </row>
    <row r="1555" ht="21" customHeight="1" spans="1:7" x14ac:dyDescent="0.25">
      <c r="A1555" s="8"/>
      <c r="B1555" s="8"/>
      <c r="C1555" s="8"/>
      <c r="D1555" s="8"/>
      <c r="E1555" s="10">
        <f>IFERROR(VLOOKUP(C1555,'Inventory Master'!$A$3:$L$300,5,FALSE),0)</f>
      </c>
      <c r="F1555" s="10">
        <f>D1555*E1555</f>
      </c>
      <c r="G1555" s="8"/>
    </row>
    <row r="1556" ht="21" customHeight="1" spans="1:7" x14ac:dyDescent="0.25">
      <c r="A1556" s="8"/>
      <c r="B1556" s="8"/>
      <c r="C1556" s="8"/>
      <c r="D1556" s="8"/>
      <c r="E1556" s="10">
        <f>IFERROR(VLOOKUP(C1556,'Inventory Master'!$A$3:$L$300,5,FALSE),0)</f>
      </c>
      <c r="F1556" s="10">
        <f>D1556*E1556</f>
      </c>
      <c r="G1556" s="8"/>
    </row>
    <row r="1557" ht="21" customHeight="1" spans="1:7" x14ac:dyDescent="0.25">
      <c r="A1557" s="8"/>
      <c r="B1557" s="8"/>
      <c r="C1557" s="8"/>
      <c r="D1557" s="8"/>
      <c r="E1557" s="10">
        <f>IFERROR(VLOOKUP(C1557,'Inventory Master'!$A$3:$L$300,5,FALSE),0)</f>
      </c>
      <c r="F1557" s="10">
        <f>D1557*E1557</f>
      </c>
      <c r="G1557" s="8"/>
    </row>
    <row r="1558" ht="21" customHeight="1" spans="1:7" x14ac:dyDescent="0.25">
      <c r="A1558" s="8"/>
      <c r="B1558" s="8"/>
      <c r="C1558" s="8"/>
      <c r="D1558" s="8"/>
      <c r="E1558" s="10">
        <f>IFERROR(VLOOKUP(C1558,'Inventory Master'!$A$3:$L$300,5,FALSE),0)</f>
      </c>
      <c r="F1558" s="10">
        <f>D1558*E1558</f>
      </c>
      <c r="G1558" s="8"/>
    </row>
    <row r="1559" ht="21" customHeight="1" spans="1:7" x14ac:dyDescent="0.25">
      <c r="A1559" s="8"/>
      <c r="B1559" s="8"/>
      <c r="C1559" s="8"/>
      <c r="D1559" s="8"/>
      <c r="E1559" s="10">
        <f>IFERROR(VLOOKUP(C1559,'Inventory Master'!$A$3:$L$300,5,FALSE),0)</f>
      </c>
      <c r="F1559" s="10">
        <f>D1559*E1559</f>
      </c>
      <c r="G1559" s="8"/>
    </row>
    <row r="1560" ht="21" customHeight="1" spans="1:7" x14ac:dyDescent="0.25">
      <c r="A1560" s="8"/>
      <c r="B1560" s="8"/>
      <c r="C1560" s="8"/>
      <c r="D1560" s="8"/>
      <c r="E1560" s="10">
        <f>IFERROR(VLOOKUP(C1560,'Inventory Master'!$A$3:$L$300,5,FALSE),0)</f>
      </c>
      <c r="F1560" s="10">
        <f>D1560*E1560</f>
      </c>
      <c r="G1560" s="8"/>
    </row>
    <row r="1561" ht="21" customHeight="1" spans="1:7" x14ac:dyDescent="0.25">
      <c r="A1561" s="8"/>
      <c r="B1561" s="8"/>
      <c r="C1561" s="8"/>
      <c r="D1561" s="8"/>
      <c r="E1561" s="10">
        <f>IFERROR(VLOOKUP(C1561,'Inventory Master'!$A$3:$L$300,5,FALSE),0)</f>
      </c>
      <c r="F1561" s="10">
        <f>D1561*E1561</f>
      </c>
      <c r="G1561" s="8"/>
    </row>
    <row r="1562" ht="21" customHeight="1" spans="1:7" x14ac:dyDescent="0.25">
      <c r="A1562" s="8"/>
      <c r="B1562" s="8"/>
      <c r="C1562" s="8"/>
      <c r="D1562" s="8"/>
      <c r="E1562" s="10">
        <f>IFERROR(VLOOKUP(C1562,'Inventory Master'!$A$3:$L$300,5,FALSE),0)</f>
      </c>
      <c r="F1562" s="10">
        <f>D1562*E1562</f>
      </c>
      <c r="G1562" s="8"/>
    </row>
    <row r="1563" ht="21" customHeight="1" spans="1:7" x14ac:dyDescent="0.25">
      <c r="A1563" s="8"/>
      <c r="B1563" s="8"/>
      <c r="C1563" s="8"/>
      <c r="D1563" s="8"/>
      <c r="E1563" s="10">
        <f>IFERROR(VLOOKUP(C1563,'Inventory Master'!$A$3:$L$300,5,FALSE),0)</f>
      </c>
      <c r="F1563" s="10">
        <f>D1563*E1563</f>
      </c>
      <c r="G1563" s="8"/>
    </row>
    <row r="1564" ht="21" customHeight="1" spans="1:7" x14ac:dyDescent="0.25">
      <c r="A1564" s="8"/>
      <c r="B1564" s="8"/>
      <c r="C1564" s="8"/>
      <c r="D1564" s="8"/>
      <c r="E1564" s="10">
        <f>IFERROR(VLOOKUP(C1564,'Inventory Master'!$A$3:$L$300,5,FALSE),0)</f>
      </c>
      <c r="F1564" s="10">
        <f>D1564*E1564</f>
      </c>
      <c r="G1564" s="8"/>
    </row>
    <row r="1565" ht="21" customHeight="1" spans="1:7" x14ac:dyDescent="0.25">
      <c r="A1565" s="8"/>
      <c r="B1565" s="8"/>
      <c r="C1565" s="8"/>
      <c r="D1565" s="8"/>
      <c r="E1565" s="10">
        <f>IFERROR(VLOOKUP(C1565,'Inventory Master'!$A$3:$L$300,5,FALSE),0)</f>
      </c>
      <c r="F1565" s="10">
        <f>D1565*E1565</f>
      </c>
      <c r="G1565" s="8"/>
    </row>
    <row r="1566" ht="21" customHeight="1" spans="1:7" x14ac:dyDescent="0.25">
      <c r="A1566" s="8"/>
      <c r="B1566" s="8"/>
      <c r="C1566" s="8"/>
      <c r="D1566" s="8"/>
      <c r="E1566" s="10">
        <f>IFERROR(VLOOKUP(C1566,'Inventory Master'!$A$3:$L$300,5,FALSE),0)</f>
      </c>
      <c r="F1566" s="10">
        <f>D1566*E1566</f>
      </c>
      <c r="G1566" s="8"/>
    </row>
    <row r="1567" ht="21" customHeight="1" spans="1:7" x14ac:dyDescent="0.25">
      <c r="A1567" s="8"/>
      <c r="B1567" s="8"/>
      <c r="C1567" s="8"/>
      <c r="D1567" s="8"/>
      <c r="E1567" s="10">
        <f>IFERROR(VLOOKUP(C1567,'Inventory Master'!$A$3:$L$300,5,FALSE),0)</f>
      </c>
      <c r="F1567" s="10">
        <f>D1567*E1567</f>
      </c>
      <c r="G1567" s="8"/>
    </row>
    <row r="1568" ht="21" customHeight="1" spans="1:7" x14ac:dyDescent="0.25">
      <c r="A1568" s="8"/>
      <c r="B1568" s="8"/>
      <c r="C1568" s="8"/>
      <c r="D1568" s="8"/>
      <c r="E1568" s="10">
        <f>IFERROR(VLOOKUP(C1568,'Inventory Master'!$A$3:$L$300,5,FALSE),0)</f>
      </c>
      <c r="F1568" s="10">
        <f>D1568*E1568</f>
      </c>
      <c r="G1568" s="8"/>
    </row>
    <row r="1569" ht="21" customHeight="1" spans="1:7" x14ac:dyDescent="0.25">
      <c r="A1569" s="8"/>
      <c r="B1569" s="8"/>
      <c r="C1569" s="8"/>
      <c r="D1569" s="8"/>
      <c r="E1569" s="10">
        <f>IFERROR(VLOOKUP(C1569,'Inventory Master'!$A$3:$L$300,5,FALSE),0)</f>
      </c>
      <c r="F1569" s="10">
        <f>D1569*E1569</f>
      </c>
      <c r="G1569" s="8"/>
    </row>
    <row r="1570" ht="21" customHeight="1" spans="1:7" x14ac:dyDescent="0.25">
      <c r="A1570" s="8"/>
      <c r="B1570" s="8"/>
      <c r="C1570" s="8"/>
      <c r="D1570" s="8"/>
      <c r="E1570" s="10">
        <f>IFERROR(VLOOKUP(C1570,'Inventory Master'!$A$3:$L$300,5,FALSE),0)</f>
      </c>
      <c r="F1570" s="10">
        <f>D1570*E1570</f>
      </c>
      <c r="G1570" s="8"/>
    </row>
    <row r="1571" ht="21" customHeight="1" spans="1:7" x14ac:dyDescent="0.25">
      <c r="A1571" s="8"/>
      <c r="B1571" s="8"/>
      <c r="C1571" s="8"/>
      <c r="D1571" s="8"/>
      <c r="E1571" s="10">
        <f>IFERROR(VLOOKUP(C1571,'Inventory Master'!$A$3:$L$300,5,FALSE),0)</f>
      </c>
      <c r="F1571" s="10">
        <f>D1571*E1571</f>
      </c>
      <c r="G1571" s="8"/>
    </row>
    <row r="1572" ht="21" customHeight="1" spans="1:7" x14ac:dyDescent="0.25">
      <c r="A1572" s="8"/>
      <c r="B1572" s="8"/>
      <c r="C1572" s="8"/>
      <c r="D1572" s="8"/>
      <c r="E1572" s="10">
        <f>IFERROR(VLOOKUP(C1572,'Inventory Master'!$A$3:$L$300,5,FALSE),0)</f>
      </c>
      <c r="F1572" s="10">
        <f>D1572*E1572</f>
      </c>
      <c r="G1572" s="8"/>
    </row>
    <row r="1573" ht="21" customHeight="1" spans="1:7" x14ac:dyDescent="0.25">
      <c r="A1573" s="8"/>
      <c r="B1573" s="8"/>
      <c r="C1573" s="8"/>
      <c r="D1573" s="8"/>
      <c r="E1573" s="10">
        <f>IFERROR(VLOOKUP(C1573,'Inventory Master'!$A$3:$L$300,5,FALSE),0)</f>
      </c>
      <c r="F1573" s="10">
        <f>D1573*E1573</f>
      </c>
      <c r="G1573" s="8"/>
    </row>
    <row r="1574" ht="21" customHeight="1" spans="1:7" x14ac:dyDescent="0.25">
      <c r="A1574" s="8"/>
      <c r="B1574" s="8"/>
      <c r="C1574" s="8"/>
      <c r="D1574" s="8"/>
      <c r="E1574" s="10">
        <f>IFERROR(VLOOKUP(C1574,'Inventory Master'!$A$3:$L$300,5,FALSE),0)</f>
      </c>
      <c r="F1574" s="10">
        <f>D1574*E1574</f>
      </c>
      <c r="G1574" s="8"/>
    </row>
    <row r="1575" ht="21" customHeight="1" spans="1:7" x14ac:dyDescent="0.25">
      <c r="A1575" s="8"/>
      <c r="B1575" s="8"/>
      <c r="C1575" s="8"/>
      <c r="D1575" s="8"/>
      <c r="E1575" s="10">
        <f>IFERROR(VLOOKUP(C1575,'Inventory Master'!$A$3:$L$300,5,FALSE),0)</f>
      </c>
      <c r="F1575" s="10">
        <f>D1575*E1575</f>
      </c>
      <c r="G1575" s="8"/>
    </row>
    <row r="1576" ht="21" customHeight="1" spans="1:7" x14ac:dyDescent="0.25">
      <c r="A1576" s="8"/>
      <c r="B1576" s="8"/>
      <c r="C1576" s="8"/>
      <c r="D1576" s="8"/>
      <c r="E1576" s="10">
        <f>IFERROR(VLOOKUP(C1576,'Inventory Master'!$A$3:$L$300,5,FALSE),0)</f>
      </c>
      <c r="F1576" s="10">
        <f>D1576*E1576</f>
      </c>
      <c r="G1576" s="8"/>
    </row>
    <row r="1577" ht="21" customHeight="1" spans="1:7" x14ac:dyDescent="0.25">
      <c r="A1577" s="8"/>
      <c r="B1577" s="8"/>
      <c r="C1577" s="8"/>
      <c r="D1577" s="8"/>
      <c r="E1577" s="10">
        <f>IFERROR(VLOOKUP(C1577,'Inventory Master'!$A$3:$L$300,5,FALSE),0)</f>
      </c>
      <c r="F1577" s="10">
        <f>D1577*E1577</f>
      </c>
      <c r="G1577" s="8"/>
    </row>
    <row r="1578" ht="21" customHeight="1" spans="1:7" x14ac:dyDescent="0.25">
      <c r="A1578" s="8"/>
      <c r="B1578" s="8"/>
      <c r="C1578" s="8"/>
      <c r="D1578" s="8"/>
      <c r="E1578" s="10">
        <f>IFERROR(VLOOKUP(C1578,'Inventory Master'!$A$3:$L$300,5,FALSE),0)</f>
      </c>
      <c r="F1578" s="10">
        <f>D1578*E1578</f>
      </c>
      <c r="G1578" s="8"/>
    </row>
    <row r="1579" ht="21" customHeight="1" spans="1:7" x14ac:dyDescent="0.25">
      <c r="A1579" s="8"/>
      <c r="B1579" s="8"/>
      <c r="C1579" s="8"/>
      <c r="D1579" s="8"/>
      <c r="E1579" s="10">
        <f>IFERROR(VLOOKUP(C1579,'Inventory Master'!$A$3:$L$300,5,FALSE),0)</f>
      </c>
      <c r="F1579" s="10">
        <f>D1579*E1579</f>
      </c>
      <c r="G1579" s="8"/>
    </row>
    <row r="1580" ht="21" customHeight="1" spans="1:7" x14ac:dyDescent="0.25">
      <c r="A1580" s="8"/>
      <c r="B1580" s="8"/>
      <c r="C1580" s="8"/>
      <c r="D1580" s="8"/>
      <c r="E1580" s="10">
        <f>IFERROR(VLOOKUP(C1580,'Inventory Master'!$A$3:$L$300,5,FALSE),0)</f>
      </c>
      <c r="F1580" s="10">
        <f>D1580*E1580</f>
      </c>
      <c r="G1580" s="8"/>
    </row>
    <row r="1581" ht="21" customHeight="1" spans="1:7" x14ac:dyDescent="0.25">
      <c r="A1581" s="8"/>
      <c r="B1581" s="8"/>
      <c r="C1581" s="8"/>
      <c r="D1581" s="8"/>
      <c r="E1581" s="10">
        <f>IFERROR(VLOOKUP(C1581,'Inventory Master'!$A$3:$L$300,5,FALSE),0)</f>
      </c>
      <c r="F1581" s="10">
        <f>D1581*E1581</f>
      </c>
      <c r="G1581" s="8"/>
    </row>
    <row r="1582" ht="21" customHeight="1" spans="1:7" x14ac:dyDescent="0.25">
      <c r="A1582" s="8"/>
      <c r="B1582" s="8"/>
      <c r="C1582" s="8"/>
      <c r="D1582" s="8"/>
      <c r="E1582" s="10">
        <f>IFERROR(VLOOKUP(C1582,'Inventory Master'!$A$3:$L$300,5,FALSE),0)</f>
      </c>
      <c r="F1582" s="10">
        <f>D1582*E1582</f>
      </c>
      <c r="G1582" s="8"/>
    </row>
    <row r="1583" ht="21" customHeight="1" spans="1:7" x14ac:dyDescent="0.25">
      <c r="A1583" s="8"/>
      <c r="B1583" s="8"/>
      <c r="C1583" s="8"/>
      <c r="D1583" s="8"/>
      <c r="E1583" s="10">
        <f>IFERROR(VLOOKUP(C1583,'Inventory Master'!$A$3:$L$300,5,FALSE),0)</f>
      </c>
      <c r="F1583" s="10">
        <f>D1583*E1583</f>
      </c>
      <c r="G1583" s="8"/>
    </row>
    <row r="1584" ht="21" customHeight="1" spans="1:7" x14ac:dyDescent="0.25">
      <c r="A1584" s="8"/>
      <c r="B1584" s="8"/>
      <c r="C1584" s="8"/>
      <c r="D1584" s="8"/>
      <c r="E1584" s="10">
        <f>IFERROR(VLOOKUP(C1584,'Inventory Master'!$A$3:$L$300,5,FALSE),0)</f>
      </c>
      <c r="F1584" s="10">
        <f>D1584*E1584</f>
      </c>
      <c r="G1584" s="8"/>
    </row>
    <row r="1585" ht="21" customHeight="1" spans="1:7" x14ac:dyDescent="0.25">
      <c r="A1585" s="8"/>
      <c r="B1585" s="8"/>
      <c r="C1585" s="8"/>
      <c r="D1585" s="8"/>
      <c r="E1585" s="10">
        <f>IFERROR(VLOOKUP(C1585,'Inventory Master'!$A$3:$L$300,5,FALSE),0)</f>
      </c>
      <c r="F1585" s="10">
        <f>D1585*E1585</f>
      </c>
      <c r="G1585" s="8"/>
    </row>
    <row r="1586" ht="21" customHeight="1" spans="1:7" x14ac:dyDescent="0.25">
      <c r="A1586" s="8"/>
      <c r="B1586" s="8"/>
      <c r="C1586" s="8"/>
      <c r="D1586" s="8"/>
      <c r="E1586" s="10">
        <f>IFERROR(VLOOKUP(C1586,'Inventory Master'!$A$3:$L$300,5,FALSE),0)</f>
      </c>
      <c r="F1586" s="10">
        <f>D1586*E1586</f>
      </c>
      <c r="G1586" s="8"/>
    </row>
    <row r="1587" ht="21" customHeight="1" spans="1:7" x14ac:dyDescent="0.25">
      <c r="A1587" s="8"/>
      <c r="B1587" s="8"/>
      <c r="C1587" s="8"/>
      <c r="D1587" s="8"/>
      <c r="E1587" s="10">
        <f>IFERROR(VLOOKUP(C1587,'Inventory Master'!$A$3:$L$300,5,FALSE),0)</f>
      </c>
      <c r="F1587" s="10">
        <f>D1587*E1587</f>
      </c>
      <c r="G1587" s="8"/>
    </row>
    <row r="1588" ht="21" customHeight="1" spans="1:7" x14ac:dyDescent="0.25">
      <c r="A1588" s="8"/>
      <c r="B1588" s="8"/>
      <c r="C1588" s="8"/>
      <c r="D1588" s="8"/>
      <c r="E1588" s="10">
        <f>IFERROR(VLOOKUP(C1588,'Inventory Master'!$A$3:$L$300,5,FALSE),0)</f>
      </c>
      <c r="F1588" s="10">
        <f>D1588*E1588</f>
      </c>
      <c r="G1588" s="8"/>
    </row>
    <row r="1589" ht="21" customHeight="1" spans="1:7" x14ac:dyDescent="0.25">
      <c r="A1589" s="8"/>
      <c r="B1589" s="8"/>
      <c r="C1589" s="8"/>
      <c r="D1589" s="8"/>
      <c r="E1589" s="10">
        <f>IFERROR(VLOOKUP(C1589,'Inventory Master'!$A$3:$L$300,5,FALSE),0)</f>
      </c>
      <c r="F1589" s="10">
        <f>D1589*E1589</f>
      </c>
      <c r="G1589" s="8"/>
    </row>
    <row r="1590" ht="21" customHeight="1" spans="1:7" x14ac:dyDescent="0.25">
      <c r="A1590" s="8"/>
      <c r="B1590" s="8"/>
      <c r="C1590" s="8"/>
      <c r="D1590" s="8"/>
      <c r="E1590" s="10">
        <f>IFERROR(VLOOKUP(C1590,'Inventory Master'!$A$3:$L$300,5,FALSE),0)</f>
      </c>
      <c r="F1590" s="10">
        <f>D1590*E1590</f>
      </c>
      <c r="G1590" s="8"/>
    </row>
    <row r="1591" ht="21" customHeight="1" spans="1:7" x14ac:dyDescent="0.25">
      <c r="A1591" s="8"/>
      <c r="B1591" s="8"/>
      <c r="C1591" s="8"/>
      <c r="D1591" s="8"/>
      <c r="E1591" s="10">
        <f>IFERROR(VLOOKUP(C1591,'Inventory Master'!$A$3:$L$300,5,FALSE),0)</f>
      </c>
      <c r="F1591" s="10">
        <f>D1591*E1591</f>
      </c>
      <c r="G1591" s="8"/>
    </row>
    <row r="1592" ht="21" customHeight="1" spans="1:7" x14ac:dyDescent="0.25">
      <c r="A1592" s="8"/>
      <c r="B1592" s="8"/>
      <c r="C1592" s="8"/>
      <c r="D1592" s="8"/>
      <c r="E1592" s="10">
        <f>IFERROR(VLOOKUP(C1592,'Inventory Master'!$A$3:$L$300,5,FALSE),0)</f>
      </c>
      <c r="F1592" s="10">
        <f>D1592*E1592</f>
      </c>
      <c r="G1592" s="8"/>
    </row>
    <row r="1593" ht="21" customHeight="1" spans="1:7" x14ac:dyDescent="0.25">
      <c r="A1593" s="8"/>
      <c r="B1593" s="8"/>
      <c r="C1593" s="8"/>
      <c r="D1593" s="8"/>
      <c r="E1593" s="10">
        <f>IFERROR(VLOOKUP(C1593,'Inventory Master'!$A$3:$L$300,5,FALSE),0)</f>
      </c>
      <c r="F1593" s="10">
        <f>D1593*E1593</f>
      </c>
      <c r="G1593" s="8"/>
    </row>
    <row r="1594" ht="21" customHeight="1" spans="1:7" x14ac:dyDescent="0.25">
      <c r="A1594" s="8"/>
      <c r="B1594" s="8"/>
      <c r="C1594" s="8"/>
      <c r="D1594" s="8"/>
      <c r="E1594" s="10">
        <f>IFERROR(VLOOKUP(C1594,'Inventory Master'!$A$3:$L$300,5,FALSE),0)</f>
      </c>
      <c r="F1594" s="10">
        <f>D1594*E1594</f>
      </c>
      <c r="G1594" s="8"/>
    </row>
    <row r="1595" ht="21" customHeight="1" spans="1:7" x14ac:dyDescent="0.25">
      <c r="A1595" s="8"/>
      <c r="B1595" s="8"/>
      <c r="C1595" s="8"/>
      <c r="D1595" s="8"/>
      <c r="E1595" s="10">
        <f>IFERROR(VLOOKUP(C1595,'Inventory Master'!$A$3:$L$300,5,FALSE),0)</f>
      </c>
      <c r="F1595" s="10">
        <f>D1595*E1595</f>
      </c>
      <c r="G1595" s="8"/>
    </row>
    <row r="1596" ht="21" customHeight="1" spans="1:7" x14ac:dyDescent="0.25">
      <c r="A1596" s="8"/>
      <c r="B1596" s="8"/>
      <c r="C1596" s="8"/>
      <c r="D1596" s="8"/>
      <c r="E1596" s="10">
        <f>IFERROR(VLOOKUP(C1596,'Inventory Master'!$A$3:$L$300,5,FALSE),0)</f>
      </c>
      <c r="F1596" s="10">
        <f>D1596*E1596</f>
      </c>
      <c r="G1596" s="8"/>
    </row>
    <row r="1597" ht="21" customHeight="1" spans="1:7" x14ac:dyDescent="0.25">
      <c r="A1597" s="8"/>
      <c r="B1597" s="8"/>
      <c r="C1597" s="8"/>
      <c r="D1597" s="8"/>
      <c r="E1597" s="10">
        <f>IFERROR(VLOOKUP(C1597,'Inventory Master'!$A$3:$L$300,5,FALSE),0)</f>
      </c>
      <c r="F1597" s="10">
        <f>D1597*E1597</f>
      </c>
      <c r="G1597" s="8"/>
    </row>
    <row r="1598" ht="21" customHeight="1" spans="1:7" x14ac:dyDescent="0.25">
      <c r="A1598" s="8"/>
      <c r="B1598" s="8"/>
      <c r="C1598" s="8"/>
      <c r="D1598" s="8"/>
      <c r="E1598" s="10">
        <f>IFERROR(VLOOKUP(C1598,'Inventory Master'!$A$3:$L$300,5,FALSE),0)</f>
      </c>
      <c r="F1598" s="10">
        <f>D1598*E1598</f>
      </c>
      <c r="G1598" s="8"/>
    </row>
    <row r="1599" ht="21" customHeight="1" spans="1:7" x14ac:dyDescent="0.25">
      <c r="A1599" s="8"/>
      <c r="B1599" s="8"/>
      <c r="C1599" s="8"/>
      <c r="D1599" s="8"/>
      <c r="E1599" s="10">
        <f>IFERROR(VLOOKUP(C1599,'Inventory Master'!$A$3:$L$300,5,FALSE),0)</f>
      </c>
      <c r="F1599" s="10">
        <f>D1599*E1599</f>
      </c>
      <c r="G1599" s="8"/>
    </row>
    <row r="1600" ht="21" customHeight="1" spans="1:7" x14ac:dyDescent="0.25">
      <c r="A1600" s="8"/>
      <c r="B1600" s="8"/>
      <c r="C1600" s="8"/>
      <c r="D1600" s="8"/>
      <c r="E1600" s="10">
        <f>IFERROR(VLOOKUP(C1600,'Inventory Master'!$A$3:$L$300,5,FALSE),0)</f>
      </c>
      <c r="F1600" s="10">
        <f>D1600*E1600</f>
      </c>
      <c r="G1600" s="8"/>
    </row>
    <row r="1601" ht="21" customHeight="1" spans="1:7" x14ac:dyDescent="0.25">
      <c r="A1601" s="8"/>
      <c r="B1601" s="8"/>
      <c r="C1601" s="8"/>
      <c r="D1601" s="8"/>
      <c r="E1601" s="10">
        <f>IFERROR(VLOOKUP(C1601,'Inventory Master'!$A$3:$L$300,5,FALSE),0)</f>
      </c>
      <c r="F1601" s="10">
        <f>D1601*E1601</f>
      </c>
      <c r="G1601" s="8"/>
    </row>
    <row r="1602" ht="21" customHeight="1" spans="1:7" x14ac:dyDescent="0.25">
      <c r="A1602" s="8"/>
      <c r="B1602" s="8"/>
      <c r="C1602" s="8"/>
      <c r="D1602" s="8"/>
      <c r="E1602" s="10">
        <f>IFERROR(VLOOKUP(C1602,'Inventory Master'!$A$3:$L$300,5,FALSE),0)</f>
      </c>
      <c r="F1602" s="10">
        <f>D1602*E1602</f>
      </c>
      <c r="G1602" s="8"/>
    </row>
    <row r="1603" ht="21" customHeight="1" spans="1:7" x14ac:dyDescent="0.25">
      <c r="A1603" s="8"/>
      <c r="B1603" s="8"/>
      <c r="C1603" s="8"/>
      <c r="D1603" s="8"/>
      <c r="E1603" s="10">
        <f>IFERROR(VLOOKUP(C1603,'Inventory Master'!$A$3:$L$300,5,FALSE),0)</f>
      </c>
      <c r="F1603" s="10">
        <f>D1603*E1603</f>
      </c>
      <c r="G1603" s="8"/>
    </row>
    <row r="1604" ht="21" customHeight="1" spans="1:7" x14ac:dyDescent="0.25">
      <c r="A1604" s="8"/>
      <c r="B1604" s="8"/>
      <c r="C1604" s="8"/>
      <c r="D1604" s="8"/>
      <c r="E1604" s="10">
        <f>IFERROR(VLOOKUP(C1604,'Inventory Master'!$A$3:$L$300,5,FALSE),0)</f>
      </c>
      <c r="F1604" s="10">
        <f>D1604*E1604</f>
      </c>
      <c r="G1604" s="8"/>
    </row>
    <row r="1605" ht="21" customHeight="1" spans="1:7" x14ac:dyDescent="0.25">
      <c r="A1605" s="8"/>
      <c r="B1605" s="8"/>
      <c r="C1605" s="8"/>
      <c r="D1605" s="8"/>
      <c r="E1605" s="10">
        <f>IFERROR(VLOOKUP(C1605,'Inventory Master'!$A$3:$L$300,5,FALSE),0)</f>
      </c>
      <c r="F1605" s="10">
        <f>D1605*E1605</f>
      </c>
      <c r="G1605" s="8"/>
    </row>
    <row r="1606" ht="21" customHeight="1" spans="1:7" x14ac:dyDescent="0.25">
      <c r="A1606" s="8"/>
      <c r="B1606" s="8"/>
      <c r="C1606" s="8"/>
      <c r="D1606" s="8"/>
      <c r="E1606" s="10">
        <f>IFERROR(VLOOKUP(C1606,'Inventory Master'!$A$3:$L$300,5,FALSE),0)</f>
      </c>
      <c r="F1606" s="10">
        <f>D1606*E1606</f>
      </c>
      <c r="G1606" s="8"/>
    </row>
    <row r="1607" ht="21" customHeight="1" spans="1:7" x14ac:dyDescent="0.25">
      <c r="A1607" s="8"/>
      <c r="B1607" s="8"/>
      <c r="C1607" s="8"/>
      <c r="D1607" s="8"/>
      <c r="E1607" s="10">
        <f>IFERROR(VLOOKUP(C1607,'Inventory Master'!$A$3:$L$300,5,FALSE),0)</f>
      </c>
      <c r="F1607" s="10">
        <f>D1607*E1607</f>
      </c>
      <c r="G1607" s="8"/>
    </row>
    <row r="1608" ht="21" customHeight="1" spans="1:7" x14ac:dyDescent="0.25">
      <c r="A1608" s="8"/>
      <c r="B1608" s="8"/>
      <c r="C1608" s="8"/>
      <c r="D1608" s="8"/>
      <c r="E1608" s="10">
        <f>IFERROR(VLOOKUP(C1608,'Inventory Master'!$A$3:$L$300,5,FALSE),0)</f>
      </c>
      <c r="F1608" s="10">
        <f>D1608*E1608</f>
      </c>
      <c r="G1608" s="8"/>
    </row>
    <row r="1609" ht="21" customHeight="1" spans="1:7" x14ac:dyDescent="0.25">
      <c r="A1609" s="8"/>
      <c r="B1609" s="8"/>
      <c r="C1609" s="8"/>
      <c r="D1609" s="8"/>
      <c r="E1609" s="10">
        <f>IFERROR(VLOOKUP(C1609,'Inventory Master'!$A$3:$L$300,5,FALSE),0)</f>
      </c>
      <c r="F1609" s="10">
        <f>D1609*E1609</f>
      </c>
      <c r="G1609" s="8"/>
    </row>
    <row r="1610" ht="21" customHeight="1" spans="1:7" x14ac:dyDescent="0.25">
      <c r="A1610" s="8"/>
      <c r="B1610" s="8"/>
      <c r="C1610" s="8"/>
      <c r="D1610" s="8"/>
      <c r="E1610" s="10">
        <f>IFERROR(VLOOKUP(C1610,'Inventory Master'!$A$3:$L$300,5,FALSE),0)</f>
      </c>
      <c r="F1610" s="10">
        <f>D1610*E1610</f>
      </c>
      <c r="G1610" s="8"/>
    </row>
    <row r="1611" ht="21" customHeight="1" spans="1:7" x14ac:dyDescent="0.25">
      <c r="A1611" s="8"/>
      <c r="B1611" s="8"/>
      <c r="C1611" s="8"/>
      <c r="D1611" s="8"/>
      <c r="E1611" s="10">
        <f>IFERROR(VLOOKUP(C1611,'Inventory Master'!$A$3:$L$300,5,FALSE),0)</f>
      </c>
      <c r="F1611" s="10">
        <f>D1611*E1611</f>
      </c>
      <c r="G1611" s="8"/>
    </row>
    <row r="1612" ht="21" customHeight="1" spans="1:7" x14ac:dyDescent="0.25">
      <c r="A1612" s="8"/>
      <c r="B1612" s="8"/>
      <c r="C1612" s="8"/>
      <c r="D1612" s="8"/>
      <c r="E1612" s="10">
        <f>IFERROR(VLOOKUP(C1612,'Inventory Master'!$A$3:$L$300,5,FALSE),0)</f>
      </c>
      <c r="F1612" s="10">
        <f>D1612*E1612</f>
      </c>
      <c r="G1612" s="8"/>
    </row>
    <row r="1613" ht="21" customHeight="1" spans="1:7" x14ac:dyDescent="0.25">
      <c r="A1613" s="8"/>
      <c r="B1613" s="8"/>
      <c r="C1613" s="8"/>
      <c r="D1613" s="8"/>
      <c r="E1613" s="10">
        <f>IFERROR(VLOOKUP(C1613,'Inventory Master'!$A$3:$L$300,5,FALSE),0)</f>
      </c>
      <c r="F1613" s="10">
        <f>D1613*E1613</f>
      </c>
      <c r="G1613" s="8"/>
    </row>
    <row r="1614" ht="21" customHeight="1" spans="1:7" x14ac:dyDescent="0.25">
      <c r="A1614" s="8"/>
      <c r="B1614" s="8"/>
      <c r="C1614" s="8"/>
      <c r="D1614" s="8"/>
      <c r="E1614" s="10">
        <f>IFERROR(VLOOKUP(C1614,'Inventory Master'!$A$3:$L$300,5,FALSE),0)</f>
      </c>
      <c r="F1614" s="10">
        <f>D1614*E1614</f>
      </c>
      <c r="G1614" s="8"/>
    </row>
    <row r="1615" ht="21" customHeight="1" spans="1:7" x14ac:dyDescent="0.25">
      <c r="A1615" s="8"/>
      <c r="B1615" s="8"/>
      <c r="C1615" s="8"/>
      <c r="D1615" s="8"/>
      <c r="E1615" s="10">
        <f>IFERROR(VLOOKUP(C1615,'Inventory Master'!$A$3:$L$300,5,FALSE),0)</f>
      </c>
      <c r="F1615" s="10">
        <f>D1615*E1615</f>
      </c>
      <c r="G1615" s="8"/>
    </row>
    <row r="1616" ht="21" customHeight="1" spans="1:7" x14ac:dyDescent="0.25">
      <c r="A1616" s="8"/>
      <c r="B1616" s="8"/>
      <c r="C1616" s="8"/>
      <c r="D1616" s="8"/>
      <c r="E1616" s="10">
        <f>IFERROR(VLOOKUP(C1616,'Inventory Master'!$A$3:$L$300,5,FALSE),0)</f>
      </c>
      <c r="F1616" s="10">
        <f>D1616*E1616</f>
      </c>
      <c r="G1616" s="8"/>
    </row>
    <row r="1617" ht="21" customHeight="1" spans="1:7" x14ac:dyDescent="0.25">
      <c r="A1617" s="8"/>
      <c r="B1617" s="8"/>
      <c r="C1617" s="8"/>
      <c r="D1617" s="8"/>
      <c r="E1617" s="10">
        <f>IFERROR(VLOOKUP(C1617,'Inventory Master'!$A$3:$L$300,5,FALSE),0)</f>
      </c>
      <c r="F1617" s="10">
        <f>D1617*E1617</f>
      </c>
      <c r="G1617" s="8"/>
    </row>
    <row r="1618" ht="21" customHeight="1" spans="1:7" x14ac:dyDescent="0.25">
      <c r="A1618" s="8"/>
      <c r="B1618" s="8"/>
      <c r="C1618" s="8"/>
      <c r="D1618" s="8"/>
      <c r="E1618" s="10">
        <f>IFERROR(VLOOKUP(C1618,'Inventory Master'!$A$3:$L$300,5,FALSE),0)</f>
      </c>
      <c r="F1618" s="10">
        <f>D1618*E1618</f>
      </c>
      <c r="G1618" s="8"/>
    </row>
    <row r="1619" ht="21" customHeight="1" spans="1:7" x14ac:dyDescent="0.25">
      <c r="A1619" s="8"/>
      <c r="B1619" s="8"/>
      <c r="C1619" s="8"/>
      <c r="D1619" s="8"/>
      <c r="E1619" s="10">
        <f>IFERROR(VLOOKUP(C1619,'Inventory Master'!$A$3:$L$300,5,FALSE),0)</f>
      </c>
      <c r="F1619" s="10">
        <f>D1619*E1619</f>
      </c>
      <c r="G1619" s="8"/>
    </row>
    <row r="1620" ht="21" customHeight="1" spans="1:7" x14ac:dyDescent="0.25">
      <c r="A1620" s="8"/>
      <c r="B1620" s="8"/>
      <c r="C1620" s="8"/>
      <c r="D1620" s="8"/>
      <c r="E1620" s="10">
        <f>IFERROR(VLOOKUP(C1620,'Inventory Master'!$A$3:$L$300,5,FALSE),0)</f>
      </c>
      <c r="F1620" s="10">
        <f>D1620*E1620</f>
      </c>
      <c r="G1620" s="8"/>
    </row>
    <row r="1621" ht="21" customHeight="1" spans="1:7" x14ac:dyDescent="0.25">
      <c r="A1621" s="8"/>
      <c r="B1621" s="8"/>
      <c r="C1621" s="8"/>
      <c r="D1621" s="8"/>
      <c r="E1621" s="10">
        <f>IFERROR(VLOOKUP(C1621,'Inventory Master'!$A$3:$L$300,5,FALSE),0)</f>
      </c>
      <c r="F1621" s="10">
        <f>D1621*E1621</f>
      </c>
      <c r="G1621" s="8"/>
    </row>
    <row r="1622" ht="21" customHeight="1" spans="1:7" x14ac:dyDescent="0.25">
      <c r="A1622" s="8"/>
      <c r="B1622" s="8"/>
      <c r="C1622" s="8"/>
      <c r="D1622" s="8"/>
      <c r="E1622" s="10">
        <f>IFERROR(VLOOKUP(C1622,'Inventory Master'!$A$3:$L$300,5,FALSE),0)</f>
      </c>
      <c r="F1622" s="10">
        <f>D1622*E1622</f>
      </c>
      <c r="G1622" s="8"/>
    </row>
    <row r="1623" ht="21" customHeight="1" spans="1:7" x14ac:dyDescent="0.25">
      <c r="A1623" s="8"/>
      <c r="B1623" s="8"/>
      <c r="C1623" s="8"/>
      <c r="D1623" s="8"/>
      <c r="E1623" s="10">
        <f>IFERROR(VLOOKUP(C1623,'Inventory Master'!$A$3:$L$300,5,FALSE),0)</f>
      </c>
      <c r="F1623" s="10">
        <f>D1623*E1623</f>
      </c>
      <c r="G1623" s="8"/>
    </row>
    <row r="1624" ht="21" customHeight="1" spans="1:7" x14ac:dyDescent="0.25">
      <c r="A1624" s="8"/>
      <c r="B1624" s="8"/>
      <c r="C1624" s="8"/>
      <c r="D1624" s="8"/>
      <c r="E1624" s="10">
        <f>IFERROR(VLOOKUP(C1624,'Inventory Master'!$A$3:$L$300,5,FALSE),0)</f>
      </c>
      <c r="F1624" s="10">
        <f>D1624*E1624</f>
      </c>
      <c r="G1624" s="8"/>
    </row>
    <row r="1625" ht="21" customHeight="1" spans="1:7" x14ac:dyDescent="0.25">
      <c r="A1625" s="8"/>
      <c r="B1625" s="8"/>
      <c r="C1625" s="8"/>
      <c r="D1625" s="8"/>
      <c r="E1625" s="10">
        <f>IFERROR(VLOOKUP(C1625,'Inventory Master'!$A$3:$L$300,5,FALSE),0)</f>
      </c>
      <c r="F1625" s="10">
        <f>D1625*E1625</f>
      </c>
      <c r="G1625" s="8"/>
    </row>
    <row r="1626" ht="21" customHeight="1" spans="1:7" x14ac:dyDescent="0.25">
      <c r="A1626" s="8"/>
      <c r="B1626" s="8"/>
      <c r="C1626" s="8"/>
      <c r="D1626" s="8"/>
      <c r="E1626" s="10">
        <f>IFERROR(VLOOKUP(C1626,'Inventory Master'!$A$3:$L$300,5,FALSE),0)</f>
      </c>
      <c r="F1626" s="10">
        <f>D1626*E1626</f>
      </c>
      <c r="G1626" s="8"/>
    </row>
    <row r="1627" ht="21" customHeight="1" spans="1:7" x14ac:dyDescent="0.25">
      <c r="A1627" s="8"/>
      <c r="B1627" s="8"/>
      <c r="C1627" s="8"/>
      <c r="D1627" s="8"/>
      <c r="E1627" s="10">
        <f>IFERROR(VLOOKUP(C1627,'Inventory Master'!$A$3:$L$300,5,FALSE),0)</f>
      </c>
      <c r="F1627" s="10">
        <f>D1627*E1627</f>
      </c>
      <c r="G1627" s="8"/>
    </row>
    <row r="1628" ht="21" customHeight="1" spans="1:7" x14ac:dyDescent="0.25">
      <c r="A1628" s="8"/>
      <c r="B1628" s="8"/>
      <c r="C1628" s="8"/>
      <c r="D1628" s="8"/>
      <c r="E1628" s="10">
        <f>IFERROR(VLOOKUP(C1628,'Inventory Master'!$A$3:$L$300,5,FALSE),0)</f>
      </c>
      <c r="F1628" s="10">
        <f>D1628*E1628</f>
      </c>
      <c r="G1628" s="8"/>
    </row>
    <row r="1629" ht="21" customHeight="1" spans="1:7" x14ac:dyDescent="0.25">
      <c r="A1629" s="8"/>
      <c r="B1629" s="8"/>
      <c r="C1629" s="8"/>
      <c r="D1629" s="8"/>
      <c r="E1629" s="10">
        <f>IFERROR(VLOOKUP(C1629,'Inventory Master'!$A$3:$L$300,5,FALSE),0)</f>
      </c>
      <c r="F1629" s="10">
        <f>D1629*E1629</f>
      </c>
      <c r="G1629" s="8"/>
    </row>
    <row r="1630" ht="21" customHeight="1" spans="1:7" x14ac:dyDescent="0.25">
      <c r="A1630" s="8"/>
      <c r="B1630" s="8"/>
      <c r="C1630" s="8"/>
      <c r="D1630" s="8"/>
      <c r="E1630" s="10">
        <f>IFERROR(VLOOKUP(C1630,'Inventory Master'!$A$3:$L$300,5,FALSE),0)</f>
      </c>
      <c r="F1630" s="10">
        <f>D1630*E1630</f>
      </c>
      <c r="G1630" s="8"/>
    </row>
    <row r="1631" ht="21" customHeight="1" spans="1:7" x14ac:dyDescent="0.25">
      <c r="A1631" s="8"/>
      <c r="B1631" s="8"/>
      <c r="C1631" s="8"/>
      <c r="D1631" s="8"/>
      <c r="E1631" s="10">
        <f>IFERROR(VLOOKUP(C1631,'Inventory Master'!$A$3:$L$300,5,FALSE),0)</f>
      </c>
      <c r="F1631" s="10">
        <f>D1631*E1631</f>
      </c>
      <c r="G1631" s="8"/>
    </row>
    <row r="1632" ht="21" customHeight="1" spans="1:7" x14ac:dyDescent="0.25">
      <c r="A1632" s="8"/>
      <c r="B1632" s="8"/>
      <c r="C1632" s="8"/>
      <c r="D1632" s="8"/>
      <c r="E1632" s="10">
        <f>IFERROR(VLOOKUP(C1632,'Inventory Master'!$A$3:$L$300,5,FALSE),0)</f>
      </c>
      <c r="F1632" s="10">
        <f>D1632*E1632</f>
      </c>
      <c r="G1632" s="8"/>
    </row>
    <row r="1633" ht="21" customHeight="1" spans="1:7" x14ac:dyDescent="0.25">
      <c r="A1633" s="8"/>
      <c r="B1633" s="8"/>
      <c r="C1633" s="8"/>
      <c r="D1633" s="8"/>
      <c r="E1633" s="10">
        <f>IFERROR(VLOOKUP(C1633,'Inventory Master'!$A$3:$L$300,5,FALSE),0)</f>
      </c>
      <c r="F1633" s="10">
        <f>D1633*E1633</f>
      </c>
      <c r="G1633" s="8"/>
    </row>
    <row r="1634" ht="21" customHeight="1" spans="1:7" x14ac:dyDescent="0.25">
      <c r="A1634" s="8"/>
      <c r="B1634" s="8"/>
      <c r="C1634" s="8"/>
      <c r="D1634" s="8"/>
      <c r="E1634" s="10">
        <f>IFERROR(VLOOKUP(C1634,'Inventory Master'!$A$3:$L$300,5,FALSE),0)</f>
      </c>
      <c r="F1634" s="10">
        <f>D1634*E1634</f>
      </c>
      <c r="G1634" s="8"/>
    </row>
    <row r="1635" ht="21" customHeight="1" spans="1:7" x14ac:dyDescent="0.25">
      <c r="A1635" s="8"/>
      <c r="B1635" s="8"/>
      <c r="C1635" s="8"/>
      <c r="D1635" s="8"/>
      <c r="E1635" s="10">
        <f>IFERROR(VLOOKUP(C1635,'Inventory Master'!$A$3:$L$300,5,FALSE),0)</f>
      </c>
      <c r="F1635" s="10">
        <f>D1635*E1635</f>
      </c>
      <c r="G1635" s="8"/>
    </row>
    <row r="1636" ht="21" customHeight="1" spans="1:7" x14ac:dyDescent="0.25">
      <c r="A1636" s="8"/>
      <c r="B1636" s="8"/>
      <c r="C1636" s="8"/>
      <c r="D1636" s="8"/>
      <c r="E1636" s="10">
        <f>IFERROR(VLOOKUP(C1636,'Inventory Master'!$A$3:$L$300,5,FALSE),0)</f>
      </c>
      <c r="F1636" s="10">
        <f>D1636*E1636</f>
      </c>
      <c r="G1636" s="8"/>
    </row>
    <row r="1637" ht="21" customHeight="1" spans="1:7" x14ac:dyDescent="0.25">
      <c r="A1637" s="8"/>
      <c r="B1637" s="8"/>
      <c r="C1637" s="8"/>
      <c r="D1637" s="8"/>
      <c r="E1637" s="10">
        <f>IFERROR(VLOOKUP(C1637,'Inventory Master'!$A$3:$L$300,5,FALSE),0)</f>
      </c>
      <c r="F1637" s="10">
        <f>D1637*E1637</f>
      </c>
      <c r="G1637" s="8"/>
    </row>
    <row r="1638" ht="21" customHeight="1" spans="1:7" x14ac:dyDescent="0.25">
      <c r="A1638" s="8"/>
      <c r="B1638" s="8"/>
      <c r="C1638" s="8"/>
      <c r="D1638" s="8"/>
      <c r="E1638" s="10">
        <f>IFERROR(VLOOKUP(C1638,'Inventory Master'!$A$3:$L$300,5,FALSE),0)</f>
      </c>
      <c r="F1638" s="10">
        <f>D1638*E1638</f>
      </c>
      <c r="G1638" s="8"/>
    </row>
    <row r="1639" ht="21" customHeight="1" spans="1:7" x14ac:dyDescent="0.25">
      <c r="A1639" s="8"/>
      <c r="B1639" s="8"/>
      <c r="C1639" s="8"/>
      <c r="D1639" s="8"/>
      <c r="E1639" s="10">
        <f>IFERROR(VLOOKUP(C1639,'Inventory Master'!$A$3:$L$300,5,FALSE),0)</f>
      </c>
      <c r="F1639" s="10">
        <f>D1639*E1639</f>
      </c>
      <c r="G1639" s="8"/>
    </row>
    <row r="1640" ht="21" customHeight="1" spans="1:7" x14ac:dyDescent="0.25">
      <c r="A1640" s="8"/>
      <c r="B1640" s="8"/>
      <c r="C1640" s="8"/>
      <c r="D1640" s="8"/>
      <c r="E1640" s="10">
        <f>IFERROR(VLOOKUP(C1640,'Inventory Master'!$A$3:$L$300,5,FALSE),0)</f>
      </c>
      <c r="F1640" s="10">
        <f>D1640*E1640</f>
      </c>
      <c r="G1640" s="8"/>
    </row>
    <row r="1641" ht="21" customHeight="1" spans="1:7" x14ac:dyDescent="0.25">
      <c r="A1641" s="8"/>
      <c r="B1641" s="8"/>
      <c r="C1641" s="8"/>
      <c r="D1641" s="8"/>
      <c r="E1641" s="10">
        <f>IFERROR(VLOOKUP(C1641,'Inventory Master'!$A$3:$L$300,5,FALSE),0)</f>
      </c>
      <c r="F1641" s="10">
        <f>D1641*E1641</f>
      </c>
      <c r="G1641" s="8"/>
    </row>
    <row r="1642" ht="21" customHeight="1" spans="1:7" x14ac:dyDescent="0.25">
      <c r="A1642" s="8"/>
      <c r="B1642" s="8"/>
      <c r="C1642" s="8"/>
      <c r="D1642" s="8"/>
      <c r="E1642" s="10">
        <f>IFERROR(VLOOKUP(C1642,'Inventory Master'!$A$3:$L$300,5,FALSE),0)</f>
      </c>
      <c r="F1642" s="10">
        <f>D1642*E1642</f>
      </c>
      <c r="G1642" s="8"/>
    </row>
    <row r="1643" ht="21" customHeight="1" spans="1:7" x14ac:dyDescent="0.25">
      <c r="A1643" s="8"/>
      <c r="B1643" s="8"/>
      <c r="C1643" s="8"/>
      <c r="D1643" s="8"/>
      <c r="E1643" s="10">
        <f>IFERROR(VLOOKUP(C1643,'Inventory Master'!$A$3:$L$300,5,FALSE),0)</f>
      </c>
      <c r="F1643" s="10">
        <f>D1643*E1643</f>
      </c>
      <c r="G1643" s="8"/>
    </row>
    <row r="1644" ht="21" customHeight="1" spans="1:7" x14ac:dyDescent="0.25">
      <c r="A1644" s="8"/>
      <c r="B1644" s="8"/>
      <c r="C1644" s="8"/>
      <c r="D1644" s="8"/>
      <c r="E1644" s="10">
        <f>IFERROR(VLOOKUP(C1644,'Inventory Master'!$A$3:$L$300,5,FALSE),0)</f>
      </c>
      <c r="F1644" s="10">
        <f>D1644*E1644</f>
      </c>
      <c r="G1644" s="8"/>
    </row>
    <row r="1645" ht="21" customHeight="1" spans="1:7" x14ac:dyDescent="0.25">
      <c r="A1645" s="8"/>
      <c r="B1645" s="8"/>
      <c r="C1645" s="8"/>
      <c r="D1645" s="8"/>
      <c r="E1645" s="10">
        <f>IFERROR(VLOOKUP(C1645,'Inventory Master'!$A$3:$L$300,5,FALSE),0)</f>
      </c>
      <c r="F1645" s="10">
        <f>D1645*E1645</f>
      </c>
      <c r="G1645" s="8"/>
    </row>
    <row r="1646" ht="21" customHeight="1" spans="1:7" x14ac:dyDescent="0.25">
      <c r="A1646" s="8"/>
      <c r="B1646" s="8"/>
      <c r="C1646" s="8"/>
      <c r="D1646" s="8"/>
      <c r="E1646" s="10">
        <f>IFERROR(VLOOKUP(C1646,'Inventory Master'!$A$3:$L$300,5,FALSE),0)</f>
      </c>
      <c r="F1646" s="10">
        <f>D1646*E1646</f>
      </c>
      <c r="G1646" s="8"/>
    </row>
    <row r="1647" ht="21" customHeight="1" spans="1:7" x14ac:dyDescent="0.25">
      <c r="A1647" s="8"/>
      <c r="B1647" s="8"/>
      <c r="C1647" s="8"/>
      <c r="D1647" s="8"/>
      <c r="E1647" s="10">
        <f>IFERROR(VLOOKUP(C1647,'Inventory Master'!$A$3:$L$300,5,FALSE),0)</f>
      </c>
      <c r="F1647" s="10">
        <f>D1647*E1647</f>
      </c>
      <c r="G1647" s="8"/>
    </row>
    <row r="1648" ht="21" customHeight="1" spans="1:7" x14ac:dyDescent="0.25">
      <c r="A1648" s="8"/>
      <c r="B1648" s="8"/>
      <c r="C1648" s="8"/>
      <c r="D1648" s="8"/>
      <c r="E1648" s="10">
        <f>IFERROR(VLOOKUP(C1648,'Inventory Master'!$A$3:$L$300,5,FALSE),0)</f>
      </c>
      <c r="F1648" s="10">
        <f>D1648*E1648</f>
      </c>
      <c r="G1648" s="8"/>
    </row>
    <row r="1649" ht="21" customHeight="1" spans="1:7" x14ac:dyDescent="0.25">
      <c r="A1649" s="8"/>
      <c r="B1649" s="8"/>
      <c r="C1649" s="8"/>
      <c r="D1649" s="8"/>
      <c r="E1649" s="10">
        <f>IFERROR(VLOOKUP(C1649,'Inventory Master'!$A$3:$L$300,5,FALSE),0)</f>
      </c>
      <c r="F1649" s="10">
        <f>D1649*E1649</f>
      </c>
      <c r="G1649" s="8"/>
    </row>
    <row r="1650" ht="21" customHeight="1" spans="1:7" x14ac:dyDescent="0.25">
      <c r="A1650" s="8"/>
      <c r="B1650" s="8"/>
      <c r="C1650" s="8"/>
      <c r="D1650" s="8"/>
      <c r="E1650" s="10">
        <f>IFERROR(VLOOKUP(C1650,'Inventory Master'!$A$3:$L$300,5,FALSE),0)</f>
      </c>
      <c r="F1650" s="10">
        <f>D1650*E1650</f>
      </c>
      <c r="G1650" s="8"/>
    </row>
    <row r="1651" ht="21" customHeight="1" spans="1:7" x14ac:dyDescent="0.25">
      <c r="A1651" s="8"/>
      <c r="B1651" s="8"/>
      <c r="C1651" s="8"/>
      <c r="D1651" s="8"/>
      <c r="E1651" s="10">
        <f>IFERROR(VLOOKUP(C1651,'Inventory Master'!$A$3:$L$300,5,FALSE),0)</f>
      </c>
      <c r="F1651" s="10">
        <f>D1651*E1651</f>
      </c>
      <c r="G1651" s="8"/>
    </row>
    <row r="1652" ht="21" customHeight="1" spans="1:7" x14ac:dyDescent="0.25">
      <c r="A1652" s="8"/>
      <c r="B1652" s="8"/>
      <c r="C1652" s="8"/>
      <c r="D1652" s="8"/>
      <c r="E1652" s="10">
        <f>IFERROR(VLOOKUP(C1652,'Inventory Master'!$A$3:$L$300,5,FALSE),0)</f>
      </c>
      <c r="F1652" s="10">
        <f>D1652*E1652</f>
      </c>
      <c r="G1652" s="8"/>
    </row>
    <row r="1653" ht="21" customHeight="1" spans="1:7" x14ac:dyDescent="0.25">
      <c r="A1653" s="8"/>
      <c r="B1653" s="8"/>
      <c r="C1653" s="8"/>
      <c r="D1653" s="8"/>
      <c r="E1653" s="10">
        <f>IFERROR(VLOOKUP(C1653,'Inventory Master'!$A$3:$L$300,5,FALSE),0)</f>
      </c>
      <c r="F1653" s="10">
        <f>D1653*E1653</f>
      </c>
      <c r="G1653" s="8"/>
    </row>
    <row r="1654" ht="21" customHeight="1" spans="1:7" x14ac:dyDescent="0.25">
      <c r="A1654" s="8"/>
      <c r="B1654" s="8"/>
      <c r="C1654" s="8"/>
      <c r="D1654" s="8"/>
      <c r="E1654" s="10">
        <f>IFERROR(VLOOKUP(C1654,'Inventory Master'!$A$3:$L$300,5,FALSE),0)</f>
      </c>
      <c r="F1654" s="10">
        <f>D1654*E1654</f>
      </c>
      <c r="G1654" s="8"/>
    </row>
    <row r="1655" ht="21" customHeight="1" spans="1:7" x14ac:dyDescent="0.25">
      <c r="A1655" s="8"/>
      <c r="B1655" s="8"/>
      <c r="C1655" s="8"/>
      <c r="D1655" s="8"/>
      <c r="E1655" s="10">
        <f>IFERROR(VLOOKUP(C1655,'Inventory Master'!$A$3:$L$300,5,FALSE),0)</f>
      </c>
      <c r="F1655" s="10">
        <f>D1655*E1655</f>
      </c>
      <c r="G1655" s="8"/>
    </row>
    <row r="1656" ht="21" customHeight="1" spans="1:7" x14ac:dyDescent="0.25">
      <c r="A1656" s="8"/>
      <c r="B1656" s="8"/>
      <c r="C1656" s="8"/>
      <c r="D1656" s="8"/>
      <c r="E1656" s="10">
        <f>IFERROR(VLOOKUP(C1656,'Inventory Master'!$A$3:$L$300,5,FALSE),0)</f>
      </c>
      <c r="F1656" s="10">
        <f>D1656*E1656</f>
      </c>
      <c r="G1656" s="8"/>
    </row>
    <row r="1657" ht="21" customHeight="1" spans="1:7" x14ac:dyDescent="0.25">
      <c r="A1657" s="8"/>
      <c r="B1657" s="8"/>
      <c r="C1657" s="8"/>
      <c r="D1657" s="8"/>
      <c r="E1657" s="10">
        <f>IFERROR(VLOOKUP(C1657,'Inventory Master'!$A$3:$L$300,5,FALSE),0)</f>
      </c>
      <c r="F1657" s="10">
        <f>D1657*E1657</f>
      </c>
      <c r="G1657" s="8"/>
    </row>
    <row r="1658" ht="21" customHeight="1" spans="1:7" x14ac:dyDescent="0.25">
      <c r="A1658" s="8"/>
      <c r="B1658" s="8"/>
      <c r="C1658" s="8"/>
      <c r="D1658" s="8"/>
      <c r="E1658" s="10">
        <f>IFERROR(VLOOKUP(C1658,'Inventory Master'!$A$3:$L$300,5,FALSE),0)</f>
      </c>
      <c r="F1658" s="10">
        <f>D1658*E1658</f>
      </c>
      <c r="G1658" s="8"/>
    </row>
    <row r="1659" ht="21" customHeight="1" spans="1:7" x14ac:dyDescent="0.25">
      <c r="A1659" s="8"/>
      <c r="B1659" s="8"/>
      <c r="C1659" s="8"/>
      <c r="D1659" s="8"/>
      <c r="E1659" s="10">
        <f>IFERROR(VLOOKUP(C1659,'Inventory Master'!$A$3:$L$300,5,FALSE),0)</f>
      </c>
      <c r="F1659" s="10">
        <f>D1659*E1659</f>
      </c>
      <c r="G1659" s="8"/>
    </row>
    <row r="1660" ht="21" customHeight="1" spans="1:7" x14ac:dyDescent="0.25">
      <c r="A1660" s="8"/>
      <c r="B1660" s="8"/>
      <c r="C1660" s="8"/>
      <c r="D1660" s="8"/>
      <c r="E1660" s="10">
        <f>IFERROR(VLOOKUP(C1660,'Inventory Master'!$A$3:$L$300,5,FALSE),0)</f>
      </c>
      <c r="F1660" s="10">
        <f>D1660*E1660</f>
      </c>
      <c r="G1660" s="8"/>
    </row>
    <row r="1661" ht="21" customHeight="1" spans="1:7" x14ac:dyDescent="0.25">
      <c r="A1661" s="8"/>
      <c r="B1661" s="8"/>
      <c r="C1661" s="8"/>
      <c r="D1661" s="8"/>
      <c r="E1661" s="10">
        <f>IFERROR(VLOOKUP(C1661,'Inventory Master'!$A$3:$L$300,5,FALSE),0)</f>
      </c>
      <c r="F1661" s="10">
        <f>D1661*E1661</f>
      </c>
      <c r="G1661" s="8"/>
    </row>
    <row r="1662" ht="21" customHeight="1" spans="1:7" x14ac:dyDescent="0.25">
      <c r="A1662" s="8"/>
      <c r="B1662" s="8"/>
      <c r="C1662" s="8"/>
      <c r="D1662" s="8"/>
      <c r="E1662" s="10">
        <f>IFERROR(VLOOKUP(C1662,'Inventory Master'!$A$3:$L$300,5,FALSE),0)</f>
      </c>
      <c r="F1662" s="10">
        <f>D1662*E1662</f>
      </c>
      <c r="G1662" s="8"/>
    </row>
    <row r="1663" ht="21" customHeight="1" spans="1:7" x14ac:dyDescent="0.25">
      <c r="A1663" s="8"/>
      <c r="B1663" s="8"/>
      <c r="C1663" s="8"/>
      <c r="D1663" s="8"/>
      <c r="E1663" s="10">
        <f>IFERROR(VLOOKUP(C1663,'Inventory Master'!$A$3:$L$300,5,FALSE),0)</f>
      </c>
      <c r="F1663" s="10">
        <f>D1663*E1663</f>
      </c>
      <c r="G1663" s="8"/>
    </row>
    <row r="1664" ht="21" customHeight="1" spans="1:7" x14ac:dyDescent="0.25">
      <c r="A1664" s="8"/>
      <c r="B1664" s="8"/>
      <c r="C1664" s="8"/>
      <c r="D1664" s="8"/>
      <c r="E1664" s="10">
        <f>IFERROR(VLOOKUP(C1664,'Inventory Master'!$A$3:$L$300,5,FALSE),0)</f>
      </c>
      <c r="F1664" s="10">
        <f>D1664*E1664</f>
      </c>
      <c r="G1664" s="8"/>
    </row>
    <row r="1665" ht="21" customHeight="1" spans="1:7" x14ac:dyDescent="0.25">
      <c r="A1665" s="8"/>
      <c r="B1665" s="8"/>
      <c r="C1665" s="8"/>
      <c r="D1665" s="8"/>
      <c r="E1665" s="10">
        <f>IFERROR(VLOOKUP(C1665,'Inventory Master'!$A$3:$L$300,5,FALSE),0)</f>
      </c>
      <c r="F1665" s="10">
        <f>D1665*E1665</f>
      </c>
      <c r="G1665" s="8"/>
    </row>
    <row r="1666" ht="21" customHeight="1" spans="1:7" x14ac:dyDescent="0.25">
      <c r="A1666" s="8"/>
      <c r="B1666" s="8"/>
      <c r="C1666" s="8"/>
      <c r="D1666" s="8"/>
      <c r="E1666" s="10">
        <f>IFERROR(VLOOKUP(C1666,'Inventory Master'!$A$3:$L$300,5,FALSE),0)</f>
      </c>
      <c r="F1666" s="10">
        <f>D1666*E1666</f>
      </c>
      <c r="G1666" s="8"/>
    </row>
    <row r="1667" ht="21" customHeight="1" spans="1:7" x14ac:dyDescent="0.25">
      <c r="A1667" s="8"/>
      <c r="B1667" s="8"/>
      <c r="C1667" s="8"/>
      <c r="D1667" s="8"/>
      <c r="E1667" s="10">
        <f>IFERROR(VLOOKUP(C1667,'Inventory Master'!$A$3:$L$300,5,FALSE),0)</f>
      </c>
      <c r="F1667" s="10">
        <f>D1667*E1667</f>
      </c>
      <c r="G1667" s="8"/>
    </row>
    <row r="1668" ht="21" customHeight="1" spans="1:7" x14ac:dyDescent="0.25">
      <c r="A1668" s="8"/>
      <c r="B1668" s="8"/>
      <c r="C1668" s="8"/>
      <c r="D1668" s="8"/>
      <c r="E1668" s="10">
        <f>IFERROR(VLOOKUP(C1668,'Inventory Master'!$A$3:$L$300,5,FALSE),0)</f>
      </c>
      <c r="F1668" s="10">
        <f>D1668*E1668</f>
      </c>
      <c r="G1668" s="8"/>
    </row>
    <row r="1669" ht="21" customHeight="1" spans="1:7" x14ac:dyDescent="0.25">
      <c r="A1669" s="8"/>
      <c r="B1669" s="8"/>
      <c r="C1669" s="8"/>
      <c r="D1669" s="8"/>
      <c r="E1669" s="10">
        <f>IFERROR(VLOOKUP(C1669,'Inventory Master'!$A$3:$L$300,5,FALSE),0)</f>
      </c>
      <c r="F1669" s="10">
        <f>D1669*E1669</f>
      </c>
      <c r="G1669" s="8"/>
    </row>
    <row r="1670" ht="21" customHeight="1" spans="1:7" x14ac:dyDescent="0.25">
      <c r="A1670" s="8"/>
      <c r="B1670" s="8"/>
      <c r="C1670" s="8"/>
      <c r="D1670" s="8"/>
      <c r="E1670" s="10">
        <f>IFERROR(VLOOKUP(C1670,'Inventory Master'!$A$3:$L$300,5,FALSE),0)</f>
      </c>
      <c r="F1670" s="10">
        <f>D1670*E1670</f>
      </c>
      <c r="G1670" s="8"/>
    </row>
    <row r="1671" ht="21" customHeight="1" spans="1:7" x14ac:dyDescent="0.25">
      <c r="A1671" s="8"/>
      <c r="B1671" s="8"/>
      <c r="C1671" s="8"/>
      <c r="D1671" s="8"/>
      <c r="E1671" s="10">
        <f>IFERROR(VLOOKUP(C1671,'Inventory Master'!$A$3:$L$300,5,FALSE),0)</f>
      </c>
      <c r="F1671" s="10">
        <f>D1671*E1671</f>
      </c>
      <c r="G1671" s="8"/>
    </row>
    <row r="1672" ht="21" customHeight="1" spans="1:7" x14ac:dyDescent="0.25">
      <c r="A1672" s="8"/>
      <c r="B1672" s="8"/>
      <c r="C1672" s="8"/>
      <c r="D1672" s="8"/>
      <c r="E1672" s="10">
        <f>IFERROR(VLOOKUP(C1672,'Inventory Master'!$A$3:$L$300,5,FALSE),0)</f>
      </c>
      <c r="F1672" s="10">
        <f>D1672*E1672</f>
      </c>
      <c r="G1672" s="8"/>
    </row>
    <row r="1673" ht="21" customHeight="1" spans="1:7" x14ac:dyDescent="0.25">
      <c r="A1673" s="8"/>
      <c r="B1673" s="8"/>
      <c r="C1673" s="8"/>
      <c r="D1673" s="8"/>
      <c r="E1673" s="10">
        <f>IFERROR(VLOOKUP(C1673,'Inventory Master'!$A$3:$L$300,5,FALSE),0)</f>
      </c>
      <c r="F1673" s="10">
        <f>D1673*E1673</f>
      </c>
      <c r="G1673" s="8"/>
    </row>
    <row r="1674" ht="21" customHeight="1" spans="1:7" x14ac:dyDescent="0.25">
      <c r="A1674" s="8"/>
      <c r="B1674" s="8"/>
      <c r="C1674" s="8"/>
      <c r="D1674" s="8"/>
      <c r="E1674" s="10">
        <f>IFERROR(VLOOKUP(C1674,'Inventory Master'!$A$3:$L$300,5,FALSE),0)</f>
      </c>
      <c r="F1674" s="10">
        <f>D1674*E1674</f>
      </c>
      <c r="G1674" s="8"/>
    </row>
    <row r="1675" ht="21" customHeight="1" spans="1:7" x14ac:dyDescent="0.25">
      <c r="A1675" s="8"/>
      <c r="B1675" s="8"/>
      <c r="C1675" s="8"/>
      <c r="D1675" s="8"/>
      <c r="E1675" s="10">
        <f>IFERROR(VLOOKUP(C1675,'Inventory Master'!$A$3:$L$300,5,FALSE),0)</f>
      </c>
      <c r="F1675" s="10">
        <f>D1675*E1675</f>
      </c>
      <c r="G1675" s="8"/>
    </row>
    <row r="1676" ht="21" customHeight="1" spans="1:7" x14ac:dyDescent="0.25">
      <c r="A1676" s="8"/>
      <c r="B1676" s="8"/>
      <c r="C1676" s="8"/>
      <c r="D1676" s="8"/>
      <c r="E1676" s="10">
        <f>IFERROR(VLOOKUP(C1676,'Inventory Master'!$A$3:$L$300,5,FALSE),0)</f>
      </c>
      <c r="F1676" s="10">
        <f>D1676*E1676</f>
      </c>
      <c r="G1676" s="8"/>
    </row>
    <row r="1677" ht="21" customHeight="1" spans="1:7" x14ac:dyDescent="0.25">
      <c r="A1677" s="8"/>
      <c r="B1677" s="8"/>
      <c r="C1677" s="8"/>
      <c r="D1677" s="8"/>
      <c r="E1677" s="10">
        <f>IFERROR(VLOOKUP(C1677,'Inventory Master'!$A$3:$L$300,5,FALSE),0)</f>
      </c>
      <c r="F1677" s="10">
        <f>D1677*E1677</f>
      </c>
      <c r="G1677" s="8"/>
    </row>
    <row r="1678" ht="21" customHeight="1" spans="1:7" x14ac:dyDescent="0.25">
      <c r="A1678" s="8"/>
      <c r="B1678" s="8"/>
      <c r="C1678" s="8"/>
      <c r="D1678" s="8"/>
      <c r="E1678" s="10">
        <f>IFERROR(VLOOKUP(C1678,'Inventory Master'!$A$3:$L$300,5,FALSE),0)</f>
      </c>
      <c r="F1678" s="10">
        <f>D1678*E1678</f>
      </c>
      <c r="G1678" s="8"/>
    </row>
    <row r="1679" ht="21" customHeight="1" spans="1:7" x14ac:dyDescent="0.25">
      <c r="A1679" s="8"/>
      <c r="B1679" s="8"/>
      <c r="C1679" s="8"/>
      <c r="D1679" s="8"/>
      <c r="E1679" s="10">
        <f>IFERROR(VLOOKUP(C1679,'Inventory Master'!$A$3:$L$300,5,FALSE),0)</f>
      </c>
      <c r="F1679" s="10">
        <f>D1679*E1679</f>
      </c>
      <c r="G1679" s="8"/>
    </row>
    <row r="1680" ht="21" customHeight="1" spans="1:7" x14ac:dyDescent="0.25">
      <c r="A1680" s="8"/>
      <c r="B1680" s="8"/>
      <c r="C1680" s="8"/>
      <c r="D1680" s="8"/>
      <c r="E1680" s="10">
        <f>IFERROR(VLOOKUP(C1680,'Inventory Master'!$A$3:$L$300,5,FALSE),0)</f>
      </c>
      <c r="F1680" s="10">
        <f>D1680*E1680</f>
      </c>
      <c r="G1680" s="8"/>
    </row>
    <row r="1681" ht="21" customHeight="1" spans="1:7" x14ac:dyDescent="0.25">
      <c r="A1681" s="8"/>
      <c r="B1681" s="8"/>
      <c r="C1681" s="8"/>
      <c r="D1681" s="8"/>
      <c r="E1681" s="10">
        <f>IFERROR(VLOOKUP(C1681,'Inventory Master'!$A$3:$L$300,5,FALSE),0)</f>
      </c>
      <c r="F1681" s="10">
        <f>D1681*E1681</f>
      </c>
      <c r="G1681" s="8"/>
    </row>
    <row r="1682" ht="21" customHeight="1" spans="1:7" x14ac:dyDescent="0.25">
      <c r="A1682" s="8"/>
      <c r="B1682" s="8"/>
      <c r="C1682" s="8"/>
      <c r="D1682" s="8"/>
      <c r="E1682" s="10">
        <f>IFERROR(VLOOKUP(C1682,'Inventory Master'!$A$3:$L$300,5,FALSE),0)</f>
      </c>
      <c r="F1682" s="10">
        <f>D1682*E1682</f>
      </c>
      <c r="G1682" s="8"/>
    </row>
    <row r="1683" ht="21" customHeight="1" spans="1:7" x14ac:dyDescent="0.25">
      <c r="A1683" s="8"/>
      <c r="B1683" s="8"/>
      <c r="C1683" s="8"/>
      <c r="D1683" s="8"/>
      <c r="E1683" s="10">
        <f>IFERROR(VLOOKUP(C1683,'Inventory Master'!$A$3:$L$300,5,FALSE),0)</f>
      </c>
      <c r="F1683" s="10">
        <f>D1683*E1683</f>
      </c>
      <c r="G1683" s="8"/>
    </row>
    <row r="1684" ht="21" customHeight="1" spans="1:7" x14ac:dyDescent="0.25">
      <c r="A1684" s="8"/>
      <c r="B1684" s="8"/>
      <c r="C1684" s="8"/>
      <c r="D1684" s="8"/>
      <c r="E1684" s="10">
        <f>IFERROR(VLOOKUP(C1684,'Inventory Master'!$A$3:$L$300,5,FALSE),0)</f>
      </c>
      <c r="F1684" s="10">
        <f>D1684*E1684</f>
      </c>
      <c r="G1684" s="8"/>
    </row>
    <row r="1685" ht="21" customHeight="1" spans="1:7" x14ac:dyDescent="0.25">
      <c r="A1685" s="8"/>
      <c r="B1685" s="8"/>
      <c r="C1685" s="8"/>
      <c r="D1685" s="8"/>
      <c r="E1685" s="10">
        <f>IFERROR(VLOOKUP(C1685,'Inventory Master'!$A$3:$L$300,5,FALSE),0)</f>
      </c>
      <c r="F1685" s="10">
        <f>D1685*E1685</f>
      </c>
      <c r="G1685" s="8"/>
    </row>
    <row r="1686" ht="21" customHeight="1" spans="1:7" x14ac:dyDescent="0.25">
      <c r="A1686" s="8"/>
      <c r="B1686" s="8"/>
      <c r="C1686" s="8"/>
      <c r="D1686" s="8"/>
      <c r="E1686" s="10">
        <f>IFERROR(VLOOKUP(C1686,'Inventory Master'!$A$3:$L$300,5,FALSE),0)</f>
      </c>
      <c r="F1686" s="10">
        <f>D1686*E1686</f>
      </c>
      <c r="G1686" s="8"/>
    </row>
    <row r="1687" ht="21" customHeight="1" spans="1:7" x14ac:dyDescent="0.25">
      <c r="A1687" s="8"/>
      <c r="B1687" s="8"/>
      <c r="C1687" s="8"/>
      <c r="D1687" s="8"/>
      <c r="E1687" s="10">
        <f>IFERROR(VLOOKUP(C1687,'Inventory Master'!$A$3:$L$300,5,FALSE),0)</f>
      </c>
      <c r="F1687" s="10">
        <f>D1687*E1687</f>
      </c>
      <c r="G1687" s="8"/>
    </row>
    <row r="1688" ht="21" customHeight="1" spans="1:7" x14ac:dyDescent="0.25">
      <c r="A1688" s="8"/>
      <c r="B1688" s="8"/>
      <c r="C1688" s="8"/>
      <c r="D1688" s="8"/>
      <c r="E1688" s="10">
        <f>IFERROR(VLOOKUP(C1688,'Inventory Master'!$A$3:$L$300,5,FALSE),0)</f>
      </c>
      <c r="F1688" s="10">
        <f>D1688*E1688</f>
      </c>
      <c r="G1688" s="8"/>
    </row>
    <row r="1689" ht="21" customHeight="1" spans="1:7" x14ac:dyDescent="0.25">
      <c r="A1689" s="8"/>
      <c r="B1689" s="8"/>
      <c r="C1689" s="8"/>
      <c r="D1689" s="8"/>
      <c r="E1689" s="10">
        <f>IFERROR(VLOOKUP(C1689,'Inventory Master'!$A$3:$L$300,5,FALSE),0)</f>
      </c>
      <c r="F1689" s="10">
        <f>D1689*E1689</f>
      </c>
      <c r="G1689" s="8"/>
    </row>
    <row r="1690" ht="21" customHeight="1" spans="1:7" x14ac:dyDescent="0.25">
      <c r="A1690" s="8"/>
      <c r="B1690" s="8"/>
      <c r="C1690" s="8"/>
      <c r="D1690" s="8"/>
      <c r="E1690" s="10">
        <f>IFERROR(VLOOKUP(C1690,'Inventory Master'!$A$3:$L$300,5,FALSE),0)</f>
      </c>
      <c r="F1690" s="10">
        <f>D1690*E1690</f>
      </c>
      <c r="G1690" s="8"/>
    </row>
    <row r="1691" ht="21" customHeight="1" spans="1:7" x14ac:dyDescent="0.25">
      <c r="A1691" s="8"/>
      <c r="B1691" s="8"/>
      <c r="C1691" s="8"/>
      <c r="D1691" s="8"/>
      <c r="E1691" s="10">
        <f>IFERROR(VLOOKUP(C1691,'Inventory Master'!$A$3:$L$300,5,FALSE),0)</f>
      </c>
      <c r="F1691" s="10">
        <f>D1691*E1691</f>
      </c>
      <c r="G1691" s="8"/>
    </row>
    <row r="1692" ht="21" customHeight="1" spans="1:7" x14ac:dyDescent="0.25">
      <c r="A1692" s="8"/>
      <c r="B1692" s="8"/>
      <c r="C1692" s="8"/>
      <c r="D1692" s="8"/>
      <c r="E1692" s="10">
        <f>IFERROR(VLOOKUP(C1692,'Inventory Master'!$A$3:$L$300,5,FALSE),0)</f>
      </c>
      <c r="F1692" s="10">
        <f>D1692*E1692</f>
      </c>
      <c r="G1692" s="8"/>
    </row>
    <row r="1693" ht="21" customHeight="1" spans="1:7" x14ac:dyDescent="0.25">
      <c r="A1693" s="8"/>
      <c r="B1693" s="8"/>
      <c r="C1693" s="8"/>
      <c r="D1693" s="8"/>
      <c r="E1693" s="10">
        <f>IFERROR(VLOOKUP(C1693,'Inventory Master'!$A$3:$L$300,5,FALSE),0)</f>
      </c>
      <c r="F1693" s="10">
        <f>D1693*E1693</f>
      </c>
      <c r="G1693" s="8"/>
    </row>
    <row r="1694" ht="21" customHeight="1" spans="1:7" x14ac:dyDescent="0.25">
      <c r="A1694" s="8"/>
      <c r="B1694" s="8"/>
      <c r="C1694" s="8"/>
      <c r="D1694" s="8"/>
      <c r="E1694" s="10">
        <f>IFERROR(VLOOKUP(C1694,'Inventory Master'!$A$3:$L$300,5,FALSE),0)</f>
      </c>
      <c r="F1694" s="10">
        <f>D1694*E1694</f>
      </c>
      <c r="G1694" s="8"/>
    </row>
    <row r="1695" ht="21" customHeight="1" spans="1:7" x14ac:dyDescent="0.25">
      <c r="A1695" s="8"/>
      <c r="B1695" s="8"/>
      <c r="C1695" s="8"/>
      <c r="D1695" s="8"/>
      <c r="E1695" s="10">
        <f>IFERROR(VLOOKUP(C1695,'Inventory Master'!$A$3:$L$300,5,FALSE),0)</f>
      </c>
      <c r="F1695" s="10">
        <f>D1695*E1695</f>
      </c>
      <c r="G1695" s="8"/>
    </row>
    <row r="1696" ht="21" customHeight="1" spans="1:7" x14ac:dyDescent="0.25">
      <c r="A1696" s="8"/>
      <c r="B1696" s="8"/>
      <c r="C1696" s="8"/>
      <c r="D1696" s="8"/>
      <c r="E1696" s="10">
        <f>IFERROR(VLOOKUP(C1696,'Inventory Master'!$A$3:$L$300,5,FALSE),0)</f>
      </c>
      <c r="F1696" s="10">
        <f>D1696*E1696</f>
      </c>
      <c r="G1696" s="8"/>
    </row>
    <row r="1697" ht="21" customHeight="1" spans="1:7" x14ac:dyDescent="0.25">
      <c r="A1697" s="8"/>
      <c r="B1697" s="8"/>
      <c r="C1697" s="8"/>
      <c r="D1697" s="8"/>
      <c r="E1697" s="10">
        <f>IFERROR(VLOOKUP(C1697,'Inventory Master'!$A$3:$L$300,5,FALSE),0)</f>
      </c>
      <c r="F1697" s="10">
        <f>D1697*E1697</f>
      </c>
      <c r="G1697" s="8"/>
    </row>
    <row r="1698" ht="21" customHeight="1" spans="1:7" x14ac:dyDescent="0.25">
      <c r="A1698" s="8"/>
      <c r="B1698" s="8"/>
      <c r="C1698" s="8"/>
      <c r="D1698" s="8"/>
      <c r="E1698" s="10">
        <f>IFERROR(VLOOKUP(C1698,'Inventory Master'!$A$3:$L$300,5,FALSE),0)</f>
      </c>
      <c r="F1698" s="10">
        <f>D1698*E1698</f>
      </c>
      <c r="G1698" s="8"/>
    </row>
    <row r="1699" ht="21" customHeight="1" spans="1:7" x14ac:dyDescent="0.25">
      <c r="A1699" s="8"/>
      <c r="B1699" s="8"/>
      <c r="C1699" s="8"/>
      <c r="D1699" s="8"/>
      <c r="E1699" s="10">
        <f>IFERROR(VLOOKUP(C1699,'Inventory Master'!$A$3:$L$300,5,FALSE),0)</f>
      </c>
      <c r="F1699" s="10">
        <f>D1699*E1699</f>
      </c>
      <c r="G1699" s="8"/>
    </row>
    <row r="1700" ht="21" customHeight="1" spans="1:7" x14ac:dyDescent="0.25">
      <c r="A1700" s="8"/>
      <c r="B1700" s="8"/>
      <c r="C1700" s="8"/>
      <c r="D1700" s="8"/>
      <c r="E1700" s="10">
        <f>IFERROR(VLOOKUP(C1700,'Inventory Master'!$A$3:$L$300,5,FALSE),0)</f>
      </c>
      <c r="F1700" s="10">
        <f>D1700*E1700</f>
      </c>
      <c r="G1700" s="8"/>
    </row>
    <row r="1701" ht="21" customHeight="1" spans="1:7" x14ac:dyDescent="0.25">
      <c r="A1701" s="8"/>
      <c r="B1701" s="8"/>
      <c r="C1701" s="8"/>
      <c r="D1701" s="8"/>
      <c r="E1701" s="10">
        <f>IFERROR(VLOOKUP(C1701,'Inventory Master'!$A$3:$L$300,5,FALSE),0)</f>
      </c>
      <c r="F1701" s="10">
        <f>D1701*E1701</f>
      </c>
      <c r="G1701" s="8"/>
    </row>
    <row r="1702" ht="21" customHeight="1" spans="1:7" x14ac:dyDescent="0.25">
      <c r="A1702" s="8"/>
      <c r="B1702" s="8"/>
      <c r="C1702" s="8"/>
      <c r="D1702" s="8"/>
      <c r="E1702" s="10">
        <f>IFERROR(VLOOKUP(C1702,'Inventory Master'!$A$3:$L$300,5,FALSE),0)</f>
      </c>
      <c r="F1702" s="10">
        <f>D1702*E1702</f>
      </c>
      <c r="G1702" s="8"/>
    </row>
    <row r="1703" ht="21" customHeight="1" spans="1:7" x14ac:dyDescent="0.25">
      <c r="A1703" s="8"/>
      <c r="B1703" s="8"/>
      <c r="C1703" s="8"/>
      <c r="D1703" s="8"/>
      <c r="E1703" s="10">
        <f>IFERROR(VLOOKUP(C1703,'Inventory Master'!$A$3:$L$300,5,FALSE),0)</f>
      </c>
      <c r="F1703" s="10">
        <f>D1703*E1703</f>
      </c>
      <c r="G1703" s="8"/>
    </row>
    <row r="1704" ht="21" customHeight="1" spans="1:7" x14ac:dyDescent="0.25">
      <c r="A1704" s="8"/>
      <c r="B1704" s="8"/>
      <c r="C1704" s="8"/>
      <c r="D1704" s="8"/>
      <c r="E1704" s="10">
        <f>IFERROR(VLOOKUP(C1704,'Inventory Master'!$A$3:$L$300,5,FALSE),0)</f>
      </c>
      <c r="F1704" s="10">
        <f>D1704*E1704</f>
      </c>
      <c r="G1704" s="8"/>
    </row>
    <row r="1705" ht="21" customHeight="1" spans="1:7" x14ac:dyDescent="0.25">
      <c r="A1705" s="8"/>
      <c r="B1705" s="8"/>
      <c r="C1705" s="8"/>
      <c r="D1705" s="8"/>
      <c r="E1705" s="10">
        <f>IFERROR(VLOOKUP(C1705,'Inventory Master'!$A$3:$L$300,5,FALSE),0)</f>
      </c>
      <c r="F1705" s="10">
        <f>D1705*E1705</f>
      </c>
      <c r="G1705" s="8"/>
    </row>
    <row r="1706" ht="21" customHeight="1" spans="1:7" x14ac:dyDescent="0.25">
      <c r="A1706" s="8"/>
      <c r="B1706" s="8"/>
      <c r="C1706" s="8"/>
      <c r="D1706" s="8"/>
      <c r="E1706" s="10">
        <f>IFERROR(VLOOKUP(C1706,'Inventory Master'!$A$3:$L$300,5,FALSE),0)</f>
      </c>
      <c r="F1706" s="10">
        <f>D1706*E1706</f>
      </c>
      <c r="G1706" s="8"/>
    </row>
    <row r="1707" ht="21" customHeight="1" spans="1:7" x14ac:dyDescent="0.25">
      <c r="A1707" s="8"/>
      <c r="B1707" s="8"/>
      <c r="C1707" s="8"/>
      <c r="D1707" s="8"/>
      <c r="E1707" s="10">
        <f>IFERROR(VLOOKUP(C1707,'Inventory Master'!$A$3:$L$300,5,FALSE),0)</f>
      </c>
      <c r="F1707" s="10">
        <f>D1707*E1707</f>
      </c>
      <c r="G1707" s="8"/>
    </row>
    <row r="1708" ht="21" customHeight="1" spans="1:7" x14ac:dyDescent="0.25">
      <c r="A1708" s="8"/>
      <c r="B1708" s="8"/>
      <c r="C1708" s="8"/>
      <c r="D1708" s="8"/>
      <c r="E1708" s="10">
        <f>IFERROR(VLOOKUP(C1708,'Inventory Master'!$A$3:$L$300,5,FALSE),0)</f>
      </c>
      <c r="F1708" s="10">
        <f>D1708*E1708</f>
      </c>
      <c r="G1708" s="8"/>
    </row>
    <row r="1709" ht="21" customHeight="1" spans="1:7" x14ac:dyDescent="0.25">
      <c r="A1709" s="8"/>
      <c r="B1709" s="8"/>
      <c r="C1709" s="8"/>
      <c r="D1709" s="8"/>
      <c r="E1709" s="10">
        <f>IFERROR(VLOOKUP(C1709,'Inventory Master'!$A$3:$L$300,5,FALSE),0)</f>
      </c>
      <c r="F1709" s="10">
        <f>D1709*E1709</f>
      </c>
      <c r="G1709" s="8"/>
    </row>
    <row r="1710" ht="21" customHeight="1" spans="1:7" x14ac:dyDescent="0.25">
      <c r="A1710" s="8"/>
      <c r="B1710" s="8"/>
      <c r="C1710" s="8"/>
      <c r="D1710" s="8"/>
      <c r="E1710" s="10">
        <f>IFERROR(VLOOKUP(C1710,'Inventory Master'!$A$3:$L$300,5,FALSE),0)</f>
      </c>
      <c r="F1710" s="10">
        <f>D1710*E1710</f>
      </c>
      <c r="G1710" s="8"/>
    </row>
    <row r="1711" ht="21" customHeight="1" spans="1:7" x14ac:dyDescent="0.25">
      <c r="A1711" s="8"/>
      <c r="B1711" s="8"/>
      <c r="C1711" s="8"/>
      <c r="D1711" s="8"/>
      <c r="E1711" s="10">
        <f>IFERROR(VLOOKUP(C1711,'Inventory Master'!$A$3:$L$300,5,FALSE),0)</f>
      </c>
      <c r="F1711" s="10">
        <f>D1711*E1711</f>
      </c>
      <c r="G1711" s="8"/>
    </row>
    <row r="1712" ht="21" customHeight="1" spans="1:7" x14ac:dyDescent="0.25">
      <c r="A1712" s="8"/>
      <c r="B1712" s="8"/>
      <c r="C1712" s="8"/>
      <c r="D1712" s="8"/>
      <c r="E1712" s="10">
        <f>IFERROR(VLOOKUP(C1712,'Inventory Master'!$A$3:$L$300,5,FALSE),0)</f>
      </c>
      <c r="F1712" s="10">
        <f>D1712*E1712</f>
      </c>
      <c r="G1712" s="8"/>
    </row>
    <row r="1713" ht="21" customHeight="1" spans="1:7" x14ac:dyDescent="0.25">
      <c r="A1713" s="8"/>
      <c r="B1713" s="8"/>
      <c r="C1713" s="8"/>
      <c r="D1713" s="8"/>
      <c r="E1713" s="10">
        <f>IFERROR(VLOOKUP(C1713,'Inventory Master'!$A$3:$L$300,5,FALSE),0)</f>
      </c>
      <c r="F1713" s="10">
        <f>D1713*E1713</f>
      </c>
      <c r="G1713" s="8"/>
    </row>
    <row r="1714" ht="21" customHeight="1" spans="1:7" x14ac:dyDescent="0.25">
      <c r="A1714" s="8"/>
      <c r="B1714" s="8"/>
      <c r="C1714" s="8"/>
      <c r="D1714" s="8"/>
      <c r="E1714" s="10">
        <f>IFERROR(VLOOKUP(C1714,'Inventory Master'!$A$3:$L$300,5,FALSE),0)</f>
      </c>
      <c r="F1714" s="10">
        <f>D1714*E1714</f>
      </c>
      <c r="G1714" s="8"/>
    </row>
    <row r="1715" ht="21" customHeight="1" spans="1:7" x14ac:dyDescent="0.25">
      <c r="A1715" s="8"/>
      <c r="B1715" s="8"/>
      <c r="C1715" s="8"/>
      <c r="D1715" s="8"/>
      <c r="E1715" s="10">
        <f>IFERROR(VLOOKUP(C1715,'Inventory Master'!$A$3:$L$300,5,FALSE),0)</f>
      </c>
      <c r="F1715" s="10">
        <f>D1715*E1715</f>
      </c>
      <c r="G1715" s="8"/>
    </row>
    <row r="1716" ht="21" customHeight="1" spans="1:7" x14ac:dyDescent="0.25">
      <c r="A1716" s="8"/>
      <c r="B1716" s="8"/>
      <c r="C1716" s="8"/>
      <c r="D1716" s="8"/>
      <c r="E1716" s="10">
        <f>IFERROR(VLOOKUP(C1716,'Inventory Master'!$A$3:$L$300,5,FALSE),0)</f>
      </c>
      <c r="F1716" s="10">
        <f>D1716*E1716</f>
      </c>
      <c r="G1716" s="8"/>
    </row>
    <row r="1717" ht="21" customHeight="1" spans="1:7" x14ac:dyDescent="0.25">
      <c r="A1717" s="8"/>
      <c r="B1717" s="8"/>
      <c r="C1717" s="8"/>
      <c r="D1717" s="8"/>
      <c r="E1717" s="10">
        <f>IFERROR(VLOOKUP(C1717,'Inventory Master'!$A$3:$L$300,5,FALSE),0)</f>
      </c>
      <c r="F1717" s="10">
        <f>D1717*E1717</f>
      </c>
      <c r="G1717" s="8"/>
    </row>
    <row r="1718" ht="21" customHeight="1" spans="1:7" x14ac:dyDescent="0.25">
      <c r="A1718" s="8"/>
      <c r="B1718" s="8"/>
      <c r="C1718" s="8"/>
      <c r="D1718" s="8"/>
      <c r="E1718" s="10">
        <f>IFERROR(VLOOKUP(C1718,'Inventory Master'!$A$3:$L$300,5,FALSE),0)</f>
      </c>
      <c r="F1718" s="10">
        <f>D1718*E1718</f>
      </c>
      <c r="G1718" s="8"/>
    </row>
    <row r="1719" ht="21" customHeight="1" spans="1:7" x14ac:dyDescent="0.25">
      <c r="A1719" s="8"/>
      <c r="B1719" s="8"/>
      <c r="C1719" s="8"/>
      <c r="D1719" s="8"/>
      <c r="E1719" s="10">
        <f>IFERROR(VLOOKUP(C1719,'Inventory Master'!$A$3:$L$300,5,FALSE),0)</f>
      </c>
      <c r="F1719" s="10">
        <f>D1719*E1719</f>
      </c>
      <c r="G1719" s="8"/>
    </row>
    <row r="1720" ht="21" customHeight="1" spans="1:7" x14ac:dyDescent="0.25">
      <c r="A1720" s="8"/>
      <c r="B1720" s="8"/>
      <c r="C1720" s="8"/>
      <c r="D1720" s="8"/>
      <c r="E1720" s="10">
        <f>IFERROR(VLOOKUP(C1720,'Inventory Master'!$A$3:$L$300,5,FALSE),0)</f>
      </c>
      <c r="F1720" s="10">
        <f>D1720*E1720</f>
      </c>
      <c r="G1720" s="8"/>
    </row>
    <row r="1721" ht="21" customHeight="1" spans="1:7" x14ac:dyDescent="0.25">
      <c r="A1721" s="8"/>
      <c r="B1721" s="8"/>
      <c r="C1721" s="8"/>
      <c r="D1721" s="8"/>
      <c r="E1721" s="10">
        <f>IFERROR(VLOOKUP(C1721,'Inventory Master'!$A$3:$L$300,5,FALSE),0)</f>
      </c>
      <c r="F1721" s="10">
        <f>D1721*E1721</f>
      </c>
      <c r="G1721" s="8"/>
    </row>
    <row r="1722" ht="21" customHeight="1" spans="1:7" x14ac:dyDescent="0.25">
      <c r="A1722" s="8"/>
      <c r="B1722" s="8"/>
      <c r="C1722" s="8"/>
      <c r="D1722" s="8"/>
      <c r="E1722" s="10">
        <f>IFERROR(VLOOKUP(C1722,'Inventory Master'!$A$3:$L$300,5,FALSE),0)</f>
      </c>
      <c r="F1722" s="10">
        <f>D1722*E1722</f>
      </c>
      <c r="G1722" s="8"/>
    </row>
    <row r="1723" ht="21" customHeight="1" spans="1:7" x14ac:dyDescent="0.25">
      <c r="A1723" s="8"/>
      <c r="B1723" s="8"/>
      <c r="C1723" s="8"/>
      <c r="D1723" s="8"/>
      <c r="E1723" s="10">
        <f>IFERROR(VLOOKUP(C1723,'Inventory Master'!$A$3:$L$300,5,FALSE),0)</f>
      </c>
      <c r="F1723" s="10">
        <f>D1723*E1723</f>
      </c>
      <c r="G1723" s="8"/>
    </row>
    <row r="1724" ht="21" customHeight="1" spans="1:7" x14ac:dyDescent="0.25">
      <c r="A1724" s="8"/>
      <c r="B1724" s="8"/>
      <c r="C1724" s="8"/>
      <c r="D1724" s="8"/>
      <c r="E1724" s="10">
        <f>IFERROR(VLOOKUP(C1724,'Inventory Master'!$A$3:$L$300,5,FALSE),0)</f>
      </c>
      <c r="F1724" s="10">
        <f>D1724*E1724</f>
      </c>
      <c r="G1724" s="8"/>
    </row>
    <row r="1725" ht="21" customHeight="1" spans="1:7" x14ac:dyDescent="0.25">
      <c r="A1725" s="8"/>
      <c r="B1725" s="8"/>
      <c r="C1725" s="8"/>
      <c r="D1725" s="8"/>
      <c r="E1725" s="10">
        <f>IFERROR(VLOOKUP(C1725,'Inventory Master'!$A$3:$L$300,5,FALSE),0)</f>
      </c>
      <c r="F1725" s="10">
        <f>D1725*E1725</f>
      </c>
      <c r="G1725" s="8"/>
    </row>
    <row r="1726" ht="21" customHeight="1" spans="1:7" x14ac:dyDescent="0.25">
      <c r="A1726" s="8"/>
      <c r="B1726" s="8"/>
      <c r="C1726" s="8"/>
      <c r="D1726" s="8"/>
      <c r="E1726" s="10">
        <f>IFERROR(VLOOKUP(C1726,'Inventory Master'!$A$3:$L$300,5,FALSE),0)</f>
      </c>
      <c r="F1726" s="10">
        <f>D1726*E1726</f>
      </c>
      <c r="G1726" s="8"/>
    </row>
    <row r="1727" ht="21" customHeight="1" spans="1:7" x14ac:dyDescent="0.25">
      <c r="A1727" s="8"/>
      <c r="B1727" s="8"/>
      <c r="C1727" s="8"/>
      <c r="D1727" s="8"/>
      <c r="E1727" s="10">
        <f>IFERROR(VLOOKUP(C1727,'Inventory Master'!$A$3:$L$300,5,FALSE),0)</f>
      </c>
      <c r="F1727" s="10">
        <f>D1727*E1727</f>
      </c>
      <c r="G1727" s="8"/>
    </row>
    <row r="1728" ht="21" customHeight="1" spans="1:7" x14ac:dyDescent="0.25">
      <c r="A1728" s="8"/>
      <c r="B1728" s="8"/>
      <c r="C1728" s="8"/>
      <c r="D1728" s="8"/>
      <c r="E1728" s="10">
        <f>IFERROR(VLOOKUP(C1728,'Inventory Master'!$A$3:$L$300,5,FALSE),0)</f>
      </c>
      <c r="F1728" s="10">
        <f>D1728*E1728</f>
      </c>
      <c r="G1728" s="8"/>
    </row>
    <row r="1729" ht="21" customHeight="1" spans="1:7" x14ac:dyDescent="0.25">
      <c r="A1729" s="8"/>
      <c r="B1729" s="8"/>
      <c r="C1729" s="8"/>
      <c r="D1729" s="8"/>
      <c r="E1729" s="10">
        <f>IFERROR(VLOOKUP(C1729,'Inventory Master'!$A$3:$L$300,5,FALSE),0)</f>
      </c>
      <c r="F1729" s="10">
        <f>D1729*E1729</f>
      </c>
      <c r="G1729" s="8"/>
    </row>
    <row r="1730" ht="21" customHeight="1" spans="1:7" x14ac:dyDescent="0.25">
      <c r="A1730" s="8"/>
      <c r="B1730" s="8"/>
      <c r="C1730" s="8"/>
      <c r="D1730" s="8"/>
      <c r="E1730" s="10">
        <f>IFERROR(VLOOKUP(C1730,'Inventory Master'!$A$3:$L$300,5,FALSE),0)</f>
      </c>
      <c r="F1730" s="10">
        <f>D1730*E1730</f>
      </c>
      <c r="G1730" s="8"/>
    </row>
    <row r="1731" ht="21" customHeight="1" spans="1:7" x14ac:dyDescent="0.25">
      <c r="A1731" s="8"/>
      <c r="B1731" s="8"/>
      <c r="C1731" s="8"/>
      <c r="D1731" s="8"/>
      <c r="E1731" s="10">
        <f>IFERROR(VLOOKUP(C1731,'Inventory Master'!$A$3:$L$300,5,FALSE),0)</f>
      </c>
      <c r="F1731" s="10">
        <f>D1731*E1731</f>
      </c>
      <c r="G1731" s="8"/>
    </row>
    <row r="1732" ht="21" customHeight="1" spans="1:7" x14ac:dyDescent="0.25">
      <c r="A1732" s="8"/>
      <c r="B1732" s="8"/>
      <c r="C1732" s="8"/>
      <c r="D1732" s="8"/>
      <c r="E1732" s="10">
        <f>IFERROR(VLOOKUP(C1732,'Inventory Master'!$A$3:$L$300,5,FALSE),0)</f>
      </c>
      <c r="F1732" s="10">
        <f>D1732*E1732</f>
      </c>
      <c r="G1732" s="8"/>
    </row>
    <row r="1733" ht="21" customHeight="1" spans="1:7" x14ac:dyDescent="0.25">
      <c r="A1733" s="8"/>
      <c r="B1733" s="8"/>
      <c r="C1733" s="8"/>
      <c r="D1733" s="8"/>
      <c r="E1733" s="10">
        <f>IFERROR(VLOOKUP(C1733,'Inventory Master'!$A$3:$L$300,5,FALSE),0)</f>
      </c>
      <c r="F1733" s="10">
        <f>D1733*E1733</f>
      </c>
      <c r="G1733" s="8"/>
    </row>
    <row r="1734" ht="21" customHeight="1" spans="1:7" x14ac:dyDescent="0.25">
      <c r="A1734" s="8"/>
      <c r="B1734" s="8"/>
      <c r="C1734" s="8"/>
      <c r="D1734" s="8"/>
      <c r="E1734" s="10">
        <f>IFERROR(VLOOKUP(C1734,'Inventory Master'!$A$3:$L$300,5,FALSE),0)</f>
      </c>
      <c r="F1734" s="10">
        <f>D1734*E1734</f>
      </c>
      <c r="G1734" s="8"/>
    </row>
    <row r="1735" ht="21" customHeight="1" spans="1:7" x14ac:dyDescent="0.25">
      <c r="A1735" s="8"/>
      <c r="B1735" s="8"/>
      <c r="C1735" s="8"/>
      <c r="D1735" s="8"/>
      <c r="E1735" s="10">
        <f>IFERROR(VLOOKUP(C1735,'Inventory Master'!$A$3:$L$300,5,FALSE),0)</f>
      </c>
      <c r="F1735" s="10">
        <f>D1735*E1735</f>
      </c>
      <c r="G1735" s="8"/>
    </row>
    <row r="1736" ht="21" customHeight="1" spans="1:7" x14ac:dyDescent="0.25">
      <c r="A1736" s="8"/>
      <c r="B1736" s="8"/>
      <c r="C1736" s="8"/>
      <c r="D1736" s="8"/>
      <c r="E1736" s="10">
        <f>IFERROR(VLOOKUP(C1736,'Inventory Master'!$A$3:$L$300,5,FALSE),0)</f>
      </c>
      <c r="F1736" s="10">
        <f>D1736*E1736</f>
      </c>
      <c r="G1736" s="8"/>
    </row>
    <row r="1737" ht="21" customHeight="1" spans="1:7" x14ac:dyDescent="0.25">
      <c r="A1737" s="8"/>
      <c r="B1737" s="8"/>
      <c r="C1737" s="8"/>
      <c r="D1737" s="8"/>
      <c r="E1737" s="10">
        <f>IFERROR(VLOOKUP(C1737,'Inventory Master'!$A$3:$L$300,5,FALSE),0)</f>
      </c>
      <c r="F1737" s="10">
        <f>D1737*E1737</f>
      </c>
      <c r="G1737" s="8"/>
    </row>
    <row r="1738" ht="21" customHeight="1" spans="1:7" x14ac:dyDescent="0.25">
      <c r="A1738" s="8"/>
      <c r="B1738" s="8"/>
      <c r="C1738" s="8"/>
      <c r="D1738" s="8"/>
      <c r="E1738" s="10">
        <f>IFERROR(VLOOKUP(C1738,'Inventory Master'!$A$3:$L$300,5,FALSE),0)</f>
      </c>
      <c r="F1738" s="10">
        <f>D1738*E1738</f>
      </c>
      <c r="G1738" s="8"/>
    </row>
    <row r="1739" ht="21" customHeight="1" spans="1:7" x14ac:dyDescent="0.25">
      <c r="A1739" s="8"/>
      <c r="B1739" s="8"/>
      <c r="C1739" s="8"/>
      <c r="D1739" s="8"/>
      <c r="E1739" s="10">
        <f>IFERROR(VLOOKUP(C1739,'Inventory Master'!$A$3:$L$300,5,FALSE),0)</f>
      </c>
      <c r="F1739" s="10">
        <f>D1739*E1739</f>
      </c>
      <c r="G1739" s="8"/>
    </row>
    <row r="1740" ht="21" customHeight="1" spans="1:7" x14ac:dyDescent="0.25">
      <c r="A1740" s="8"/>
      <c r="B1740" s="8"/>
      <c r="C1740" s="8"/>
      <c r="D1740" s="8"/>
      <c r="E1740" s="10">
        <f>IFERROR(VLOOKUP(C1740,'Inventory Master'!$A$3:$L$300,5,FALSE),0)</f>
      </c>
      <c r="F1740" s="10">
        <f>D1740*E1740</f>
      </c>
      <c r="G1740" s="8"/>
    </row>
    <row r="1741" ht="21" customHeight="1" spans="1:7" x14ac:dyDescent="0.25">
      <c r="A1741" s="8"/>
      <c r="B1741" s="8"/>
      <c r="C1741" s="8"/>
      <c r="D1741" s="8"/>
      <c r="E1741" s="10">
        <f>IFERROR(VLOOKUP(C1741,'Inventory Master'!$A$3:$L$300,5,FALSE),0)</f>
      </c>
      <c r="F1741" s="10">
        <f>D1741*E1741</f>
      </c>
      <c r="G1741" s="8"/>
    </row>
    <row r="1742" ht="21" customHeight="1" spans="1:7" x14ac:dyDescent="0.25">
      <c r="A1742" s="8"/>
      <c r="B1742" s="8"/>
      <c r="C1742" s="8"/>
      <c r="D1742" s="8"/>
      <c r="E1742" s="10">
        <f>IFERROR(VLOOKUP(C1742,'Inventory Master'!$A$3:$L$300,5,FALSE),0)</f>
      </c>
      <c r="F1742" s="10">
        <f>D1742*E1742</f>
      </c>
      <c r="G1742" s="8"/>
    </row>
    <row r="1743" ht="21" customHeight="1" spans="1:7" x14ac:dyDescent="0.25">
      <c r="A1743" s="8"/>
      <c r="B1743" s="8"/>
      <c r="C1743" s="8"/>
      <c r="D1743" s="8"/>
      <c r="E1743" s="10">
        <f>IFERROR(VLOOKUP(C1743,'Inventory Master'!$A$3:$L$300,5,FALSE),0)</f>
      </c>
      <c r="F1743" s="10">
        <f>D1743*E1743</f>
      </c>
      <c r="G1743" s="8"/>
    </row>
    <row r="1744" ht="21" customHeight="1" spans="1:7" x14ac:dyDescent="0.25">
      <c r="A1744" s="8"/>
      <c r="B1744" s="8"/>
      <c r="C1744" s="8"/>
      <c r="D1744" s="8"/>
      <c r="E1744" s="10">
        <f>IFERROR(VLOOKUP(C1744,'Inventory Master'!$A$3:$L$300,5,FALSE),0)</f>
      </c>
      <c r="F1744" s="10">
        <f>D1744*E1744</f>
      </c>
      <c r="G1744" s="8"/>
    </row>
    <row r="1745" ht="21" customHeight="1" spans="1:7" x14ac:dyDescent="0.25">
      <c r="A1745" s="8"/>
      <c r="B1745" s="8"/>
      <c r="C1745" s="8"/>
      <c r="D1745" s="8"/>
      <c r="E1745" s="10">
        <f>IFERROR(VLOOKUP(C1745,'Inventory Master'!$A$3:$L$300,5,FALSE),0)</f>
      </c>
      <c r="F1745" s="10">
        <f>D1745*E1745</f>
      </c>
      <c r="G1745" s="8"/>
    </row>
    <row r="1746" ht="21" customHeight="1" spans="1:7" x14ac:dyDescent="0.25">
      <c r="A1746" s="8"/>
      <c r="B1746" s="8"/>
      <c r="C1746" s="8"/>
      <c r="D1746" s="8"/>
      <c r="E1746" s="10">
        <f>IFERROR(VLOOKUP(C1746,'Inventory Master'!$A$3:$L$300,5,FALSE),0)</f>
      </c>
      <c r="F1746" s="10">
        <f>D1746*E1746</f>
      </c>
      <c r="G1746" s="8"/>
    </row>
    <row r="1747" ht="21" customHeight="1" spans="1:7" x14ac:dyDescent="0.25">
      <c r="A1747" s="8"/>
      <c r="B1747" s="8"/>
      <c r="C1747" s="8"/>
      <c r="D1747" s="8"/>
      <c r="E1747" s="10">
        <f>IFERROR(VLOOKUP(C1747,'Inventory Master'!$A$3:$L$300,5,FALSE),0)</f>
      </c>
      <c r="F1747" s="10">
        <f>D1747*E1747</f>
      </c>
      <c r="G1747" s="8"/>
    </row>
    <row r="1748" ht="21" customHeight="1" spans="1:7" x14ac:dyDescent="0.25">
      <c r="A1748" s="8"/>
      <c r="B1748" s="8"/>
      <c r="C1748" s="8"/>
      <c r="D1748" s="8"/>
      <c r="E1748" s="10">
        <f>IFERROR(VLOOKUP(C1748,'Inventory Master'!$A$3:$L$300,5,FALSE),0)</f>
      </c>
      <c r="F1748" s="10">
        <f>D1748*E1748</f>
      </c>
      <c r="G1748" s="8"/>
    </row>
    <row r="1749" ht="21" customHeight="1" spans="1:7" x14ac:dyDescent="0.25">
      <c r="A1749" s="8"/>
      <c r="B1749" s="8"/>
      <c r="C1749" s="8"/>
      <c r="D1749" s="8"/>
      <c r="E1749" s="10">
        <f>IFERROR(VLOOKUP(C1749,'Inventory Master'!$A$3:$L$300,5,FALSE),0)</f>
      </c>
      <c r="F1749" s="10">
        <f>D1749*E1749</f>
      </c>
      <c r="G1749" s="8"/>
    </row>
    <row r="1750" ht="21" customHeight="1" spans="1:7" x14ac:dyDescent="0.25">
      <c r="A1750" s="8"/>
      <c r="B1750" s="8"/>
      <c r="C1750" s="8"/>
      <c r="D1750" s="8"/>
      <c r="E1750" s="10">
        <f>IFERROR(VLOOKUP(C1750,'Inventory Master'!$A$3:$L$300,5,FALSE),0)</f>
      </c>
      <c r="F1750" s="10">
        <f>D1750*E1750</f>
      </c>
      <c r="G1750" s="8"/>
    </row>
    <row r="1751" ht="21" customHeight="1" spans="1:7" x14ac:dyDescent="0.25">
      <c r="A1751" s="8"/>
      <c r="B1751" s="8"/>
      <c r="C1751" s="8"/>
      <c r="D1751" s="8"/>
      <c r="E1751" s="10">
        <f>IFERROR(VLOOKUP(C1751,'Inventory Master'!$A$3:$L$300,5,FALSE),0)</f>
      </c>
      <c r="F1751" s="10">
        <f>D1751*E1751</f>
      </c>
      <c r="G1751" s="8"/>
    </row>
    <row r="1752" ht="21" customHeight="1" spans="1:7" x14ac:dyDescent="0.25">
      <c r="A1752" s="8"/>
      <c r="B1752" s="8"/>
      <c r="C1752" s="8"/>
      <c r="D1752" s="8"/>
      <c r="E1752" s="10">
        <f>IFERROR(VLOOKUP(C1752,'Inventory Master'!$A$3:$L$300,5,FALSE),0)</f>
      </c>
      <c r="F1752" s="10">
        <f>D1752*E1752</f>
      </c>
      <c r="G1752" s="8"/>
    </row>
    <row r="1753" ht="21" customHeight="1" spans="1:7" x14ac:dyDescent="0.25">
      <c r="A1753" s="8"/>
      <c r="B1753" s="8"/>
      <c r="C1753" s="8"/>
      <c r="D1753" s="8"/>
      <c r="E1753" s="10">
        <f>IFERROR(VLOOKUP(C1753,'Inventory Master'!$A$3:$L$300,5,FALSE),0)</f>
      </c>
      <c r="F1753" s="10">
        <f>D1753*E1753</f>
      </c>
      <c r="G1753" s="8"/>
    </row>
    <row r="1754" ht="21" customHeight="1" spans="1:7" x14ac:dyDescent="0.25">
      <c r="A1754" s="8"/>
      <c r="B1754" s="8"/>
      <c r="C1754" s="8"/>
      <c r="D1754" s="8"/>
      <c r="E1754" s="10">
        <f>IFERROR(VLOOKUP(C1754,'Inventory Master'!$A$3:$L$300,5,FALSE),0)</f>
      </c>
      <c r="F1754" s="10">
        <f>D1754*E1754</f>
      </c>
      <c r="G1754" s="8"/>
    </row>
    <row r="1755" ht="21" customHeight="1" spans="1:7" x14ac:dyDescent="0.25">
      <c r="A1755" s="8"/>
      <c r="B1755" s="8"/>
      <c r="C1755" s="8"/>
      <c r="D1755" s="8"/>
      <c r="E1755" s="10">
        <f>IFERROR(VLOOKUP(C1755,'Inventory Master'!$A$3:$L$300,5,FALSE),0)</f>
      </c>
      <c r="F1755" s="10">
        <f>D1755*E1755</f>
      </c>
      <c r="G1755" s="8"/>
    </row>
    <row r="1756" ht="21" customHeight="1" spans="1:7" x14ac:dyDescent="0.25">
      <c r="A1756" s="8"/>
      <c r="B1756" s="8"/>
      <c r="C1756" s="8"/>
      <c r="D1756" s="8"/>
      <c r="E1756" s="10">
        <f>IFERROR(VLOOKUP(C1756,'Inventory Master'!$A$3:$L$300,5,FALSE),0)</f>
      </c>
      <c r="F1756" s="10">
        <f>D1756*E1756</f>
      </c>
      <c r="G1756" s="8"/>
    </row>
    <row r="1757" ht="21" customHeight="1" spans="1:7" x14ac:dyDescent="0.25">
      <c r="A1757" s="8"/>
      <c r="B1757" s="8"/>
      <c r="C1757" s="8"/>
      <c r="D1757" s="8"/>
      <c r="E1757" s="10">
        <f>IFERROR(VLOOKUP(C1757,'Inventory Master'!$A$3:$L$300,5,FALSE),0)</f>
      </c>
      <c r="F1757" s="10">
        <f>D1757*E1757</f>
      </c>
      <c r="G1757" s="8"/>
    </row>
    <row r="1758" ht="21" customHeight="1" spans="1:7" x14ac:dyDescent="0.25">
      <c r="A1758" s="8"/>
      <c r="B1758" s="8"/>
      <c r="C1758" s="8"/>
      <c r="D1758" s="8"/>
      <c r="E1758" s="10">
        <f>IFERROR(VLOOKUP(C1758,'Inventory Master'!$A$3:$L$300,5,FALSE),0)</f>
      </c>
      <c r="F1758" s="10">
        <f>D1758*E1758</f>
      </c>
      <c r="G1758" s="8"/>
    </row>
    <row r="1759" ht="21" customHeight="1" spans="1:7" x14ac:dyDescent="0.25">
      <c r="A1759" s="8"/>
      <c r="B1759" s="8"/>
      <c r="C1759" s="8"/>
      <c r="D1759" s="8"/>
      <c r="E1759" s="10">
        <f>IFERROR(VLOOKUP(C1759,'Inventory Master'!$A$3:$L$300,5,FALSE),0)</f>
      </c>
      <c r="F1759" s="10">
        <f>D1759*E1759</f>
      </c>
      <c r="G1759" s="8"/>
    </row>
    <row r="1760" ht="21" customHeight="1" spans="1:7" x14ac:dyDescent="0.25">
      <c r="A1760" s="8"/>
      <c r="B1760" s="8"/>
      <c r="C1760" s="8"/>
      <c r="D1760" s="8"/>
      <c r="E1760" s="10">
        <f>IFERROR(VLOOKUP(C1760,'Inventory Master'!$A$3:$L$300,5,FALSE),0)</f>
      </c>
      <c r="F1760" s="10">
        <f>D1760*E1760</f>
      </c>
      <c r="G1760" s="8"/>
    </row>
    <row r="1761" ht="21" customHeight="1" spans="1:7" x14ac:dyDescent="0.25">
      <c r="A1761" s="8"/>
      <c r="B1761" s="8"/>
      <c r="C1761" s="8"/>
      <c r="D1761" s="8"/>
      <c r="E1761" s="10">
        <f>IFERROR(VLOOKUP(C1761,'Inventory Master'!$A$3:$L$300,5,FALSE),0)</f>
      </c>
      <c r="F1761" s="10">
        <f>D1761*E1761</f>
      </c>
      <c r="G1761" s="8"/>
    </row>
    <row r="1762" ht="21" customHeight="1" spans="1:7" x14ac:dyDescent="0.25">
      <c r="A1762" s="8"/>
      <c r="B1762" s="8"/>
      <c r="C1762" s="8"/>
      <c r="D1762" s="8"/>
      <c r="E1762" s="10">
        <f>IFERROR(VLOOKUP(C1762,'Inventory Master'!$A$3:$L$300,5,FALSE),0)</f>
      </c>
      <c r="F1762" s="10">
        <f>D1762*E1762</f>
      </c>
      <c r="G1762" s="8"/>
    </row>
    <row r="1763" ht="21" customHeight="1" spans="1:7" x14ac:dyDescent="0.25">
      <c r="A1763" s="8"/>
      <c r="B1763" s="8"/>
      <c r="C1763" s="8"/>
      <c r="D1763" s="8"/>
      <c r="E1763" s="10">
        <f>IFERROR(VLOOKUP(C1763,'Inventory Master'!$A$3:$L$300,5,FALSE),0)</f>
      </c>
      <c r="F1763" s="10">
        <f>D1763*E1763</f>
      </c>
      <c r="G1763" s="8"/>
    </row>
    <row r="1764" ht="21" customHeight="1" spans="1:7" x14ac:dyDescent="0.25">
      <c r="A1764" s="8"/>
      <c r="B1764" s="8"/>
      <c r="C1764" s="8"/>
      <c r="D1764" s="8"/>
      <c r="E1764" s="10">
        <f>IFERROR(VLOOKUP(C1764,'Inventory Master'!$A$3:$L$300,5,FALSE),0)</f>
      </c>
      <c r="F1764" s="10">
        <f>D1764*E1764</f>
      </c>
      <c r="G1764" s="8"/>
    </row>
    <row r="1765" ht="21" customHeight="1" spans="1:7" x14ac:dyDescent="0.25">
      <c r="A1765" s="8"/>
      <c r="B1765" s="8"/>
      <c r="C1765" s="8"/>
      <c r="D1765" s="8"/>
      <c r="E1765" s="10">
        <f>IFERROR(VLOOKUP(C1765,'Inventory Master'!$A$3:$L$300,5,FALSE),0)</f>
      </c>
      <c r="F1765" s="10">
        <f>D1765*E1765</f>
      </c>
      <c r="G1765" s="8"/>
    </row>
    <row r="1766" ht="21" customHeight="1" spans="1:7" x14ac:dyDescent="0.25">
      <c r="A1766" s="8"/>
      <c r="B1766" s="8"/>
      <c r="C1766" s="8"/>
      <c r="D1766" s="8"/>
      <c r="E1766" s="10">
        <f>IFERROR(VLOOKUP(C1766,'Inventory Master'!$A$3:$L$300,5,FALSE),0)</f>
      </c>
      <c r="F1766" s="10">
        <f>D1766*E1766</f>
      </c>
      <c r="G1766" s="8"/>
    </row>
    <row r="1767" ht="21" customHeight="1" spans="1:7" x14ac:dyDescent="0.25">
      <c r="A1767" s="8"/>
      <c r="B1767" s="8"/>
      <c r="C1767" s="8"/>
      <c r="D1767" s="8"/>
      <c r="E1767" s="10">
        <f>IFERROR(VLOOKUP(C1767,'Inventory Master'!$A$3:$L$300,5,FALSE),0)</f>
      </c>
      <c r="F1767" s="10">
        <f>D1767*E1767</f>
      </c>
      <c r="G1767" s="8"/>
    </row>
    <row r="1768" ht="21" customHeight="1" spans="1:7" x14ac:dyDescent="0.25">
      <c r="A1768" s="8"/>
      <c r="B1768" s="8"/>
      <c r="C1768" s="8"/>
      <c r="D1768" s="8"/>
      <c r="E1768" s="10">
        <f>IFERROR(VLOOKUP(C1768,'Inventory Master'!$A$3:$L$300,5,FALSE),0)</f>
      </c>
      <c r="F1768" s="10">
        <f>D1768*E1768</f>
      </c>
      <c r="G1768" s="8"/>
    </row>
    <row r="1769" ht="21" customHeight="1" spans="1:7" x14ac:dyDescent="0.25">
      <c r="A1769" s="8"/>
      <c r="B1769" s="8"/>
      <c r="C1769" s="8"/>
      <c r="D1769" s="8"/>
      <c r="E1769" s="10">
        <f>IFERROR(VLOOKUP(C1769,'Inventory Master'!$A$3:$L$300,5,FALSE),0)</f>
      </c>
      <c r="F1769" s="10">
        <f>D1769*E1769</f>
      </c>
      <c r="G1769" s="8"/>
    </row>
    <row r="1770" ht="21" customHeight="1" spans="1:7" x14ac:dyDescent="0.25">
      <c r="A1770" s="8"/>
      <c r="B1770" s="8"/>
      <c r="C1770" s="8"/>
      <c r="D1770" s="8"/>
      <c r="E1770" s="10">
        <f>IFERROR(VLOOKUP(C1770,'Inventory Master'!$A$3:$L$300,5,FALSE),0)</f>
      </c>
      <c r="F1770" s="10">
        <f>D1770*E1770</f>
      </c>
      <c r="G1770" s="8"/>
    </row>
    <row r="1771" ht="21" customHeight="1" spans="1:7" x14ac:dyDescent="0.25">
      <c r="A1771" s="8"/>
      <c r="B1771" s="8"/>
      <c r="C1771" s="8"/>
      <c r="D1771" s="8"/>
      <c r="E1771" s="10">
        <f>IFERROR(VLOOKUP(C1771,'Inventory Master'!$A$3:$L$300,5,FALSE),0)</f>
      </c>
      <c r="F1771" s="10">
        <f>D1771*E1771</f>
      </c>
      <c r="G1771" s="8"/>
    </row>
    <row r="1772" ht="21" customHeight="1" spans="1:7" x14ac:dyDescent="0.25">
      <c r="A1772" s="8"/>
      <c r="B1772" s="8"/>
      <c r="C1772" s="8"/>
      <c r="D1772" s="8"/>
      <c r="E1772" s="10">
        <f>IFERROR(VLOOKUP(C1772,'Inventory Master'!$A$3:$L$300,5,FALSE),0)</f>
      </c>
      <c r="F1772" s="10">
        <f>D1772*E1772</f>
      </c>
      <c r="G1772" s="8"/>
    </row>
    <row r="1773" ht="21" customHeight="1" spans="1:7" x14ac:dyDescent="0.25">
      <c r="A1773" s="8"/>
      <c r="B1773" s="8"/>
      <c r="C1773" s="8"/>
      <c r="D1773" s="8"/>
      <c r="E1773" s="10">
        <f>IFERROR(VLOOKUP(C1773,'Inventory Master'!$A$3:$L$300,5,FALSE),0)</f>
      </c>
      <c r="F1773" s="10">
        <f>D1773*E1773</f>
      </c>
      <c r="G1773" s="8"/>
    </row>
    <row r="1774" ht="21" customHeight="1" spans="1:7" x14ac:dyDescent="0.25">
      <c r="A1774" s="8"/>
      <c r="B1774" s="8"/>
      <c r="C1774" s="8"/>
      <c r="D1774" s="8"/>
      <c r="E1774" s="10">
        <f>IFERROR(VLOOKUP(C1774,'Inventory Master'!$A$3:$L$300,5,FALSE),0)</f>
      </c>
      <c r="F1774" s="10">
        <f>D1774*E1774</f>
      </c>
      <c r="G1774" s="8"/>
    </row>
    <row r="1775" ht="21" customHeight="1" spans="1:7" x14ac:dyDescent="0.25">
      <c r="A1775" s="8"/>
      <c r="B1775" s="8"/>
      <c r="C1775" s="8"/>
      <c r="D1775" s="8"/>
      <c r="E1775" s="10">
        <f>IFERROR(VLOOKUP(C1775,'Inventory Master'!$A$3:$L$300,5,FALSE),0)</f>
      </c>
      <c r="F1775" s="10">
        <f>D1775*E1775</f>
      </c>
      <c r="G1775" s="8"/>
    </row>
    <row r="1776" ht="21" customHeight="1" spans="1:7" x14ac:dyDescent="0.25">
      <c r="A1776" s="8"/>
      <c r="B1776" s="8"/>
      <c r="C1776" s="8"/>
      <c r="D1776" s="8"/>
      <c r="E1776" s="10">
        <f>IFERROR(VLOOKUP(C1776,'Inventory Master'!$A$3:$L$300,5,FALSE),0)</f>
      </c>
      <c r="F1776" s="10">
        <f>D1776*E1776</f>
      </c>
      <c r="G1776" s="8"/>
    </row>
    <row r="1777" ht="21" customHeight="1" spans="1:7" x14ac:dyDescent="0.25">
      <c r="A1777" s="8"/>
      <c r="B1777" s="8"/>
      <c r="C1777" s="8"/>
      <c r="D1777" s="8"/>
      <c r="E1777" s="10">
        <f>IFERROR(VLOOKUP(C1777,'Inventory Master'!$A$3:$L$300,5,FALSE),0)</f>
      </c>
      <c r="F1777" s="10">
        <f>D1777*E1777</f>
      </c>
      <c r="G1777" s="8"/>
    </row>
    <row r="1778" ht="21" customHeight="1" spans="1:7" x14ac:dyDescent="0.25">
      <c r="A1778" s="8"/>
      <c r="B1778" s="8"/>
      <c r="C1778" s="8"/>
      <c r="D1778" s="8"/>
      <c r="E1778" s="10">
        <f>IFERROR(VLOOKUP(C1778,'Inventory Master'!$A$3:$L$300,5,FALSE),0)</f>
      </c>
      <c r="F1778" s="10">
        <f>D1778*E1778</f>
      </c>
      <c r="G1778" s="8"/>
    </row>
    <row r="1779" ht="21" customHeight="1" spans="1:7" x14ac:dyDescent="0.25">
      <c r="A1779" s="8"/>
      <c r="B1779" s="8"/>
      <c r="C1779" s="8"/>
      <c r="D1779" s="8"/>
      <c r="E1779" s="10">
        <f>IFERROR(VLOOKUP(C1779,'Inventory Master'!$A$3:$L$300,5,FALSE),0)</f>
      </c>
      <c r="F1779" s="10">
        <f>D1779*E1779</f>
      </c>
      <c r="G1779" s="8"/>
    </row>
    <row r="1780" ht="21" customHeight="1" spans="1:7" x14ac:dyDescent="0.25">
      <c r="A1780" s="8"/>
      <c r="B1780" s="8"/>
      <c r="C1780" s="8"/>
      <c r="D1780" s="8"/>
      <c r="E1780" s="10">
        <f>IFERROR(VLOOKUP(C1780,'Inventory Master'!$A$3:$L$300,5,FALSE),0)</f>
      </c>
      <c r="F1780" s="10">
        <f>D1780*E1780</f>
      </c>
      <c r="G1780" s="8"/>
    </row>
    <row r="1781" ht="21" customHeight="1" spans="1:7" x14ac:dyDescent="0.25">
      <c r="A1781" s="8"/>
      <c r="B1781" s="8"/>
      <c r="C1781" s="8"/>
      <c r="D1781" s="8"/>
      <c r="E1781" s="10">
        <f>IFERROR(VLOOKUP(C1781,'Inventory Master'!$A$3:$L$300,5,FALSE),0)</f>
      </c>
      <c r="F1781" s="10">
        <f>D1781*E1781</f>
      </c>
      <c r="G1781" s="8"/>
    </row>
    <row r="1782" ht="21" customHeight="1" spans="1:7" x14ac:dyDescent="0.25">
      <c r="A1782" s="8"/>
      <c r="B1782" s="8"/>
      <c r="C1782" s="8"/>
      <c r="D1782" s="8"/>
      <c r="E1782" s="10">
        <f>IFERROR(VLOOKUP(C1782,'Inventory Master'!$A$3:$L$300,5,FALSE),0)</f>
      </c>
      <c r="F1782" s="10">
        <f>D1782*E1782</f>
      </c>
      <c r="G1782" s="8"/>
    </row>
    <row r="1783" ht="21" customHeight="1" spans="1:7" x14ac:dyDescent="0.25">
      <c r="A1783" s="8"/>
      <c r="B1783" s="8"/>
      <c r="C1783" s="8"/>
      <c r="D1783" s="8"/>
      <c r="E1783" s="10">
        <f>IFERROR(VLOOKUP(C1783,'Inventory Master'!$A$3:$L$300,5,FALSE),0)</f>
      </c>
      <c r="F1783" s="10">
        <f>D1783*E1783</f>
      </c>
      <c r="G1783" s="8"/>
    </row>
    <row r="1784" ht="21" customHeight="1" spans="1:7" x14ac:dyDescent="0.25">
      <c r="A1784" s="8"/>
      <c r="B1784" s="8"/>
      <c r="C1784" s="8"/>
      <c r="D1784" s="8"/>
      <c r="E1784" s="10">
        <f>IFERROR(VLOOKUP(C1784,'Inventory Master'!$A$3:$L$300,5,FALSE),0)</f>
      </c>
      <c r="F1784" s="10">
        <f>D1784*E1784</f>
      </c>
      <c r="G1784" s="8"/>
    </row>
    <row r="1785" ht="21" customHeight="1" spans="1:7" x14ac:dyDescent="0.25">
      <c r="A1785" s="8"/>
      <c r="B1785" s="8"/>
      <c r="C1785" s="8"/>
      <c r="D1785" s="8"/>
      <c r="E1785" s="10">
        <f>IFERROR(VLOOKUP(C1785,'Inventory Master'!$A$3:$L$300,5,FALSE),0)</f>
      </c>
      <c r="F1785" s="10">
        <f>D1785*E1785</f>
      </c>
      <c r="G1785" s="8"/>
    </row>
    <row r="1786" ht="21" customHeight="1" spans="1:7" x14ac:dyDescent="0.25">
      <c r="A1786" s="8"/>
      <c r="B1786" s="8"/>
      <c r="C1786" s="8"/>
      <c r="D1786" s="8"/>
      <c r="E1786" s="10">
        <f>IFERROR(VLOOKUP(C1786,'Inventory Master'!$A$3:$L$300,5,FALSE),0)</f>
      </c>
      <c r="F1786" s="10">
        <f>D1786*E1786</f>
      </c>
      <c r="G1786" s="8"/>
    </row>
    <row r="1787" ht="21" customHeight="1" spans="1:7" x14ac:dyDescent="0.25">
      <c r="A1787" s="8"/>
      <c r="B1787" s="8"/>
      <c r="C1787" s="8"/>
      <c r="D1787" s="8"/>
      <c r="E1787" s="10">
        <f>IFERROR(VLOOKUP(C1787,'Inventory Master'!$A$3:$L$300,5,FALSE),0)</f>
      </c>
      <c r="F1787" s="10">
        <f>D1787*E1787</f>
      </c>
      <c r="G1787" s="8"/>
    </row>
    <row r="1788" ht="21" customHeight="1" spans="1:7" x14ac:dyDescent="0.25">
      <c r="A1788" s="8"/>
      <c r="B1788" s="8"/>
      <c r="C1788" s="8"/>
      <c r="D1788" s="8"/>
      <c r="E1788" s="10">
        <f>IFERROR(VLOOKUP(C1788,'Inventory Master'!$A$3:$L$300,5,FALSE),0)</f>
      </c>
      <c r="F1788" s="10">
        <f>D1788*E1788</f>
      </c>
      <c r="G1788" s="8"/>
    </row>
    <row r="1789" ht="21" customHeight="1" spans="1:7" x14ac:dyDescent="0.25">
      <c r="A1789" s="8"/>
      <c r="B1789" s="8"/>
      <c r="C1789" s="8"/>
      <c r="D1789" s="8"/>
      <c r="E1789" s="10">
        <f>IFERROR(VLOOKUP(C1789,'Inventory Master'!$A$3:$L$300,5,FALSE),0)</f>
      </c>
      <c r="F1789" s="10">
        <f>D1789*E1789</f>
      </c>
      <c r="G1789" s="8"/>
    </row>
    <row r="1790" ht="21" customHeight="1" spans="1:7" x14ac:dyDescent="0.25">
      <c r="A1790" s="8"/>
      <c r="B1790" s="8"/>
      <c r="C1790" s="8"/>
      <c r="D1790" s="8"/>
      <c r="E1790" s="10">
        <f>IFERROR(VLOOKUP(C1790,'Inventory Master'!$A$3:$L$300,5,FALSE),0)</f>
      </c>
      <c r="F1790" s="10">
        <f>D1790*E1790</f>
      </c>
      <c r="G1790" s="8"/>
    </row>
    <row r="1791" ht="21" customHeight="1" spans="1:7" x14ac:dyDescent="0.25">
      <c r="A1791" s="8"/>
      <c r="B1791" s="8"/>
      <c r="C1791" s="8"/>
      <c r="D1791" s="8"/>
      <c r="E1791" s="10">
        <f>IFERROR(VLOOKUP(C1791,'Inventory Master'!$A$3:$L$300,5,FALSE),0)</f>
      </c>
      <c r="F1791" s="10">
        <f>D1791*E1791</f>
      </c>
      <c r="G1791" s="8"/>
    </row>
    <row r="1792" ht="21" customHeight="1" spans="1:7" x14ac:dyDescent="0.25">
      <c r="A1792" s="8"/>
      <c r="B1792" s="8"/>
      <c r="C1792" s="8"/>
      <c r="D1792" s="8"/>
      <c r="E1792" s="10">
        <f>IFERROR(VLOOKUP(C1792,'Inventory Master'!$A$3:$L$300,5,FALSE),0)</f>
      </c>
      <c r="F1792" s="10">
        <f>D1792*E1792</f>
      </c>
      <c r="G1792" s="8"/>
    </row>
    <row r="1793" ht="21" customHeight="1" spans="1:7" x14ac:dyDescent="0.25">
      <c r="A1793" s="8"/>
      <c r="B1793" s="8"/>
      <c r="C1793" s="8"/>
      <c r="D1793" s="8"/>
      <c r="E1793" s="10">
        <f>IFERROR(VLOOKUP(C1793,'Inventory Master'!$A$3:$L$300,5,FALSE),0)</f>
      </c>
      <c r="F1793" s="10">
        <f>D1793*E1793</f>
      </c>
      <c r="G1793" s="8"/>
    </row>
    <row r="1794" ht="21" customHeight="1" spans="1:7" x14ac:dyDescent="0.25">
      <c r="A1794" s="8"/>
      <c r="B1794" s="8"/>
      <c r="C1794" s="8"/>
      <c r="D1794" s="8"/>
      <c r="E1794" s="10">
        <f>IFERROR(VLOOKUP(C1794,'Inventory Master'!$A$3:$L$300,5,FALSE),0)</f>
      </c>
      <c r="F1794" s="10">
        <f>D1794*E1794</f>
      </c>
      <c r="G1794" s="8"/>
    </row>
    <row r="1795" ht="21" customHeight="1" spans="1:7" x14ac:dyDescent="0.25">
      <c r="A1795" s="8"/>
      <c r="B1795" s="8"/>
      <c r="C1795" s="8"/>
      <c r="D1795" s="8"/>
      <c r="E1795" s="10">
        <f>IFERROR(VLOOKUP(C1795,'Inventory Master'!$A$3:$L$300,5,FALSE),0)</f>
      </c>
      <c r="F1795" s="10">
        <f>D1795*E1795</f>
      </c>
      <c r="G1795" s="8"/>
    </row>
    <row r="1796" ht="21" customHeight="1" spans="1:7" x14ac:dyDescent="0.25">
      <c r="A1796" s="8"/>
      <c r="B1796" s="8"/>
      <c r="C1796" s="8"/>
      <c r="D1796" s="8"/>
      <c r="E1796" s="10">
        <f>IFERROR(VLOOKUP(C1796,'Inventory Master'!$A$3:$L$300,5,FALSE),0)</f>
      </c>
      <c r="F1796" s="10">
        <f>D1796*E1796</f>
      </c>
      <c r="G1796" s="8"/>
    </row>
    <row r="1797" ht="21" customHeight="1" spans="1:7" x14ac:dyDescent="0.25">
      <c r="A1797" s="8"/>
      <c r="B1797" s="8"/>
      <c r="C1797" s="8"/>
      <c r="D1797" s="8"/>
      <c r="E1797" s="10">
        <f>IFERROR(VLOOKUP(C1797,'Inventory Master'!$A$3:$L$300,5,FALSE),0)</f>
      </c>
      <c r="F1797" s="10">
        <f>D1797*E1797</f>
      </c>
      <c r="G1797" s="8"/>
    </row>
    <row r="1798" ht="21" customHeight="1" spans="1:7" x14ac:dyDescent="0.25">
      <c r="A1798" s="8"/>
      <c r="B1798" s="8"/>
      <c r="C1798" s="8"/>
      <c r="D1798" s="8"/>
      <c r="E1798" s="10">
        <f>IFERROR(VLOOKUP(C1798,'Inventory Master'!$A$3:$L$300,5,FALSE),0)</f>
      </c>
      <c r="F1798" s="10">
        <f>D1798*E1798</f>
      </c>
      <c r="G1798" s="8"/>
    </row>
    <row r="1799" ht="21" customHeight="1" spans="1:7" x14ac:dyDescent="0.25">
      <c r="A1799" s="8"/>
      <c r="B1799" s="8"/>
      <c r="C1799" s="8"/>
      <c r="D1799" s="8"/>
      <c r="E1799" s="10">
        <f>IFERROR(VLOOKUP(C1799,'Inventory Master'!$A$3:$L$300,5,FALSE),0)</f>
      </c>
      <c r="F1799" s="10">
        <f>D1799*E1799</f>
      </c>
      <c r="G1799" s="8"/>
    </row>
    <row r="1800" ht="21" customHeight="1" spans="1:7" x14ac:dyDescent="0.25">
      <c r="A1800" s="8"/>
      <c r="B1800" s="8"/>
      <c r="C1800" s="8"/>
      <c r="D1800" s="8"/>
      <c r="E1800" s="10">
        <f>IFERROR(VLOOKUP(C1800,'Inventory Master'!$A$3:$L$300,5,FALSE),0)</f>
      </c>
      <c r="F1800" s="10">
        <f>D1800*E1800</f>
      </c>
      <c r="G1800" s="8"/>
    </row>
    <row r="1801" ht="21" customHeight="1" spans="1:7" x14ac:dyDescent="0.25">
      <c r="A1801" s="8"/>
      <c r="B1801" s="8"/>
      <c r="C1801" s="8"/>
      <c r="D1801" s="8"/>
      <c r="E1801" s="10">
        <f>IFERROR(VLOOKUP(C1801,'Inventory Master'!$A$3:$L$300,5,FALSE),0)</f>
      </c>
      <c r="F1801" s="10">
        <f>D1801*E1801</f>
      </c>
      <c r="G1801" s="8"/>
    </row>
    <row r="1802" ht="21" customHeight="1" spans="1:7" x14ac:dyDescent="0.25">
      <c r="A1802" s="8"/>
      <c r="B1802" s="8"/>
      <c r="C1802" s="8"/>
      <c r="D1802" s="8"/>
      <c r="E1802" s="10">
        <f>IFERROR(VLOOKUP(C1802,'Inventory Master'!$A$3:$L$300,5,FALSE),0)</f>
      </c>
      <c r="F1802" s="10">
        <f>D1802*E1802</f>
      </c>
      <c r="G1802" s="8"/>
    </row>
    <row r="1803" ht="21" customHeight="1" spans="1:7" x14ac:dyDescent="0.25">
      <c r="A1803" s="8"/>
      <c r="B1803" s="8"/>
      <c r="C1803" s="8"/>
      <c r="D1803" s="8"/>
      <c r="E1803" s="10">
        <f>IFERROR(VLOOKUP(C1803,'Inventory Master'!$A$3:$L$300,5,FALSE),0)</f>
      </c>
      <c r="F1803" s="10">
        <f>D1803*E1803</f>
      </c>
      <c r="G1803" s="8"/>
    </row>
    <row r="1804" ht="21" customHeight="1" spans="1:7" x14ac:dyDescent="0.25">
      <c r="A1804" s="8"/>
      <c r="B1804" s="8"/>
      <c r="C1804" s="8"/>
      <c r="D1804" s="8"/>
      <c r="E1804" s="10">
        <f>IFERROR(VLOOKUP(C1804,'Inventory Master'!$A$3:$L$300,5,FALSE),0)</f>
      </c>
      <c r="F1804" s="10">
        <f>D1804*E1804</f>
      </c>
      <c r="G1804" s="8"/>
    </row>
    <row r="1805" ht="21" customHeight="1" spans="1:7" x14ac:dyDescent="0.25">
      <c r="A1805" s="8"/>
      <c r="B1805" s="8"/>
      <c r="C1805" s="8"/>
      <c r="D1805" s="8"/>
      <c r="E1805" s="10">
        <f>IFERROR(VLOOKUP(C1805,'Inventory Master'!$A$3:$L$300,5,FALSE),0)</f>
      </c>
      <c r="F1805" s="10">
        <f>D1805*E1805</f>
      </c>
      <c r="G1805" s="8"/>
    </row>
    <row r="1806" ht="21" customHeight="1" spans="1:7" x14ac:dyDescent="0.25">
      <c r="A1806" s="8"/>
      <c r="B1806" s="8"/>
      <c r="C1806" s="8"/>
      <c r="D1806" s="8"/>
      <c r="E1806" s="10">
        <f>IFERROR(VLOOKUP(C1806,'Inventory Master'!$A$3:$L$300,5,FALSE),0)</f>
      </c>
      <c r="F1806" s="10">
        <f>D1806*E1806</f>
      </c>
      <c r="G1806" s="8"/>
    </row>
    <row r="1807" ht="21" customHeight="1" spans="1:7" x14ac:dyDescent="0.25">
      <c r="A1807" s="8"/>
      <c r="B1807" s="8"/>
      <c r="C1807" s="8"/>
      <c r="D1807" s="8"/>
      <c r="E1807" s="10">
        <f>IFERROR(VLOOKUP(C1807,'Inventory Master'!$A$3:$L$300,5,FALSE),0)</f>
      </c>
      <c r="F1807" s="10">
        <f>D1807*E1807</f>
      </c>
      <c r="G1807" s="8"/>
    </row>
    <row r="1808" ht="21" customHeight="1" spans="1:7" x14ac:dyDescent="0.25">
      <c r="A1808" s="8"/>
      <c r="B1808" s="8"/>
      <c r="C1808" s="8"/>
      <c r="D1808" s="8"/>
      <c r="E1808" s="10">
        <f>IFERROR(VLOOKUP(C1808,'Inventory Master'!$A$3:$L$300,5,FALSE),0)</f>
      </c>
      <c r="F1808" s="10">
        <f>D1808*E1808</f>
      </c>
      <c r="G1808" s="8"/>
    </row>
    <row r="1809" ht="21" customHeight="1" spans="1:7" x14ac:dyDescent="0.25">
      <c r="A1809" s="8"/>
      <c r="B1809" s="8"/>
      <c r="C1809" s="8"/>
      <c r="D1809" s="8"/>
      <c r="E1809" s="10">
        <f>IFERROR(VLOOKUP(C1809,'Inventory Master'!$A$3:$L$300,5,FALSE),0)</f>
      </c>
      <c r="F1809" s="10">
        <f>D1809*E1809</f>
      </c>
      <c r="G1809" s="8"/>
    </row>
    <row r="1810" ht="21" customHeight="1" spans="1:7" x14ac:dyDescent="0.25">
      <c r="A1810" s="8"/>
      <c r="B1810" s="8"/>
      <c r="C1810" s="8"/>
      <c r="D1810" s="8"/>
      <c r="E1810" s="10">
        <f>IFERROR(VLOOKUP(C1810,'Inventory Master'!$A$3:$L$300,5,FALSE),0)</f>
      </c>
      <c r="F1810" s="10">
        <f>D1810*E1810</f>
      </c>
      <c r="G1810" s="8"/>
    </row>
    <row r="1811" ht="21" customHeight="1" spans="1:7" x14ac:dyDescent="0.25">
      <c r="A1811" s="8"/>
      <c r="B1811" s="8"/>
      <c r="C1811" s="8"/>
      <c r="D1811" s="8"/>
      <c r="E1811" s="10">
        <f>IFERROR(VLOOKUP(C1811,'Inventory Master'!$A$3:$L$300,5,FALSE),0)</f>
      </c>
      <c r="F1811" s="10">
        <f>D1811*E1811</f>
      </c>
      <c r="G1811" s="8"/>
    </row>
    <row r="1812" ht="21" customHeight="1" spans="1:7" x14ac:dyDescent="0.25">
      <c r="A1812" s="8"/>
      <c r="B1812" s="8"/>
      <c r="C1812" s="8"/>
      <c r="D1812" s="8"/>
      <c r="E1812" s="10">
        <f>IFERROR(VLOOKUP(C1812,'Inventory Master'!$A$3:$L$300,5,FALSE),0)</f>
      </c>
      <c r="F1812" s="10">
        <f>D1812*E1812</f>
      </c>
      <c r="G1812" s="8"/>
    </row>
    <row r="1813" ht="21" customHeight="1" spans="1:7" x14ac:dyDescent="0.25">
      <c r="A1813" s="8"/>
      <c r="B1813" s="8"/>
      <c r="C1813" s="8"/>
      <c r="D1813" s="8"/>
      <c r="E1813" s="10">
        <f>IFERROR(VLOOKUP(C1813,'Inventory Master'!$A$3:$L$300,5,FALSE),0)</f>
      </c>
      <c r="F1813" s="10">
        <f>D1813*E1813</f>
      </c>
      <c r="G1813" s="8"/>
    </row>
    <row r="1814" ht="21" customHeight="1" spans="1:7" x14ac:dyDescent="0.25">
      <c r="A1814" s="8"/>
      <c r="B1814" s="8"/>
      <c r="C1814" s="8"/>
      <c r="D1814" s="8"/>
      <c r="E1814" s="10">
        <f>IFERROR(VLOOKUP(C1814,'Inventory Master'!$A$3:$L$300,5,FALSE),0)</f>
      </c>
      <c r="F1814" s="10">
        <f>D1814*E1814</f>
      </c>
      <c r="G1814" s="8"/>
    </row>
    <row r="1815" ht="21" customHeight="1" spans="1:7" x14ac:dyDescent="0.25">
      <c r="A1815" s="8"/>
      <c r="B1815" s="8"/>
      <c r="C1815" s="8"/>
      <c r="D1815" s="8"/>
      <c r="E1815" s="10">
        <f>IFERROR(VLOOKUP(C1815,'Inventory Master'!$A$3:$L$300,5,FALSE),0)</f>
      </c>
      <c r="F1815" s="10">
        <f>D1815*E1815</f>
      </c>
      <c r="G1815" s="8"/>
    </row>
    <row r="1816" ht="21" customHeight="1" spans="1:7" x14ac:dyDescent="0.25">
      <c r="A1816" s="8"/>
      <c r="B1816" s="8"/>
      <c r="C1816" s="8"/>
      <c r="D1816" s="8"/>
      <c r="E1816" s="10">
        <f>IFERROR(VLOOKUP(C1816,'Inventory Master'!$A$3:$L$300,5,FALSE),0)</f>
      </c>
      <c r="F1816" s="10">
        <f>D1816*E1816</f>
      </c>
      <c r="G1816" s="8"/>
    </row>
    <row r="1817" ht="21" customHeight="1" spans="1:7" x14ac:dyDescent="0.25">
      <c r="A1817" s="8"/>
      <c r="B1817" s="8"/>
      <c r="C1817" s="8"/>
      <c r="D1817" s="8"/>
      <c r="E1817" s="10">
        <f>IFERROR(VLOOKUP(C1817,'Inventory Master'!$A$3:$L$300,5,FALSE),0)</f>
      </c>
      <c r="F1817" s="10">
        <f>D1817*E1817</f>
      </c>
      <c r="G1817" s="8"/>
    </row>
    <row r="1818" ht="21" customHeight="1" spans="1:7" x14ac:dyDescent="0.25">
      <c r="A1818" s="8"/>
      <c r="B1818" s="8"/>
      <c r="C1818" s="8"/>
      <c r="D1818" s="8"/>
      <c r="E1818" s="10">
        <f>IFERROR(VLOOKUP(C1818,'Inventory Master'!$A$3:$L$300,5,FALSE),0)</f>
      </c>
      <c r="F1818" s="10">
        <f>D1818*E1818</f>
      </c>
      <c r="G1818" s="8"/>
    </row>
    <row r="1819" ht="21" customHeight="1" spans="1:7" x14ac:dyDescent="0.25">
      <c r="A1819" s="8"/>
      <c r="B1819" s="8"/>
      <c r="C1819" s="8"/>
      <c r="D1819" s="8"/>
      <c r="E1819" s="10">
        <f>IFERROR(VLOOKUP(C1819,'Inventory Master'!$A$3:$L$300,5,FALSE),0)</f>
      </c>
      <c r="F1819" s="10">
        <f>D1819*E1819</f>
      </c>
      <c r="G1819" s="8"/>
    </row>
    <row r="1820" ht="21" customHeight="1" spans="1:7" x14ac:dyDescent="0.25">
      <c r="A1820" s="8"/>
      <c r="B1820" s="8"/>
      <c r="C1820" s="8"/>
      <c r="D1820" s="8"/>
      <c r="E1820" s="10">
        <f>IFERROR(VLOOKUP(C1820,'Inventory Master'!$A$3:$L$300,5,FALSE),0)</f>
      </c>
      <c r="F1820" s="10">
        <f>D1820*E1820</f>
      </c>
      <c r="G1820" s="8"/>
    </row>
    <row r="1821" ht="21" customHeight="1" spans="1:7" x14ac:dyDescent="0.25">
      <c r="A1821" s="8"/>
      <c r="B1821" s="8"/>
      <c r="C1821" s="8"/>
      <c r="D1821" s="8"/>
      <c r="E1821" s="10">
        <f>IFERROR(VLOOKUP(C1821,'Inventory Master'!$A$3:$L$300,5,FALSE),0)</f>
      </c>
      <c r="F1821" s="10">
        <f>D1821*E1821</f>
      </c>
      <c r="G1821" s="8"/>
    </row>
    <row r="1822" ht="21" customHeight="1" spans="1:7" x14ac:dyDescent="0.25">
      <c r="A1822" s="8"/>
      <c r="B1822" s="8"/>
      <c r="C1822" s="8"/>
      <c r="D1822" s="8"/>
      <c r="E1822" s="10">
        <f>IFERROR(VLOOKUP(C1822,'Inventory Master'!$A$3:$L$300,5,FALSE),0)</f>
      </c>
      <c r="F1822" s="10">
        <f>D1822*E1822</f>
      </c>
      <c r="G1822" s="8"/>
    </row>
    <row r="1823" ht="21" customHeight="1" spans="1:7" x14ac:dyDescent="0.25">
      <c r="A1823" s="8"/>
      <c r="B1823" s="8"/>
      <c r="C1823" s="8"/>
      <c r="D1823" s="8"/>
      <c r="E1823" s="10">
        <f>IFERROR(VLOOKUP(C1823,'Inventory Master'!$A$3:$L$300,5,FALSE),0)</f>
      </c>
      <c r="F1823" s="10">
        <f>D1823*E1823</f>
      </c>
      <c r="G1823" s="8"/>
    </row>
    <row r="1824" ht="21" customHeight="1" spans="1:7" x14ac:dyDescent="0.25">
      <c r="A1824" s="8"/>
      <c r="B1824" s="8"/>
      <c r="C1824" s="8"/>
      <c r="D1824" s="8"/>
      <c r="E1824" s="10">
        <f>IFERROR(VLOOKUP(C1824,'Inventory Master'!$A$3:$L$300,5,FALSE),0)</f>
      </c>
      <c r="F1824" s="10">
        <f>D1824*E1824</f>
      </c>
      <c r="G1824" s="8"/>
    </row>
    <row r="1825" ht="21" customHeight="1" spans="1:7" x14ac:dyDescent="0.25">
      <c r="A1825" s="8"/>
      <c r="B1825" s="8"/>
      <c r="C1825" s="8"/>
      <c r="D1825" s="8"/>
      <c r="E1825" s="10">
        <f>IFERROR(VLOOKUP(C1825,'Inventory Master'!$A$3:$L$300,5,FALSE),0)</f>
      </c>
      <c r="F1825" s="10">
        <f>D1825*E1825</f>
      </c>
      <c r="G1825" s="8"/>
    </row>
    <row r="1826" ht="21" customHeight="1" spans="1:7" x14ac:dyDescent="0.25">
      <c r="A1826" s="8"/>
      <c r="B1826" s="8"/>
      <c r="C1826" s="8"/>
      <c r="D1826" s="8"/>
      <c r="E1826" s="10">
        <f>IFERROR(VLOOKUP(C1826,'Inventory Master'!$A$3:$L$300,5,FALSE),0)</f>
      </c>
      <c r="F1826" s="10">
        <f>D1826*E1826</f>
      </c>
      <c r="G1826" s="8"/>
    </row>
    <row r="1827" ht="21" customHeight="1" spans="1:7" x14ac:dyDescent="0.25">
      <c r="A1827" s="8"/>
      <c r="B1827" s="8"/>
      <c r="C1827" s="8"/>
      <c r="D1827" s="8"/>
      <c r="E1827" s="10">
        <f>IFERROR(VLOOKUP(C1827,'Inventory Master'!$A$3:$L$300,5,FALSE),0)</f>
      </c>
      <c r="F1827" s="10">
        <f>D1827*E1827</f>
      </c>
      <c r="G1827" s="8"/>
    </row>
    <row r="1828" ht="21" customHeight="1" spans="1:7" x14ac:dyDescent="0.25">
      <c r="A1828" s="8"/>
      <c r="B1828" s="8"/>
      <c r="C1828" s="8"/>
      <c r="D1828" s="8"/>
      <c r="E1828" s="10">
        <f>IFERROR(VLOOKUP(C1828,'Inventory Master'!$A$3:$L$300,5,FALSE),0)</f>
      </c>
      <c r="F1828" s="10">
        <f>D1828*E1828</f>
      </c>
      <c r="G1828" s="8"/>
    </row>
    <row r="1829" ht="21" customHeight="1" spans="1:7" x14ac:dyDescent="0.25">
      <c r="A1829" s="8"/>
      <c r="B1829" s="8"/>
      <c r="C1829" s="8"/>
      <c r="D1829" s="8"/>
      <c r="E1829" s="10">
        <f>IFERROR(VLOOKUP(C1829,'Inventory Master'!$A$3:$L$300,5,FALSE),0)</f>
      </c>
      <c r="F1829" s="10">
        <f>D1829*E1829</f>
      </c>
      <c r="G1829" s="8"/>
    </row>
    <row r="1830" ht="21" customHeight="1" spans="1:7" x14ac:dyDescent="0.25">
      <c r="A1830" s="8"/>
      <c r="B1830" s="8"/>
      <c r="C1830" s="8"/>
      <c r="D1830" s="8"/>
      <c r="E1830" s="10">
        <f>IFERROR(VLOOKUP(C1830,'Inventory Master'!$A$3:$L$300,5,FALSE),0)</f>
      </c>
      <c r="F1830" s="10">
        <f>D1830*E1830</f>
      </c>
      <c r="G1830" s="8"/>
    </row>
    <row r="1831" ht="21" customHeight="1" spans="1:7" x14ac:dyDescent="0.25">
      <c r="A1831" s="8"/>
      <c r="B1831" s="8"/>
      <c r="C1831" s="8"/>
      <c r="D1831" s="8"/>
      <c r="E1831" s="10">
        <f>IFERROR(VLOOKUP(C1831,'Inventory Master'!$A$3:$L$300,5,FALSE),0)</f>
      </c>
      <c r="F1831" s="10">
        <f>D1831*E1831</f>
      </c>
      <c r="G1831" s="8"/>
    </row>
    <row r="1832" ht="21" customHeight="1" spans="1:7" x14ac:dyDescent="0.25">
      <c r="A1832" s="8"/>
      <c r="B1832" s="8"/>
      <c r="C1832" s="8"/>
      <c r="D1832" s="8"/>
      <c r="E1832" s="10">
        <f>IFERROR(VLOOKUP(C1832,'Inventory Master'!$A$3:$L$300,5,FALSE),0)</f>
      </c>
      <c r="F1832" s="10">
        <f>D1832*E1832</f>
      </c>
      <c r="G1832" s="8"/>
    </row>
    <row r="1833" ht="21" customHeight="1" spans="1:7" x14ac:dyDescent="0.25">
      <c r="A1833" s="8"/>
      <c r="B1833" s="8"/>
      <c r="C1833" s="8"/>
      <c r="D1833" s="8"/>
      <c r="E1833" s="10">
        <f>IFERROR(VLOOKUP(C1833,'Inventory Master'!$A$3:$L$300,5,FALSE),0)</f>
      </c>
      <c r="F1833" s="10">
        <f>D1833*E1833</f>
      </c>
      <c r="G1833" s="8"/>
    </row>
    <row r="1834" ht="21" customHeight="1" spans="1:7" x14ac:dyDescent="0.25">
      <c r="A1834" s="8"/>
      <c r="B1834" s="8"/>
      <c r="C1834" s="8"/>
      <c r="D1834" s="8"/>
      <c r="E1834" s="10">
        <f>IFERROR(VLOOKUP(C1834,'Inventory Master'!$A$3:$L$300,5,FALSE),0)</f>
      </c>
      <c r="F1834" s="10">
        <f>D1834*E1834</f>
      </c>
      <c r="G1834" s="8"/>
    </row>
    <row r="1835" ht="21" customHeight="1" spans="1:7" x14ac:dyDescent="0.25">
      <c r="A1835" s="8"/>
      <c r="B1835" s="8"/>
      <c r="C1835" s="8"/>
      <c r="D1835" s="8"/>
      <c r="E1835" s="10">
        <f>IFERROR(VLOOKUP(C1835,'Inventory Master'!$A$3:$L$300,5,FALSE),0)</f>
      </c>
      <c r="F1835" s="10">
        <f>D1835*E1835</f>
      </c>
      <c r="G1835" s="8"/>
    </row>
    <row r="1836" ht="21" customHeight="1" spans="1:7" x14ac:dyDescent="0.25">
      <c r="A1836" s="8"/>
      <c r="B1836" s="8"/>
      <c r="C1836" s="8"/>
      <c r="D1836" s="8"/>
      <c r="E1836" s="10">
        <f>IFERROR(VLOOKUP(C1836,'Inventory Master'!$A$3:$L$300,5,FALSE),0)</f>
      </c>
      <c r="F1836" s="10">
        <f>D1836*E1836</f>
      </c>
      <c r="G1836" s="8"/>
    </row>
    <row r="1837" ht="21" customHeight="1" spans="1:7" x14ac:dyDescent="0.25">
      <c r="A1837" s="8"/>
      <c r="B1837" s="8"/>
      <c r="C1837" s="8"/>
      <c r="D1837" s="8"/>
      <c r="E1837" s="10">
        <f>IFERROR(VLOOKUP(C1837,'Inventory Master'!$A$3:$L$300,5,FALSE),0)</f>
      </c>
      <c r="F1837" s="10">
        <f>D1837*E1837</f>
      </c>
      <c r="G1837" s="8"/>
    </row>
    <row r="1838" ht="21" customHeight="1" spans="1:7" x14ac:dyDescent="0.25">
      <c r="A1838" s="8"/>
      <c r="B1838" s="8"/>
      <c r="C1838" s="8"/>
      <c r="D1838" s="8"/>
      <c r="E1838" s="10">
        <f>IFERROR(VLOOKUP(C1838,'Inventory Master'!$A$3:$L$300,5,FALSE),0)</f>
      </c>
      <c r="F1838" s="10">
        <f>D1838*E1838</f>
      </c>
      <c r="G1838" s="8"/>
    </row>
    <row r="1839" ht="21" customHeight="1" spans="1:7" x14ac:dyDescent="0.25">
      <c r="A1839" s="8"/>
      <c r="B1839" s="8"/>
      <c r="C1839" s="8"/>
      <c r="D1839" s="8"/>
      <c r="E1839" s="10">
        <f>IFERROR(VLOOKUP(C1839,'Inventory Master'!$A$3:$L$300,5,FALSE),0)</f>
      </c>
      <c r="F1839" s="10">
        <f>D1839*E1839</f>
      </c>
      <c r="G1839" s="8"/>
    </row>
    <row r="1840" ht="21" customHeight="1" spans="1:7" x14ac:dyDescent="0.25">
      <c r="A1840" s="8"/>
      <c r="B1840" s="8"/>
      <c r="C1840" s="8"/>
      <c r="D1840" s="8"/>
      <c r="E1840" s="10">
        <f>IFERROR(VLOOKUP(C1840,'Inventory Master'!$A$3:$L$300,5,FALSE),0)</f>
      </c>
      <c r="F1840" s="10">
        <f>D1840*E1840</f>
      </c>
      <c r="G1840" s="8"/>
    </row>
    <row r="1841" ht="21" customHeight="1" spans="1:7" x14ac:dyDescent="0.25">
      <c r="A1841" s="8"/>
      <c r="B1841" s="8"/>
      <c r="C1841" s="8"/>
      <c r="D1841" s="8"/>
      <c r="E1841" s="10">
        <f>IFERROR(VLOOKUP(C1841,'Inventory Master'!$A$3:$L$300,5,FALSE),0)</f>
      </c>
      <c r="F1841" s="10">
        <f>D1841*E1841</f>
      </c>
      <c r="G1841" s="8"/>
    </row>
    <row r="1842" ht="21" customHeight="1" spans="1:7" x14ac:dyDescent="0.25">
      <c r="A1842" s="8"/>
      <c r="B1842" s="8"/>
      <c r="C1842" s="8"/>
      <c r="D1842" s="8"/>
      <c r="E1842" s="10">
        <f>IFERROR(VLOOKUP(C1842,'Inventory Master'!$A$3:$L$300,5,FALSE),0)</f>
      </c>
      <c r="F1842" s="10">
        <f>D1842*E1842</f>
      </c>
      <c r="G1842" s="8"/>
    </row>
    <row r="1843" ht="21" customHeight="1" spans="1:7" x14ac:dyDescent="0.25">
      <c r="A1843" s="8"/>
      <c r="B1843" s="8"/>
      <c r="C1843" s="8"/>
      <c r="D1843" s="8"/>
      <c r="E1843" s="10">
        <f>IFERROR(VLOOKUP(C1843,'Inventory Master'!$A$3:$L$300,5,FALSE),0)</f>
      </c>
      <c r="F1843" s="10">
        <f>D1843*E1843</f>
      </c>
      <c r="G1843" s="8"/>
    </row>
    <row r="1844" ht="21" customHeight="1" spans="1:7" x14ac:dyDescent="0.25">
      <c r="A1844" s="8"/>
      <c r="B1844" s="8"/>
      <c r="C1844" s="8"/>
      <c r="D1844" s="8"/>
      <c r="E1844" s="10">
        <f>IFERROR(VLOOKUP(C1844,'Inventory Master'!$A$3:$L$300,5,FALSE),0)</f>
      </c>
      <c r="F1844" s="10">
        <f>D1844*E1844</f>
      </c>
      <c r="G1844" s="8"/>
    </row>
    <row r="1845" ht="21" customHeight="1" spans="1:7" x14ac:dyDescent="0.25">
      <c r="A1845" s="8"/>
      <c r="B1845" s="8"/>
      <c r="C1845" s="8"/>
      <c r="D1845" s="8"/>
      <c r="E1845" s="10">
        <f>IFERROR(VLOOKUP(C1845,'Inventory Master'!$A$3:$L$300,5,FALSE),0)</f>
      </c>
      <c r="F1845" s="10">
        <f>D1845*E1845</f>
      </c>
      <c r="G1845" s="8"/>
    </row>
    <row r="1846" ht="21" customHeight="1" spans="1:7" x14ac:dyDescent="0.25">
      <c r="A1846" s="8"/>
      <c r="B1846" s="8"/>
      <c r="C1846" s="8"/>
      <c r="D1846" s="8"/>
      <c r="E1846" s="10">
        <f>IFERROR(VLOOKUP(C1846,'Inventory Master'!$A$3:$L$300,5,FALSE),0)</f>
      </c>
      <c r="F1846" s="10">
        <f>D1846*E1846</f>
      </c>
      <c r="G1846" s="8"/>
    </row>
    <row r="1847" ht="21" customHeight="1" spans="1:7" x14ac:dyDescent="0.25">
      <c r="A1847" s="8"/>
      <c r="B1847" s="8"/>
      <c r="C1847" s="8"/>
      <c r="D1847" s="8"/>
      <c r="E1847" s="10">
        <f>IFERROR(VLOOKUP(C1847,'Inventory Master'!$A$3:$L$300,5,FALSE),0)</f>
      </c>
      <c r="F1847" s="10">
        <f>D1847*E1847</f>
      </c>
      <c r="G1847" s="8"/>
    </row>
    <row r="1848" ht="21" customHeight="1" spans="1:7" x14ac:dyDescent="0.25">
      <c r="A1848" s="8"/>
      <c r="B1848" s="8"/>
      <c r="C1848" s="8"/>
      <c r="D1848" s="8"/>
      <c r="E1848" s="10">
        <f>IFERROR(VLOOKUP(C1848,'Inventory Master'!$A$3:$L$300,5,FALSE),0)</f>
      </c>
      <c r="F1848" s="10">
        <f>D1848*E1848</f>
      </c>
      <c r="G1848" s="8"/>
    </row>
    <row r="1849" ht="21" customHeight="1" spans="1:7" x14ac:dyDescent="0.25">
      <c r="A1849" s="8"/>
      <c r="B1849" s="8"/>
      <c r="C1849" s="8"/>
      <c r="D1849" s="8"/>
      <c r="E1849" s="10">
        <f>IFERROR(VLOOKUP(C1849,'Inventory Master'!$A$3:$L$300,5,FALSE),0)</f>
      </c>
      <c r="F1849" s="10">
        <f>D1849*E1849</f>
      </c>
      <c r="G1849" s="8"/>
    </row>
    <row r="1850" ht="21" customHeight="1" spans="1:7" x14ac:dyDescent="0.25">
      <c r="A1850" s="8"/>
      <c r="B1850" s="8"/>
      <c r="C1850" s="8"/>
      <c r="D1850" s="8"/>
      <c r="E1850" s="10">
        <f>IFERROR(VLOOKUP(C1850,'Inventory Master'!$A$3:$L$300,5,FALSE),0)</f>
      </c>
      <c r="F1850" s="10">
        <f>D1850*E1850</f>
      </c>
      <c r="G1850" s="8"/>
    </row>
    <row r="1851" ht="21" customHeight="1" spans="1:7" x14ac:dyDescent="0.25">
      <c r="A1851" s="8"/>
      <c r="B1851" s="8"/>
      <c r="C1851" s="8"/>
      <c r="D1851" s="8"/>
      <c r="E1851" s="10">
        <f>IFERROR(VLOOKUP(C1851,'Inventory Master'!$A$3:$L$300,5,FALSE),0)</f>
      </c>
      <c r="F1851" s="10">
        <f>D1851*E1851</f>
      </c>
      <c r="G1851" s="8"/>
    </row>
    <row r="1852" ht="21" customHeight="1" spans="1:7" x14ac:dyDescent="0.25">
      <c r="A1852" s="8"/>
      <c r="B1852" s="8"/>
      <c r="C1852" s="8"/>
      <c r="D1852" s="8"/>
      <c r="E1852" s="10">
        <f>IFERROR(VLOOKUP(C1852,'Inventory Master'!$A$3:$L$300,5,FALSE),0)</f>
      </c>
      <c r="F1852" s="10">
        <f>D1852*E1852</f>
      </c>
      <c r="G1852" s="8"/>
    </row>
    <row r="1853" ht="21" customHeight="1" spans="1:7" x14ac:dyDescent="0.25">
      <c r="A1853" s="8"/>
      <c r="B1853" s="8"/>
      <c r="C1853" s="8"/>
      <c r="D1853" s="8"/>
      <c r="E1853" s="10">
        <f>IFERROR(VLOOKUP(C1853,'Inventory Master'!$A$3:$L$300,5,FALSE),0)</f>
      </c>
      <c r="F1853" s="10">
        <f>D1853*E1853</f>
      </c>
      <c r="G1853" s="8"/>
    </row>
    <row r="1854" ht="21" customHeight="1" spans="1:7" x14ac:dyDescent="0.25">
      <c r="A1854" s="8"/>
      <c r="B1854" s="8"/>
      <c r="C1854" s="8"/>
      <c r="D1854" s="8"/>
      <c r="E1854" s="10">
        <f>IFERROR(VLOOKUP(C1854,'Inventory Master'!$A$3:$L$300,5,FALSE),0)</f>
      </c>
      <c r="F1854" s="10">
        <f>D1854*E1854</f>
      </c>
      <c r="G1854" s="8"/>
    </row>
    <row r="1855" ht="21" customHeight="1" spans="1:7" x14ac:dyDescent="0.25">
      <c r="A1855" s="8"/>
      <c r="B1855" s="8"/>
      <c r="C1855" s="8"/>
      <c r="D1855" s="8"/>
      <c r="E1855" s="10">
        <f>IFERROR(VLOOKUP(C1855,'Inventory Master'!$A$3:$L$300,5,FALSE),0)</f>
      </c>
      <c r="F1855" s="10">
        <f>D1855*E1855</f>
      </c>
      <c r="G1855" s="8"/>
    </row>
    <row r="1856" ht="21" customHeight="1" spans="1:7" x14ac:dyDescent="0.25">
      <c r="A1856" s="8"/>
      <c r="B1856" s="8"/>
      <c r="C1856" s="8"/>
      <c r="D1856" s="8"/>
      <c r="E1856" s="10">
        <f>IFERROR(VLOOKUP(C1856,'Inventory Master'!$A$3:$L$300,5,FALSE),0)</f>
      </c>
      <c r="F1856" s="10">
        <f>D1856*E1856</f>
      </c>
      <c r="G1856" s="8"/>
    </row>
    <row r="1857" ht="21" customHeight="1" spans="1:7" x14ac:dyDescent="0.25">
      <c r="A1857" s="8"/>
      <c r="B1857" s="8"/>
      <c r="C1857" s="8"/>
      <c r="D1857" s="8"/>
      <c r="E1857" s="10">
        <f>IFERROR(VLOOKUP(C1857,'Inventory Master'!$A$3:$L$300,5,FALSE),0)</f>
      </c>
      <c r="F1857" s="10">
        <f>D1857*E1857</f>
      </c>
      <c r="G1857" s="8"/>
    </row>
    <row r="1858" ht="21" customHeight="1" spans="1:7" x14ac:dyDescent="0.25">
      <c r="A1858" s="8"/>
      <c r="B1858" s="8"/>
      <c r="C1858" s="8"/>
      <c r="D1858" s="8"/>
      <c r="E1858" s="10">
        <f>IFERROR(VLOOKUP(C1858,'Inventory Master'!$A$3:$L$300,5,FALSE),0)</f>
      </c>
      <c r="F1858" s="10">
        <f>D1858*E1858</f>
      </c>
      <c r="G1858" s="8"/>
    </row>
    <row r="1859" ht="21" customHeight="1" spans="1:7" x14ac:dyDescent="0.25">
      <c r="A1859" s="8"/>
      <c r="B1859" s="8"/>
      <c r="C1859" s="8"/>
      <c r="D1859" s="8"/>
      <c r="E1859" s="10">
        <f>IFERROR(VLOOKUP(C1859,'Inventory Master'!$A$3:$L$300,5,FALSE),0)</f>
      </c>
      <c r="F1859" s="10">
        <f>D1859*E1859</f>
      </c>
      <c r="G1859" s="8"/>
    </row>
    <row r="1860" ht="21" customHeight="1" spans="1:7" x14ac:dyDescent="0.25">
      <c r="A1860" s="8"/>
      <c r="B1860" s="8"/>
      <c r="C1860" s="8"/>
      <c r="D1860" s="8"/>
      <c r="E1860" s="10">
        <f>IFERROR(VLOOKUP(C1860,'Inventory Master'!$A$3:$L$300,5,FALSE),0)</f>
      </c>
      <c r="F1860" s="10">
        <f>D1860*E1860</f>
      </c>
      <c r="G1860" s="8"/>
    </row>
    <row r="1861" ht="21" customHeight="1" spans="1:7" x14ac:dyDescent="0.25">
      <c r="A1861" s="8"/>
      <c r="B1861" s="8"/>
      <c r="C1861" s="8"/>
      <c r="D1861" s="8"/>
      <c r="E1861" s="10">
        <f>IFERROR(VLOOKUP(C1861,'Inventory Master'!$A$3:$L$300,5,FALSE),0)</f>
      </c>
      <c r="F1861" s="10">
        <f>D1861*E1861</f>
      </c>
      <c r="G1861" s="8"/>
    </row>
    <row r="1862" ht="21" customHeight="1" spans="1:7" x14ac:dyDescent="0.25">
      <c r="A1862" s="8"/>
      <c r="B1862" s="8"/>
      <c r="C1862" s="8"/>
      <c r="D1862" s="8"/>
      <c r="E1862" s="10">
        <f>IFERROR(VLOOKUP(C1862,'Inventory Master'!$A$3:$L$300,5,FALSE),0)</f>
      </c>
      <c r="F1862" s="10">
        <f>D1862*E1862</f>
      </c>
      <c r="G1862" s="8"/>
    </row>
    <row r="1863" ht="21" customHeight="1" spans="1:7" x14ac:dyDescent="0.25">
      <c r="A1863" s="8"/>
      <c r="B1863" s="8"/>
      <c r="C1863" s="8"/>
      <c r="D1863" s="8"/>
      <c r="E1863" s="10">
        <f>IFERROR(VLOOKUP(C1863,'Inventory Master'!$A$3:$L$300,5,FALSE),0)</f>
      </c>
      <c r="F1863" s="10">
        <f>D1863*E1863</f>
      </c>
      <c r="G1863" s="8"/>
    </row>
    <row r="1864" ht="21" customHeight="1" spans="1:7" x14ac:dyDescent="0.25">
      <c r="A1864" s="8"/>
      <c r="B1864" s="8"/>
      <c r="C1864" s="8"/>
      <c r="D1864" s="8"/>
      <c r="E1864" s="10">
        <f>IFERROR(VLOOKUP(C1864,'Inventory Master'!$A$3:$L$300,5,FALSE),0)</f>
      </c>
      <c r="F1864" s="10">
        <f>D1864*E1864</f>
      </c>
      <c r="G1864" s="8"/>
    </row>
    <row r="1865" ht="21" customHeight="1" spans="1:7" x14ac:dyDescent="0.25">
      <c r="A1865" s="8"/>
      <c r="B1865" s="8"/>
      <c r="C1865" s="8"/>
      <c r="D1865" s="8"/>
      <c r="E1865" s="10">
        <f>IFERROR(VLOOKUP(C1865,'Inventory Master'!$A$3:$L$300,5,FALSE),0)</f>
      </c>
      <c r="F1865" s="10">
        <f>D1865*E1865</f>
      </c>
      <c r="G1865" s="8"/>
    </row>
    <row r="1866" ht="21" customHeight="1" spans="1:7" x14ac:dyDescent="0.25">
      <c r="A1866" s="8"/>
      <c r="B1866" s="8"/>
      <c r="C1866" s="8"/>
      <c r="D1866" s="8"/>
      <c r="E1866" s="10">
        <f>IFERROR(VLOOKUP(C1866,'Inventory Master'!$A$3:$L$300,5,FALSE),0)</f>
      </c>
      <c r="F1866" s="10">
        <f>D1866*E1866</f>
      </c>
      <c r="G1866" s="8"/>
    </row>
    <row r="1867" ht="21" customHeight="1" spans="1:7" x14ac:dyDescent="0.25">
      <c r="A1867" s="8"/>
      <c r="B1867" s="8"/>
      <c r="C1867" s="8"/>
      <c r="D1867" s="8"/>
      <c r="E1867" s="10">
        <f>IFERROR(VLOOKUP(C1867,'Inventory Master'!$A$3:$L$300,5,FALSE),0)</f>
      </c>
      <c r="F1867" s="10">
        <f>D1867*E1867</f>
      </c>
      <c r="G1867" s="8"/>
    </row>
    <row r="1868" ht="21" customHeight="1" spans="1:7" x14ac:dyDescent="0.25">
      <c r="A1868" s="8"/>
      <c r="B1868" s="8"/>
      <c r="C1868" s="8"/>
      <c r="D1868" s="8"/>
      <c r="E1868" s="10">
        <f>IFERROR(VLOOKUP(C1868,'Inventory Master'!$A$3:$L$300,5,FALSE),0)</f>
      </c>
      <c r="F1868" s="10">
        <f>D1868*E1868</f>
      </c>
      <c r="G1868" s="8"/>
    </row>
    <row r="1869" ht="21" customHeight="1" spans="1:7" x14ac:dyDescent="0.25">
      <c r="A1869" s="8"/>
      <c r="B1869" s="8"/>
      <c r="C1869" s="8"/>
      <c r="D1869" s="8"/>
      <c r="E1869" s="10">
        <f>IFERROR(VLOOKUP(C1869,'Inventory Master'!$A$3:$L$300,5,FALSE),0)</f>
      </c>
      <c r="F1869" s="10">
        <f>D1869*E1869</f>
      </c>
      <c r="G1869" s="8"/>
    </row>
    <row r="1870" ht="21" customHeight="1" spans="1:7" x14ac:dyDescent="0.25">
      <c r="A1870" s="8"/>
      <c r="B1870" s="8"/>
      <c r="C1870" s="8"/>
      <c r="D1870" s="8"/>
      <c r="E1870" s="10">
        <f>IFERROR(VLOOKUP(C1870,'Inventory Master'!$A$3:$L$300,5,FALSE),0)</f>
      </c>
      <c r="F1870" s="10">
        <f>D1870*E1870</f>
      </c>
      <c r="G1870" s="8"/>
    </row>
    <row r="1871" ht="21" customHeight="1" spans="1:7" x14ac:dyDescent="0.25">
      <c r="A1871" s="8"/>
      <c r="B1871" s="8"/>
      <c r="C1871" s="8"/>
      <c r="D1871" s="8"/>
      <c r="E1871" s="10">
        <f>IFERROR(VLOOKUP(C1871,'Inventory Master'!$A$3:$L$300,5,FALSE),0)</f>
      </c>
      <c r="F1871" s="10">
        <f>D1871*E1871</f>
      </c>
      <c r="G1871" s="8"/>
    </row>
    <row r="1872" ht="21" customHeight="1" spans="1:7" x14ac:dyDescent="0.25">
      <c r="A1872" s="8"/>
      <c r="B1872" s="8"/>
      <c r="C1872" s="8"/>
      <c r="D1872" s="8"/>
      <c r="E1872" s="10">
        <f>IFERROR(VLOOKUP(C1872,'Inventory Master'!$A$3:$L$300,5,FALSE),0)</f>
      </c>
      <c r="F1872" s="10">
        <f>D1872*E1872</f>
      </c>
      <c r="G1872" s="8"/>
    </row>
    <row r="1873" ht="21" customHeight="1" spans="1:7" x14ac:dyDescent="0.25">
      <c r="A1873" s="8"/>
      <c r="B1873" s="8"/>
      <c r="C1873" s="8"/>
      <c r="D1873" s="8"/>
      <c r="E1873" s="10">
        <f>IFERROR(VLOOKUP(C1873,'Inventory Master'!$A$3:$L$300,5,FALSE),0)</f>
      </c>
      <c r="F1873" s="10">
        <f>D1873*E1873</f>
      </c>
      <c r="G1873" s="8"/>
    </row>
    <row r="1874" ht="21" customHeight="1" spans="1:7" x14ac:dyDescent="0.25">
      <c r="A1874" s="8"/>
      <c r="B1874" s="8"/>
      <c r="C1874" s="8"/>
      <c r="D1874" s="8"/>
      <c r="E1874" s="10">
        <f>IFERROR(VLOOKUP(C1874,'Inventory Master'!$A$3:$L$300,5,FALSE),0)</f>
      </c>
      <c r="F1874" s="10">
        <f>D1874*E1874</f>
      </c>
      <c r="G1874" s="8"/>
    </row>
    <row r="1875" ht="21" customHeight="1" spans="1:7" x14ac:dyDescent="0.25">
      <c r="A1875" s="8"/>
      <c r="B1875" s="8"/>
      <c r="C1875" s="8"/>
      <c r="D1875" s="8"/>
      <c r="E1875" s="10">
        <f>IFERROR(VLOOKUP(C1875,'Inventory Master'!$A$3:$L$300,5,FALSE),0)</f>
      </c>
      <c r="F1875" s="10">
        <f>D1875*E1875</f>
      </c>
      <c r="G1875" s="8"/>
    </row>
    <row r="1876" ht="21" customHeight="1" spans="1:7" x14ac:dyDescent="0.25">
      <c r="A1876" s="8"/>
      <c r="B1876" s="8"/>
      <c r="C1876" s="8"/>
      <c r="D1876" s="8"/>
      <c r="E1876" s="10">
        <f>IFERROR(VLOOKUP(C1876,'Inventory Master'!$A$3:$L$300,5,FALSE),0)</f>
      </c>
      <c r="F1876" s="10">
        <f>D1876*E1876</f>
      </c>
      <c r="G1876" s="8"/>
    </row>
    <row r="1877" ht="21" customHeight="1" spans="1:7" x14ac:dyDescent="0.25">
      <c r="A1877" s="8"/>
      <c r="B1877" s="8"/>
      <c r="C1877" s="8"/>
      <c r="D1877" s="8"/>
      <c r="E1877" s="10">
        <f>IFERROR(VLOOKUP(C1877,'Inventory Master'!$A$3:$L$300,5,FALSE),0)</f>
      </c>
      <c r="F1877" s="10">
        <f>D1877*E1877</f>
      </c>
      <c r="G1877" s="8"/>
    </row>
    <row r="1878" ht="21" customHeight="1" spans="1:7" x14ac:dyDescent="0.25">
      <c r="A1878" s="8"/>
      <c r="B1878" s="8"/>
      <c r="C1878" s="8"/>
      <c r="D1878" s="8"/>
      <c r="E1878" s="10">
        <f>IFERROR(VLOOKUP(C1878,'Inventory Master'!$A$3:$L$300,5,FALSE),0)</f>
      </c>
      <c r="F1878" s="10">
        <f>D1878*E1878</f>
      </c>
      <c r="G1878" s="8"/>
    </row>
    <row r="1879" ht="21" customHeight="1" spans="1:7" x14ac:dyDescent="0.25">
      <c r="A1879" s="8"/>
      <c r="B1879" s="8"/>
      <c r="C1879" s="8"/>
      <c r="D1879" s="8"/>
      <c r="E1879" s="10">
        <f>IFERROR(VLOOKUP(C1879,'Inventory Master'!$A$3:$L$300,5,FALSE),0)</f>
      </c>
      <c r="F1879" s="10">
        <f>D1879*E1879</f>
      </c>
      <c r="G1879" s="8"/>
    </row>
    <row r="1880" ht="21" customHeight="1" spans="1:7" x14ac:dyDescent="0.25">
      <c r="A1880" s="8"/>
      <c r="B1880" s="8"/>
      <c r="C1880" s="8"/>
      <c r="D1880" s="8"/>
      <c r="E1880" s="10">
        <f>IFERROR(VLOOKUP(C1880,'Inventory Master'!$A$3:$L$300,5,FALSE),0)</f>
      </c>
      <c r="F1880" s="10">
        <f>D1880*E1880</f>
      </c>
      <c r="G1880" s="8"/>
    </row>
    <row r="1881" ht="21" customHeight="1" spans="1:7" x14ac:dyDescent="0.25">
      <c r="A1881" s="8"/>
      <c r="B1881" s="8"/>
      <c r="C1881" s="8"/>
      <c r="D1881" s="8"/>
      <c r="E1881" s="10">
        <f>IFERROR(VLOOKUP(C1881,'Inventory Master'!$A$3:$L$300,5,FALSE),0)</f>
      </c>
      <c r="F1881" s="10">
        <f>D1881*E1881</f>
      </c>
      <c r="G1881" s="8"/>
    </row>
    <row r="1882" ht="21" customHeight="1" spans="1:7" x14ac:dyDescent="0.25">
      <c r="A1882" s="8"/>
      <c r="B1882" s="8"/>
      <c r="C1882" s="8"/>
      <c r="D1882" s="8"/>
      <c r="E1882" s="10">
        <f>IFERROR(VLOOKUP(C1882,'Inventory Master'!$A$3:$L$300,5,FALSE),0)</f>
      </c>
      <c r="F1882" s="10">
        <f>D1882*E1882</f>
      </c>
      <c r="G1882" s="8"/>
    </row>
    <row r="1883" ht="21" customHeight="1" spans="1:7" x14ac:dyDescent="0.25">
      <c r="A1883" s="8"/>
      <c r="B1883" s="8"/>
      <c r="C1883" s="8"/>
      <c r="D1883" s="8"/>
      <c r="E1883" s="10">
        <f>IFERROR(VLOOKUP(C1883,'Inventory Master'!$A$3:$L$300,5,FALSE),0)</f>
      </c>
      <c r="F1883" s="10">
        <f>D1883*E1883</f>
      </c>
      <c r="G1883" s="8"/>
    </row>
    <row r="1884" ht="21" customHeight="1" spans="1:7" x14ac:dyDescent="0.25">
      <c r="A1884" s="8"/>
      <c r="B1884" s="8"/>
      <c r="C1884" s="8"/>
      <c r="D1884" s="8"/>
      <c r="E1884" s="10">
        <f>IFERROR(VLOOKUP(C1884,'Inventory Master'!$A$3:$L$300,5,FALSE),0)</f>
      </c>
      <c r="F1884" s="10">
        <f>D1884*E1884</f>
      </c>
      <c r="G1884" s="8"/>
    </row>
    <row r="1885" ht="21" customHeight="1" spans="1:7" x14ac:dyDescent="0.25">
      <c r="A1885" s="8"/>
      <c r="B1885" s="8"/>
      <c r="C1885" s="8"/>
      <c r="D1885" s="8"/>
      <c r="E1885" s="10">
        <f>IFERROR(VLOOKUP(C1885,'Inventory Master'!$A$3:$L$300,5,FALSE),0)</f>
      </c>
      <c r="F1885" s="10">
        <f>D1885*E1885</f>
      </c>
      <c r="G1885" s="8"/>
    </row>
    <row r="1886" ht="21" customHeight="1" spans="1:7" x14ac:dyDescent="0.25">
      <c r="A1886" s="8"/>
      <c r="B1886" s="8"/>
      <c r="C1886" s="8"/>
      <c r="D1886" s="8"/>
      <c r="E1886" s="10">
        <f>IFERROR(VLOOKUP(C1886,'Inventory Master'!$A$3:$L$300,5,FALSE),0)</f>
      </c>
      <c r="F1886" s="10">
        <f>D1886*E1886</f>
      </c>
      <c r="G1886" s="8"/>
    </row>
    <row r="1887" ht="21" customHeight="1" spans="1:7" x14ac:dyDescent="0.25">
      <c r="A1887" s="8"/>
      <c r="B1887" s="8"/>
      <c r="C1887" s="8"/>
      <c r="D1887" s="8"/>
      <c r="E1887" s="10">
        <f>IFERROR(VLOOKUP(C1887,'Inventory Master'!$A$3:$L$300,5,FALSE),0)</f>
      </c>
      <c r="F1887" s="10">
        <f>D1887*E1887</f>
      </c>
      <c r="G1887" s="8"/>
    </row>
    <row r="1888" ht="21" customHeight="1" spans="1:7" x14ac:dyDescent="0.25">
      <c r="A1888" s="8"/>
      <c r="B1888" s="8"/>
      <c r="C1888" s="8"/>
      <c r="D1888" s="8"/>
      <c r="E1888" s="10">
        <f>IFERROR(VLOOKUP(C1888,'Inventory Master'!$A$3:$L$300,5,FALSE),0)</f>
      </c>
      <c r="F1888" s="10">
        <f>D1888*E1888</f>
      </c>
      <c r="G1888" s="8"/>
    </row>
    <row r="1889" ht="21" customHeight="1" spans="1:7" x14ac:dyDescent="0.25">
      <c r="A1889" s="8"/>
      <c r="B1889" s="8"/>
      <c r="C1889" s="8"/>
      <c r="D1889" s="8"/>
      <c r="E1889" s="10">
        <f>IFERROR(VLOOKUP(C1889,'Inventory Master'!$A$3:$L$300,5,FALSE),0)</f>
      </c>
      <c r="F1889" s="10">
        <f>D1889*E1889</f>
      </c>
      <c r="G1889" s="8"/>
    </row>
    <row r="1890" ht="21" customHeight="1" spans="1:7" x14ac:dyDescent="0.25">
      <c r="A1890" s="8"/>
      <c r="B1890" s="8"/>
      <c r="C1890" s="8"/>
      <c r="D1890" s="8"/>
      <c r="E1890" s="10">
        <f>IFERROR(VLOOKUP(C1890,'Inventory Master'!$A$3:$L$300,5,FALSE),0)</f>
      </c>
      <c r="F1890" s="10">
        <f>D1890*E1890</f>
      </c>
      <c r="G1890" s="8"/>
    </row>
    <row r="1891" ht="21" customHeight="1" spans="1:7" x14ac:dyDescent="0.25">
      <c r="A1891" s="8"/>
      <c r="B1891" s="8"/>
      <c r="C1891" s="8"/>
      <c r="D1891" s="8"/>
      <c r="E1891" s="10">
        <f>IFERROR(VLOOKUP(C1891,'Inventory Master'!$A$3:$L$300,5,FALSE),0)</f>
      </c>
      <c r="F1891" s="10">
        <f>D1891*E1891</f>
      </c>
      <c r="G1891" s="8"/>
    </row>
    <row r="1892" ht="21" customHeight="1" spans="1:7" x14ac:dyDescent="0.25">
      <c r="A1892" s="8"/>
      <c r="B1892" s="8"/>
      <c r="C1892" s="8"/>
      <c r="D1892" s="8"/>
      <c r="E1892" s="10">
        <f>IFERROR(VLOOKUP(C1892,'Inventory Master'!$A$3:$L$300,5,FALSE),0)</f>
      </c>
      <c r="F1892" s="10">
        <f>D1892*E1892</f>
      </c>
      <c r="G1892" s="8"/>
    </row>
    <row r="1893" ht="21" customHeight="1" spans="1:7" x14ac:dyDescent="0.25">
      <c r="A1893" s="8"/>
      <c r="B1893" s="8"/>
      <c r="C1893" s="8"/>
      <c r="D1893" s="8"/>
      <c r="E1893" s="10">
        <f>IFERROR(VLOOKUP(C1893,'Inventory Master'!$A$3:$L$300,5,FALSE),0)</f>
      </c>
      <c r="F1893" s="10">
        <f>D1893*E1893</f>
      </c>
      <c r="G1893" s="8"/>
    </row>
    <row r="1894" ht="21" customHeight="1" spans="1:7" x14ac:dyDescent="0.25">
      <c r="A1894" s="8"/>
      <c r="B1894" s="8"/>
      <c r="C1894" s="8"/>
      <c r="D1894" s="8"/>
      <c r="E1894" s="10">
        <f>IFERROR(VLOOKUP(C1894,'Inventory Master'!$A$3:$L$300,5,FALSE),0)</f>
      </c>
      <c r="F1894" s="10">
        <f>D1894*E1894</f>
      </c>
      <c r="G1894" s="8"/>
    </row>
    <row r="1895" ht="21" customHeight="1" spans="1:7" x14ac:dyDescent="0.25">
      <c r="A1895" s="8"/>
      <c r="B1895" s="8"/>
      <c r="C1895" s="8"/>
      <c r="D1895" s="8"/>
      <c r="E1895" s="10">
        <f>IFERROR(VLOOKUP(C1895,'Inventory Master'!$A$3:$L$300,5,FALSE),0)</f>
      </c>
      <c r="F1895" s="10">
        <f>D1895*E1895</f>
      </c>
      <c r="G1895" s="8"/>
    </row>
    <row r="1896" ht="21" customHeight="1" spans="1:7" x14ac:dyDescent="0.25">
      <c r="A1896" s="8"/>
      <c r="B1896" s="8"/>
      <c r="C1896" s="8"/>
      <c r="D1896" s="8"/>
      <c r="E1896" s="10">
        <f>IFERROR(VLOOKUP(C1896,'Inventory Master'!$A$3:$L$300,5,FALSE),0)</f>
      </c>
      <c r="F1896" s="10">
        <f>D1896*E1896</f>
      </c>
      <c r="G1896" s="8"/>
    </row>
    <row r="1897" ht="21" customHeight="1" spans="1:7" x14ac:dyDescent="0.25">
      <c r="A1897" s="8"/>
      <c r="B1897" s="8"/>
      <c r="C1897" s="8"/>
      <c r="D1897" s="8"/>
      <c r="E1897" s="10">
        <f>IFERROR(VLOOKUP(C1897,'Inventory Master'!$A$3:$L$300,5,FALSE),0)</f>
      </c>
      <c r="F1897" s="10">
        <f>D1897*E1897</f>
      </c>
      <c r="G1897" s="8"/>
    </row>
    <row r="1898" ht="21" customHeight="1" spans="1:7" x14ac:dyDescent="0.25">
      <c r="A1898" s="8"/>
      <c r="B1898" s="8"/>
      <c r="C1898" s="8"/>
      <c r="D1898" s="8"/>
      <c r="E1898" s="10">
        <f>IFERROR(VLOOKUP(C1898,'Inventory Master'!$A$3:$L$300,5,FALSE),0)</f>
      </c>
      <c r="F1898" s="10">
        <f>D1898*E1898</f>
      </c>
      <c r="G1898" s="8"/>
    </row>
    <row r="1899" ht="21" customHeight="1" spans="1:7" x14ac:dyDescent="0.25">
      <c r="A1899" s="8"/>
      <c r="B1899" s="8"/>
      <c r="C1899" s="8"/>
      <c r="D1899" s="8"/>
      <c r="E1899" s="10">
        <f>IFERROR(VLOOKUP(C1899,'Inventory Master'!$A$3:$L$300,5,FALSE),0)</f>
      </c>
      <c r="F1899" s="10">
        <f>D1899*E1899</f>
      </c>
      <c r="G1899" s="8"/>
    </row>
    <row r="1900" ht="21" customHeight="1" spans="1:7" x14ac:dyDescent="0.25">
      <c r="A1900" s="8"/>
      <c r="B1900" s="8"/>
      <c r="C1900" s="8"/>
      <c r="D1900" s="8"/>
      <c r="E1900" s="10">
        <f>IFERROR(VLOOKUP(C1900,'Inventory Master'!$A$3:$L$300,5,FALSE),0)</f>
      </c>
      <c r="F1900" s="10">
        <f>D1900*E1900</f>
      </c>
      <c r="G1900" s="8"/>
    </row>
    <row r="1901" ht="21" customHeight="1" spans="1:7" x14ac:dyDescent="0.25">
      <c r="A1901" s="8"/>
      <c r="B1901" s="8"/>
      <c r="C1901" s="8"/>
      <c r="D1901" s="8"/>
      <c r="E1901" s="10">
        <f>IFERROR(VLOOKUP(C1901,'Inventory Master'!$A$3:$L$300,5,FALSE),0)</f>
      </c>
      <c r="F1901" s="10">
        <f>D1901*E1901</f>
      </c>
      <c r="G1901" s="8"/>
    </row>
    <row r="1902" ht="21" customHeight="1" spans="1:7" x14ac:dyDescent="0.25">
      <c r="A1902" s="8"/>
      <c r="B1902" s="8"/>
      <c r="C1902" s="8"/>
      <c r="D1902" s="8"/>
      <c r="E1902" s="10">
        <f>IFERROR(VLOOKUP(C1902,'Inventory Master'!$A$3:$L$300,5,FALSE),0)</f>
      </c>
      <c r="F1902" s="10">
        <f>D1902*E1902</f>
      </c>
      <c r="G1902" s="8"/>
    </row>
    <row r="1903" ht="21" customHeight="1" spans="1:7" x14ac:dyDescent="0.25">
      <c r="A1903" s="8"/>
      <c r="B1903" s="8"/>
      <c r="C1903" s="8"/>
      <c r="D1903" s="8"/>
      <c r="E1903" s="10">
        <f>IFERROR(VLOOKUP(C1903,'Inventory Master'!$A$3:$L$300,5,FALSE),0)</f>
      </c>
      <c r="F1903" s="10">
        <f>D1903*E1903</f>
      </c>
      <c r="G1903" s="8"/>
    </row>
    <row r="1904" ht="21" customHeight="1" spans="1:7" x14ac:dyDescent="0.25">
      <c r="A1904" s="8"/>
      <c r="B1904" s="8"/>
      <c r="C1904" s="8"/>
      <c r="D1904" s="8"/>
      <c r="E1904" s="10">
        <f>IFERROR(VLOOKUP(C1904,'Inventory Master'!$A$3:$L$300,5,FALSE),0)</f>
      </c>
      <c r="F1904" s="10">
        <f>D1904*E1904</f>
      </c>
      <c r="G1904" s="8"/>
    </row>
    <row r="1905" ht="21" customHeight="1" spans="1:7" x14ac:dyDescent="0.25">
      <c r="A1905" s="8"/>
      <c r="B1905" s="8"/>
      <c r="C1905" s="8"/>
      <c r="D1905" s="8"/>
      <c r="E1905" s="10">
        <f>IFERROR(VLOOKUP(C1905,'Inventory Master'!$A$3:$L$300,5,FALSE),0)</f>
      </c>
      <c r="F1905" s="10">
        <f>D1905*E1905</f>
      </c>
      <c r="G1905" s="8"/>
    </row>
    <row r="1906" ht="21" customHeight="1" spans="1:7" x14ac:dyDescent="0.25">
      <c r="A1906" s="8"/>
      <c r="B1906" s="8"/>
      <c r="C1906" s="8"/>
      <c r="D1906" s="8"/>
      <c r="E1906" s="10">
        <f>IFERROR(VLOOKUP(C1906,'Inventory Master'!$A$3:$L$300,5,FALSE),0)</f>
      </c>
      <c r="F1906" s="10">
        <f>D1906*E1906</f>
      </c>
      <c r="G1906" s="8"/>
    </row>
    <row r="1907" ht="21" customHeight="1" spans="1:7" x14ac:dyDescent="0.25">
      <c r="A1907" s="8"/>
      <c r="B1907" s="8"/>
      <c r="C1907" s="8"/>
      <c r="D1907" s="8"/>
      <c r="E1907" s="10">
        <f>IFERROR(VLOOKUP(C1907,'Inventory Master'!$A$3:$L$300,5,FALSE),0)</f>
      </c>
      <c r="F1907" s="10">
        <f>D1907*E1907</f>
      </c>
      <c r="G1907" s="8"/>
    </row>
    <row r="1908" ht="21" customHeight="1" spans="1:7" x14ac:dyDescent="0.25">
      <c r="A1908" s="8"/>
      <c r="B1908" s="8"/>
      <c r="C1908" s="8"/>
      <c r="D1908" s="8"/>
      <c r="E1908" s="10">
        <f>IFERROR(VLOOKUP(C1908,'Inventory Master'!$A$3:$L$300,5,FALSE),0)</f>
      </c>
      <c r="F1908" s="10">
        <f>D1908*E1908</f>
      </c>
      <c r="G1908" s="8"/>
    </row>
    <row r="1909" ht="21" customHeight="1" spans="1:7" x14ac:dyDescent="0.25">
      <c r="A1909" s="8"/>
      <c r="B1909" s="8"/>
      <c r="C1909" s="8"/>
      <c r="D1909" s="8"/>
      <c r="E1909" s="10">
        <f>IFERROR(VLOOKUP(C1909,'Inventory Master'!$A$3:$L$300,5,FALSE),0)</f>
      </c>
      <c r="F1909" s="10">
        <f>D1909*E1909</f>
      </c>
      <c r="G1909" s="8"/>
    </row>
    <row r="1910" ht="21" customHeight="1" spans="1:7" x14ac:dyDescent="0.25">
      <c r="A1910" s="8"/>
      <c r="B1910" s="8"/>
      <c r="C1910" s="8"/>
      <c r="D1910" s="8"/>
      <c r="E1910" s="10">
        <f>IFERROR(VLOOKUP(C1910,'Inventory Master'!$A$3:$L$300,5,FALSE),0)</f>
      </c>
      <c r="F1910" s="10">
        <f>D1910*E1910</f>
      </c>
      <c r="G1910" s="8"/>
    </row>
    <row r="1911" ht="21" customHeight="1" spans="1:7" x14ac:dyDescent="0.25">
      <c r="A1911" s="8"/>
      <c r="B1911" s="8"/>
      <c r="C1911" s="8"/>
      <c r="D1911" s="8"/>
      <c r="E1911" s="10">
        <f>IFERROR(VLOOKUP(C1911,'Inventory Master'!$A$3:$L$300,5,FALSE),0)</f>
      </c>
      <c r="F1911" s="10">
        <f>D1911*E1911</f>
      </c>
      <c r="G1911" s="8"/>
    </row>
    <row r="1912" ht="21" customHeight="1" spans="1:7" x14ac:dyDescent="0.25">
      <c r="A1912" s="8"/>
      <c r="B1912" s="8"/>
      <c r="C1912" s="8"/>
      <c r="D1912" s="8"/>
      <c r="E1912" s="10">
        <f>IFERROR(VLOOKUP(C1912,'Inventory Master'!$A$3:$L$300,5,FALSE),0)</f>
      </c>
      <c r="F1912" s="10">
        <f>D1912*E1912</f>
      </c>
      <c r="G1912" s="8"/>
    </row>
    <row r="1913" ht="21" customHeight="1" spans="1:7" x14ac:dyDescent="0.25">
      <c r="A1913" s="8"/>
      <c r="B1913" s="8"/>
      <c r="C1913" s="8"/>
      <c r="D1913" s="8"/>
      <c r="E1913" s="10">
        <f>IFERROR(VLOOKUP(C1913,'Inventory Master'!$A$3:$L$300,5,FALSE),0)</f>
      </c>
      <c r="F1913" s="10">
        <f>D1913*E1913</f>
      </c>
      <c r="G1913" s="8"/>
    </row>
    <row r="1914" ht="21" customHeight="1" spans="1:7" x14ac:dyDescent="0.25">
      <c r="A1914" s="8"/>
      <c r="B1914" s="8"/>
      <c r="C1914" s="8"/>
      <c r="D1914" s="8"/>
      <c r="E1914" s="10">
        <f>IFERROR(VLOOKUP(C1914,'Inventory Master'!$A$3:$L$300,5,FALSE),0)</f>
      </c>
      <c r="F1914" s="10">
        <f>D1914*E1914</f>
      </c>
      <c r="G1914" s="8"/>
    </row>
    <row r="1915" ht="21" customHeight="1" spans="1:7" x14ac:dyDescent="0.25">
      <c r="A1915" s="8"/>
      <c r="B1915" s="8"/>
      <c r="C1915" s="8"/>
      <c r="D1915" s="8"/>
      <c r="E1915" s="10">
        <f>IFERROR(VLOOKUP(C1915,'Inventory Master'!$A$3:$L$300,5,FALSE),0)</f>
      </c>
      <c r="F1915" s="10">
        <f>D1915*E1915</f>
      </c>
      <c r="G1915" s="8"/>
    </row>
    <row r="1916" ht="21" customHeight="1" spans="1:7" x14ac:dyDescent="0.25">
      <c r="A1916" s="8"/>
      <c r="B1916" s="8"/>
      <c r="C1916" s="8"/>
      <c r="D1916" s="8"/>
      <c r="E1916" s="10">
        <f>IFERROR(VLOOKUP(C1916,'Inventory Master'!$A$3:$L$300,5,FALSE),0)</f>
      </c>
      <c r="F1916" s="10">
        <f>D1916*E1916</f>
      </c>
      <c r="G1916" s="8"/>
    </row>
    <row r="1917" ht="21" customHeight="1" spans="1:7" x14ac:dyDescent="0.25">
      <c r="A1917" s="8"/>
      <c r="B1917" s="8"/>
      <c r="C1917" s="8"/>
      <c r="D1917" s="8"/>
      <c r="E1917" s="10">
        <f>IFERROR(VLOOKUP(C1917,'Inventory Master'!$A$3:$L$300,5,FALSE),0)</f>
      </c>
      <c r="F1917" s="10">
        <f>D1917*E1917</f>
      </c>
      <c r="G1917" s="8"/>
    </row>
    <row r="1918" ht="21" customHeight="1" spans="1:7" x14ac:dyDescent="0.25">
      <c r="A1918" s="8"/>
      <c r="B1918" s="8"/>
      <c r="C1918" s="8"/>
      <c r="D1918" s="8"/>
      <c r="E1918" s="10">
        <f>IFERROR(VLOOKUP(C1918,'Inventory Master'!$A$3:$L$300,5,FALSE),0)</f>
      </c>
      <c r="F1918" s="10">
        <f>D1918*E1918</f>
      </c>
      <c r="G1918" s="8"/>
    </row>
    <row r="1919" ht="21" customHeight="1" spans="1:7" x14ac:dyDescent="0.25">
      <c r="A1919" s="8"/>
      <c r="B1919" s="8"/>
      <c r="C1919" s="8"/>
      <c r="D1919" s="8"/>
      <c r="E1919" s="10">
        <f>IFERROR(VLOOKUP(C1919,'Inventory Master'!$A$3:$L$300,5,FALSE),0)</f>
      </c>
      <c r="F1919" s="10">
        <f>D1919*E1919</f>
      </c>
      <c r="G1919" s="8"/>
    </row>
    <row r="1920" ht="21" customHeight="1" spans="1:7" x14ac:dyDescent="0.25">
      <c r="A1920" s="8"/>
      <c r="B1920" s="8"/>
      <c r="C1920" s="8"/>
      <c r="D1920" s="8"/>
      <c r="E1920" s="10">
        <f>IFERROR(VLOOKUP(C1920,'Inventory Master'!$A$3:$L$300,5,FALSE),0)</f>
      </c>
      <c r="F1920" s="10">
        <f>D1920*E1920</f>
      </c>
      <c r="G1920" s="8"/>
    </row>
    <row r="1921" ht="21" customHeight="1" spans="1:7" x14ac:dyDescent="0.25">
      <c r="A1921" s="8"/>
      <c r="B1921" s="8"/>
      <c r="C1921" s="8"/>
      <c r="D1921" s="8"/>
      <c r="E1921" s="10">
        <f>IFERROR(VLOOKUP(C1921,'Inventory Master'!$A$3:$L$300,5,FALSE),0)</f>
      </c>
      <c r="F1921" s="10">
        <f>D1921*E1921</f>
      </c>
      <c r="G1921" s="8"/>
    </row>
    <row r="1922" ht="21" customHeight="1" spans="1:7" x14ac:dyDescent="0.25">
      <c r="A1922" s="8"/>
      <c r="B1922" s="8"/>
      <c r="C1922" s="8"/>
      <c r="D1922" s="8"/>
      <c r="E1922" s="10">
        <f>IFERROR(VLOOKUP(C1922,'Inventory Master'!$A$3:$L$300,5,FALSE),0)</f>
      </c>
      <c r="F1922" s="10">
        <f>D1922*E1922</f>
      </c>
      <c r="G1922" s="8"/>
    </row>
    <row r="1923" ht="21" customHeight="1" spans="1:7" x14ac:dyDescent="0.25">
      <c r="A1923" s="8"/>
      <c r="B1923" s="8"/>
      <c r="C1923" s="8"/>
      <c r="D1923" s="8"/>
      <c r="E1923" s="10">
        <f>IFERROR(VLOOKUP(C1923,'Inventory Master'!$A$3:$L$300,5,FALSE),0)</f>
      </c>
      <c r="F1923" s="10">
        <f>D1923*E1923</f>
      </c>
      <c r="G1923" s="8"/>
    </row>
    <row r="1924" ht="21" customHeight="1" spans="1:7" x14ac:dyDescent="0.25">
      <c r="A1924" s="8"/>
      <c r="B1924" s="8"/>
      <c r="C1924" s="8"/>
      <c r="D1924" s="8"/>
      <c r="E1924" s="10">
        <f>IFERROR(VLOOKUP(C1924,'Inventory Master'!$A$3:$L$300,5,FALSE),0)</f>
      </c>
      <c r="F1924" s="10">
        <f>D1924*E1924</f>
      </c>
      <c r="G1924" s="8"/>
    </row>
    <row r="1925" ht="21" customHeight="1" spans="1:7" x14ac:dyDescent="0.25">
      <c r="A1925" s="8"/>
      <c r="B1925" s="8"/>
      <c r="C1925" s="8"/>
      <c r="D1925" s="8"/>
      <c r="E1925" s="10">
        <f>IFERROR(VLOOKUP(C1925,'Inventory Master'!$A$3:$L$300,5,FALSE),0)</f>
      </c>
      <c r="F1925" s="10">
        <f>D1925*E1925</f>
      </c>
      <c r="G1925" s="8"/>
    </row>
    <row r="1926" ht="21" customHeight="1" spans="1:7" x14ac:dyDescent="0.25">
      <c r="A1926" s="8"/>
      <c r="B1926" s="8"/>
      <c r="C1926" s="8"/>
      <c r="D1926" s="8"/>
      <c r="E1926" s="10">
        <f>IFERROR(VLOOKUP(C1926,'Inventory Master'!$A$3:$L$300,5,FALSE),0)</f>
      </c>
      <c r="F1926" s="10">
        <f>D1926*E1926</f>
      </c>
      <c r="G1926" s="8"/>
    </row>
    <row r="1927" ht="21" customHeight="1" spans="1:7" x14ac:dyDescent="0.25">
      <c r="A1927" s="8"/>
      <c r="B1927" s="8"/>
      <c r="C1927" s="8"/>
      <c r="D1927" s="8"/>
      <c r="E1927" s="10">
        <f>IFERROR(VLOOKUP(C1927,'Inventory Master'!$A$3:$L$300,5,FALSE),0)</f>
      </c>
      <c r="F1927" s="10">
        <f>D1927*E1927</f>
      </c>
      <c r="G1927" s="8"/>
    </row>
    <row r="1928" ht="21" customHeight="1" spans="1:7" x14ac:dyDescent="0.25">
      <c r="A1928" s="8"/>
      <c r="B1928" s="8"/>
      <c r="C1928" s="8"/>
      <c r="D1928" s="8"/>
      <c r="E1928" s="10">
        <f>IFERROR(VLOOKUP(C1928,'Inventory Master'!$A$3:$L$300,5,FALSE),0)</f>
      </c>
      <c r="F1928" s="10">
        <f>D1928*E1928</f>
      </c>
      <c r="G1928" s="8"/>
    </row>
    <row r="1929" ht="21" customHeight="1" spans="1:7" x14ac:dyDescent="0.25">
      <c r="A1929" s="8"/>
      <c r="B1929" s="8"/>
      <c r="C1929" s="8"/>
      <c r="D1929" s="8"/>
      <c r="E1929" s="10">
        <f>IFERROR(VLOOKUP(C1929,'Inventory Master'!$A$3:$L$300,5,FALSE),0)</f>
      </c>
      <c r="F1929" s="10">
        <f>D1929*E1929</f>
      </c>
      <c r="G1929" s="8"/>
    </row>
    <row r="1930" ht="21" customHeight="1" spans="1:7" x14ac:dyDescent="0.25">
      <c r="A1930" s="8"/>
      <c r="B1930" s="8"/>
      <c r="C1930" s="8"/>
      <c r="D1930" s="8"/>
      <c r="E1930" s="10">
        <f>IFERROR(VLOOKUP(C1930,'Inventory Master'!$A$3:$L$300,5,FALSE),0)</f>
      </c>
      <c r="F1930" s="10">
        <f>D1930*E1930</f>
      </c>
      <c r="G1930" s="8"/>
    </row>
    <row r="1931" ht="21" customHeight="1" spans="1:7" x14ac:dyDescent="0.25">
      <c r="A1931" s="8"/>
      <c r="B1931" s="8"/>
      <c r="C1931" s="8"/>
      <c r="D1931" s="8"/>
      <c r="E1931" s="10">
        <f>IFERROR(VLOOKUP(C1931,'Inventory Master'!$A$3:$L$300,5,FALSE),0)</f>
      </c>
      <c r="F1931" s="10">
        <f>D1931*E1931</f>
      </c>
      <c r="G1931" s="8"/>
    </row>
    <row r="1932" ht="21" customHeight="1" spans="1:7" x14ac:dyDescent="0.25">
      <c r="A1932" s="8"/>
      <c r="B1932" s="8"/>
      <c r="C1932" s="8"/>
      <c r="D1932" s="8"/>
      <c r="E1932" s="10">
        <f>IFERROR(VLOOKUP(C1932,'Inventory Master'!$A$3:$L$300,5,FALSE),0)</f>
      </c>
      <c r="F1932" s="10">
        <f>D1932*E1932</f>
      </c>
      <c r="G1932" s="8"/>
    </row>
    <row r="1933" ht="21" customHeight="1" spans="1:7" x14ac:dyDescent="0.25">
      <c r="A1933" s="8"/>
      <c r="B1933" s="8"/>
      <c r="C1933" s="8"/>
      <c r="D1933" s="8"/>
      <c r="E1933" s="10">
        <f>IFERROR(VLOOKUP(C1933,'Inventory Master'!$A$3:$L$300,5,FALSE),0)</f>
      </c>
      <c r="F1933" s="10">
        <f>D1933*E1933</f>
      </c>
      <c r="G1933" s="8"/>
    </row>
    <row r="1934" ht="21" customHeight="1" spans="1:7" x14ac:dyDescent="0.25">
      <c r="A1934" s="8"/>
      <c r="B1934" s="8"/>
      <c r="C1934" s="8"/>
      <c r="D1934" s="8"/>
      <c r="E1934" s="10">
        <f>IFERROR(VLOOKUP(C1934,'Inventory Master'!$A$3:$L$300,5,FALSE),0)</f>
      </c>
      <c r="F1934" s="10">
        <f>D1934*E1934</f>
      </c>
      <c r="G1934" s="8"/>
    </row>
    <row r="1935" ht="21" customHeight="1" spans="1:7" x14ac:dyDescent="0.25">
      <c r="A1935" s="8"/>
      <c r="B1935" s="8"/>
      <c r="C1935" s="8"/>
      <c r="D1935" s="8"/>
      <c r="E1935" s="10">
        <f>IFERROR(VLOOKUP(C1935,'Inventory Master'!$A$3:$L$300,5,FALSE),0)</f>
      </c>
      <c r="F1935" s="10">
        <f>D1935*E1935</f>
      </c>
      <c r="G1935" s="8"/>
    </row>
    <row r="1936" ht="21" customHeight="1" spans="1:7" x14ac:dyDescent="0.25">
      <c r="A1936" s="8"/>
      <c r="B1936" s="8"/>
      <c r="C1936" s="8"/>
      <c r="D1936" s="8"/>
      <c r="E1936" s="10">
        <f>IFERROR(VLOOKUP(C1936,'Inventory Master'!$A$3:$L$300,5,FALSE),0)</f>
      </c>
      <c r="F1936" s="10">
        <f>D1936*E1936</f>
      </c>
      <c r="G1936" s="8"/>
    </row>
    <row r="1937" ht="21" customHeight="1" spans="1:7" x14ac:dyDescent="0.25">
      <c r="A1937" s="8"/>
      <c r="B1937" s="8"/>
      <c r="C1937" s="8"/>
      <c r="D1937" s="8"/>
      <c r="E1937" s="10">
        <f>IFERROR(VLOOKUP(C1937,'Inventory Master'!$A$3:$L$300,5,FALSE),0)</f>
      </c>
      <c r="F1937" s="10">
        <f>D1937*E1937</f>
      </c>
      <c r="G1937" s="8"/>
    </row>
    <row r="1938" ht="21" customHeight="1" spans="1:7" x14ac:dyDescent="0.25">
      <c r="A1938" s="8"/>
      <c r="B1938" s="8"/>
      <c r="C1938" s="8"/>
      <c r="D1938" s="8"/>
      <c r="E1938" s="10">
        <f>IFERROR(VLOOKUP(C1938,'Inventory Master'!$A$3:$L$300,5,FALSE),0)</f>
      </c>
      <c r="F1938" s="10">
        <f>D1938*E1938</f>
      </c>
      <c r="G1938" s="8"/>
    </row>
    <row r="1939" ht="21" customHeight="1" spans="1:7" x14ac:dyDescent="0.25">
      <c r="A1939" s="8"/>
      <c r="B1939" s="8"/>
      <c r="C1939" s="8"/>
      <c r="D1939" s="8"/>
      <c r="E1939" s="10">
        <f>IFERROR(VLOOKUP(C1939,'Inventory Master'!$A$3:$L$300,5,FALSE),0)</f>
      </c>
      <c r="F1939" s="10">
        <f>D1939*E1939</f>
      </c>
      <c r="G1939" s="8"/>
    </row>
    <row r="1940" ht="21" customHeight="1" spans="1:7" x14ac:dyDescent="0.25">
      <c r="A1940" s="8"/>
      <c r="B1940" s="8"/>
      <c r="C1940" s="8"/>
      <c r="D1940" s="8"/>
      <c r="E1940" s="10">
        <f>IFERROR(VLOOKUP(C1940,'Inventory Master'!$A$3:$L$300,5,FALSE),0)</f>
      </c>
      <c r="F1940" s="10">
        <f>D1940*E1940</f>
      </c>
      <c r="G1940" s="8"/>
    </row>
    <row r="1941" ht="21" customHeight="1" spans="1:7" x14ac:dyDescent="0.25">
      <c r="A1941" s="8"/>
      <c r="B1941" s="8"/>
      <c r="C1941" s="8"/>
      <c r="D1941" s="8"/>
      <c r="E1941" s="10">
        <f>IFERROR(VLOOKUP(C1941,'Inventory Master'!$A$3:$L$300,5,FALSE),0)</f>
      </c>
      <c r="F1941" s="10">
        <f>D1941*E1941</f>
      </c>
      <c r="G1941" s="8"/>
    </row>
    <row r="1942" ht="21" customHeight="1" spans="1:7" x14ac:dyDescent="0.25">
      <c r="A1942" s="8"/>
      <c r="B1942" s="8"/>
      <c r="C1942" s="8"/>
      <c r="D1942" s="8"/>
      <c r="E1942" s="10">
        <f>IFERROR(VLOOKUP(C1942,'Inventory Master'!$A$3:$L$300,5,FALSE),0)</f>
      </c>
      <c r="F1942" s="10">
        <f>D1942*E1942</f>
      </c>
      <c r="G1942" s="8"/>
    </row>
    <row r="1943" ht="21" customHeight="1" spans="1:7" x14ac:dyDescent="0.25">
      <c r="A1943" s="8"/>
      <c r="B1943" s="8"/>
      <c r="C1943" s="8"/>
      <c r="D1943" s="8"/>
      <c r="E1943" s="10">
        <f>IFERROR(VLOOKUP(C1943,'Inventory Master'!$A$3:$L$300,5,FALSE),0)</f>
      </c>
      <c r="F1943" s="10">
        <f>D1943*E1943</f>
      </c>
      <c r="G1943" s="8"/>
    </row>
    <row r="1944" ht="21" customHeight="1" spans="1:7" x14ac:dyDescent="0.25">
      <c r="A1944" s="8"/>
      <c r="B1944" s="8"/>
      <c r="C1944" s="8"/>
      <c r="D1944" s="8"/>
      <c r="E1944" s="10">
        <f>IFERROR(VLOOKUP(C1944,'Inventory Master'!$A$3:$L$300,5,FALSE),0)</f>
      </c>
      <c r="F1944" s="10">
        <f>D1944*E1944</f>
      </c>
      <c r="G1944" s="8"/>
    </row>
    <row r="1945" ht="21" customHeight="1" spans="1:7" x14ac:dyDescent="0.25">
      <c r="A1945" s="8"/>
      <c r="B1945" s="8"/>
      <c r="C1945" s="8"/>
      <c r="D1945" s="8"/>
      <c r="E1945" s="10">
        <f>IFERROR(VLOOKUP(C1945,'Inventory Master'!$A$3:$L$300,5,FALSE),0)</f>
      </c>
      <c r="F1945" s="10">
        <f>D1945*E1945</f>
      </c>
      <c r="G1945" s="8"/>
    </row>
    <row r="1946" ht="21" customHeight="1" spans="1:7" x14ac:dyDescent="0.25">
      <c r="A1946" s="8"/>
      <c r="B1946" s="8"/>
      <c r="C1946" s="8"/>
      <c r="D1946" s="8"/>
      <c r="E1946" s="10">
        <f>IFERROR(VLOOKUP(C1946,'Inventory Master'!$A$3:$L$300,5,FALSE),0)</f>
      </c>
      <c r="F1946" s="10">
        <f>D1946*E1946</f>
      </c>
      <c r="G1946" s="8"/>
    </row>
    <row r="1947" ht="21" customHeight="1" spans="1:7" x14ac:dyDescent="0.25">
      <c r="A1947" s="8"/>
      <c r="B1947" s="8"/>
      <c r="C1947" s="8"/>
      <c r="D1947" s="8"/>
      <c r="E1947" s="10">
        <f>IFERROR(VLOOKUP(C1947,'Inventory Master'!$A$3:$L$300,5,FALSE),0)</f>
      </c>
      <c r="F1947" s="10">
        <f>D1947*E1947</f>
      </c>
      <c r="G1947" s="8"/>
    </row>
    <row r="1948" ht="21" customHeight="1" spans="1:7" x14ac:dyDescent="0.25">
      <c r="A1948" s="8"/>
      <c r="B1948" s="8"/>
      <c r="C1948" s="8"/>
      <c r="D1948" s="8"/>
      <c r="E1948" s="10">
        <f>IFERROR(VLOOKUP(C1948,'Inventory Master'!$A$3:$L$300,5,FALSE),0)</f>
      </c>
      <c r="F1948" s="10">
        <f>D1948*E1948</f>
      </c>
      <c r="G1948" s="8"/>
    </row>
    <row r="1949" ht="21" customHeight="1" spans="1:7" x14ac:dyDescent="0.25">
      <c r="A1949" s="8"/>
      <c r="B1949" s="8"/>
      <c r="C1949" s="8"/>
      <c r="D1949" s="8"/>
      <c r="E1949" s="10">
        <f>IFERROR(VLOOKUP(C1949,'Inventory Master'!$A$3:$L$300,5,FALSE),0)</f>
      </c>
      <c r="F1949" s="10">
        <f>D1949*E1949</f>
      </c>
      <c r="G1949" s="8"/>
    </row>
    <row r="1950" ht="21" customHeight="1" spans="1:7" x14ac:dyDescent="0.25">
      <c r="A1950" s="8"/>
      <c r="B1950" s="8"/>
      <c r="C1950" s="8"/>
      <c r="D1950" s="8"/>
      <c r="E1950" s="10">
        <f>IFERROR(VLOOKUP(C1950,'Inventory Master'!$A$3:$L$300,5,FALSE),0)</f>
      </c>
      <c r="F1950" s="10">
        <f>D1950*E1950</f>
      </c>
      <c r="G1950" s="8"/>
    </row>
    <row r="1951" ht="21" customHeight="1" spans="1:7" x14ac:dyDescent="0.25">
      <c r="A1951" s="8"/>
      <c r="B1951" s="8"/>
      <c r="C1951" s="8"/>
      <c r="D1951" s="8"/>
      <c r="E1951" s="10">
        <f>IFERROR(VLOOKUP(C1951,'Inventory Master'!$A$3:$L$300,5,FALSE),0)</f>
      </c>
      <c r="F1951" s="10">
        <f>D1951*E1951</f>
      </c>
      <c r="G1951" s="8"/>
    </row>
    <row r="1952" ht="21" customHeight="1" spans="1:7" x14ac:dyDescent="0.25">
      <c r="A1952" s="8"/>
      <c r="B1952" s="8"/>
      <c r="C1952" s="8"/>
      <c r="D1952" s="8"/>
      <c r="E1952" s="10">
        <f>IFERROR(VLOOKUP(C1952,'Inventory Master'!$A$3:$L$300,5,FALSE),0)</f>
      </c>
      <c r="F1952" s="10">
        <f>D1952*E1952</f>
      </c>
      <c r="G1952" s="8"/>
    </row>
    <row r="1953" ht="21" customHeight="1" spans="1:7" x14ac:dyDescent="0.25">
      <c r="A1953" s="8"/>
      <c r="B1953" s="8"/>
      <c r="C1953" s="8"/>
      <c r="D1953" s="8"/>
      <c r="E1953" s="10">
        <f>IFERROR(VLOOKUP(C1953,'Inventory Master'!$A$3:$L$300,5,FALSE),0)</f>
      </c>
      <c r="F1953" s="10">
        <f>D1953*E1953</f>
      </c>
      <c r="G1953" s="8"/>
    </row>
    <row r="1954" ht="21" customHeight="1" spans="1:7" x14ac:dyDescent="0.25">
      <c r="A1954" s="8"/>
      <c r="B1954" s="8"/>
      <c r="C1954" s="8"/>
      <c r="D1954" s="8"/>
      <c r="E1954" s="10">
        <f>IFERROR(VLOOKUP(C1954,'Inventory Master'!$A$3:$L$300,5,FALSE),0)</f>
      </c>
      <c r="F1954" s="10">
        <f>D1954*E1954</f>
      </c>
      <c r="G1954" s="8"/>
    </row>
    <row r="1955" ht="21" customHeight="1" spans="1:7" x14ac:dyDescent="0.25">
      <c r="A1955" s="8"/>
      <c r="B1955" s="8"/>
      <c r="C1955" s="8"/>
      <c r="D1955" s="8"/>
      <c r="E1955" s="10">
        <f>IFERROR(VLOOKUP(C1955,'Inventory Master'!$A$3:$L$300,5,FALSE),0)</f>
      </c>
      <c r="F1955" s="10">
        <f>D1955*E1955</f>
      </c>
      <c r="G1955" s="8"/>
    </row>
    <row r="1956" ht="21" customHeight="1" spans="1:7" x14ac:dyDescent="0.25">
      <c r="A1956" s="8"/>
      <c r="B1956" s="8"/>
      <c r="C1956" s="8"/>
      <c r="D1956" s="8"/>
      <c r="E1956" s="10">
        <f>IFERROR(VLOOKUP(C1956,'Inventory Master'!$A$3:$L$300,5,FALSE),0)</f>
      </c>
      <c r="F1956" s="10">
        <f>D1956*E1956</f>
      </c>
      <c r="G1956" s="8"/>
    </row>
    <row r="1957" ht="21" customHeight="1" spans="1:7" x14ac:dyDescent="0.25">
      <c r="A1957" s="8"/>
      <c r="B1957" s="8"/>
      <c r="C1957" s="8"/>
      <c r="D1957" s="8"/>
      <c r="E1957" s="10">
        <f>IFERROR(VLOOKUP(C1957,'Inventory Master'!$A$3:$L$300,5,FALSE),0)</f>
      </c>
      <c r="F1957" s="10">
        <f>D1957*E1957</f>
      </c>
      <c r="G1957" s="8"/>
    </row>
    <row r="1958" ht="21" customHeight="1" spans="1:7" x14ac:dyDescent="0.25">
      <c r="A1958" s="8"/>
      <c r="B1958" s="8"/>
      <c r="C1958" s="8"/>
      <c r="D1958" s="8"/>
      <c r="E1958" s="10">
        <f>IFERROR(VLOOKUP(C1958,'Inventory Master'!$A$3:$L$300,5,FALSE),0)</f>
      </c>
      <c r="F1958" s="10">
        <f>D1958*E1958</f>
      </c>
      <c r="G1958" s="8"/>
    </row>
    <row r="1959" ht="21" customHeight="1" spans="1:7" x14ac:dyDescent="0.25">
      <c r="A1959" s="8"/>
      <c r="B1959" s="8"/>
      <c r="C1959" s="8"/>
      <c r="D1959" s="8"/>
      <c r="E1959" s="10">
        <f>IFERROR(VLOOKUP(C1959,'Inventory Master'!$A$3:$L$300,5,FALSE),0)</f>
      </c>
      <c r="F1959" s="10">
        <f>D1959*E1959</f>
      </c>
      <c r="G1959" s="8"/>
    </row>
    <row r="1960" ht="21" customHeight="1" spans="1:7" x14ac:dyDescent="0.25">
      <c r="A1960" s="8"/>
      <c r="B1960" s="8"/>
      <c r="C1960" s="8"/>
      <c r="D1960" s="8"/>
      <c r="E1960" s="10">
        <f>IFERROR(VLOOKUP(C1960,'Inventory Master'!$A$3:$L$300,5,FALSE),0)</f>
      </c>
      <c r="F1960" s="10">
        <f>D1960*E1960</f>
      </c>
      <c r="G1960" s="8"/>
    </row>
    <row r="1961" ht="21" customHeight="1" spans="1:7" x14ac:dyDescent="0.25">
      <c r="A1961" s="8"/>
      <c r="B1961" s="8"/>
      <c r="C1961" s="8"/>
      <c r="D1961" s="8"/>
      <c r="E1961" s="10">
        <f>IFERROR(VLOOKUP(C1961,'Inventory Master'!$A$3:$L$300,5,FALSE),0)</f>
      </c>
      <c r="F1961" s="10">
        <f>D1961*E1961</f>
      </c>
      <c r="G1961" s="8"/>
    </row>
    <row r="1962" ht="21" customHeight="1" spans="1:7" x14ac:dyDescent="0.25">
      <c r="A1962" s="8"/>
      <c r="B1962" s="8"/>
      <c r="C1962" s="8"/>
      <c r="D1962" s="8"/>
      <c r="E1962" s="10">
        <f>IFERROR(VLOOKUP(C1962,'Inventory Master'!$A$3:$L$300,5,FALSE),0)</f>
      </c>
      <c r="F1962" s="10">
        <f>D1962*E1962</f>
      </c>
      <c r="G1962" s="8"/>
    </row>
    <row r="1963" ht="21" customHeight="1" spans="1:7" x14ac:dyDescent="0.25">
      <c r="A1963" s="8"/>
      <c r="B1963" s="8"/>
      <c r="C1963" s="8"/>
      <c r="D1963" s="8"/>
      <c r="E1963" s="10">
        <f>IFERROR(VLOOKUP(C1963,'Inventory Master'!$A$3:$L$300,5,FALSE),0)</f>
      </c>
      <c r="F1963" s="10">
        <f>D1963*E1963</f>
      </c>
      <c r="G1963" s="8"/>
    </row>
    <row r="1964" ht="21" customHeight="1" spans="1:7" x14ac:dyDescent="0.25">
      <c r="A1964" s="8"/>
      <c r="B1964" s="8"/>
      <c r="C1964" s="8"/>
      <c r="D1964" s="8"/>
      <c r="E1964" s="10">
        <f>IFERROR(VLOOKUP(C1964,'Inventory Master'!$A$3:$L$300,5,FALSE),0)</f>
      </c>
      <c r="F1964" s="10">
        <f>D1964*E1964</f>
      </c>
      <c r="G1964" s="8"/>
    </row>
    <row r="1965" ht="21" customHeight="1" spans="1:7" x14ac:dyDescent="0.25">
      <c r="A1965" s="8"/>
      <c r="B1965" s="8"/>
      <c r="C1965" s="8"/>
      <c r="D1965" s="8"/>
      <c r="E1965" s="10">
        <f>IFERROR(VLOOKUP(C1965,'Inventory Master'!$A$3:$L$300,5,FALSE),0)</f>
      </c>
      <c r="F1965" s="10">
        <f>D1965*E1965</f>
      </c>
      <c r="G1965" s="8"/>
    </row>
    <row r="1966" ht="21" customHeight="1" spans="1:7" x14ac:dyDescent="0.25">
      <c r="A1966" s="8"/>
      <c r="B1966" s="8"/>
      <c r="C1966" s="8"/>
      <c r="D1966" s="8"/>
      <c r="E1966" s="10">
        <f>IFERROR(VLOOKUP(C1966,'Inventory Master'!$A$3:$L$300,5,FALSE),0)</f>
      </c>
      <c r="F1966" s="10">
        <f>D1966*E1966</f>
      </c>
      <c r="G1966" s="8"/>
    </row>
    <row r="1967" ht="21" customHeight="1" spans="1:7" x14ac:dyDescent="0.25">
      <c r="A1967" s="8"/>
      <c r="B1967" s="8"/>
      <c r="C1967" s="8"/>
      <c r="D1967" s="8"/>
      <c r="E1967" s="10">
        <f>IFERROR(VLOOKUP(C1967,'Inventory Master'!$A$3:$L$300,5,FALSE),0)</f>
      </c>
      <c r="F1967" s="10">
        <f>D1967*E1967</f>
      </c>
      <c r="G1967" s="8"/>
    </row>
    <row r="1968" ht="21" customHeight="1" spans="1:7" x14ac:dyDescent="0.25">
      <c r="A1968" s="8"/>
      <c r="B1968" s="8"/>
      <c r="C1968" s="8"/>
      <c r="D1968" s="8"/>
      <c r="E1968" s="10">
        <f>IFERROR(VLOOKUP(C1968,'Inventory Master'!$A$3:$L$300,5,FALSE),0)</f>
      </c>
      <c r="F1968" s="10">
        <f>D1968*E1968</f>
      </c>
      <c r="G1968" s="8"/>
    </row>
    <row r="1969" ht="21" customHeight="1" spans="1:7" x14ac:dyDescent="0.25">
      <c r="A1969" s="8"/>
      <c r="B1969" s="8"/>
      <c r="C1969" s="8"/>
      <c r="D1969" s="8"/>
      <c r="E1969" s="10">
        <f>IFERROR(VLOOKUP(C1969,'Inventory Master'!$A$3:$L$300,5,FALSE),0)</f>
      </c>
      <c r="F1969" s="10">
        <f>D1969*E1969</f>
      </c>
      <c r="G1969" s="8"/>
    </row>
    <row r="1970" ht="21" customHeight="1" spans="1:7" x14ac:dyDescent="0.25">
      <c r="A1970" s="8"/>
      <c r="B1970" s="8"/>
      <c r="C1970" s="8"/>
      <c r="D1970" s="8"/>
      <c r="E1970" s="10">
        <f>IFERROR(VLOOKUP(C1970,'Inventory Master'!$A$3:$L$300,5,FALSE),0)</f>
      </c>
      <c r="F1970" s="10">
        <f>D1970*E1970</f>
      </c>
      <c r="G1970" s="8"/>
    </row>
    <row r="1971" ht="21" customHeight="1" spans="1:7" x14ac:dyDescent="0.25">
      <c r="A1971" s="8"/>
      <c r="B1971" s="8"/>
      <c r="C1971" s="8"/>
      <c r="D1971" s="8"/>
      <c r="E1971" s="10">
        <f>IFERROR(VLOOKUP(C1971,'Inventory Master'!$A$3:$L$300,5,FALSE),0)</f>
      </c>
      <c r="F1971" s="10">
        <f>D1971*E1971</f>
      </c>
      <c r="G1971" s="8"/>
    </row>
    <row r="1972" ht="21" customHeight="1" spans="1:7" x14ac:dyDescent="0.25">
      <c r="A1972" s="8"/>
      <c r="B1972" s="8"/>
      <c r="C1972" s="8"/>
      <c r="D1972" s="8"/>
      <c r="E1972" s="10">
        <f>IFERROR(VLOOKUP(C1972,'Inventory Master'!$A$3:$L$300,5,FALSE),0)</f>
      </c>
      <c r="F1972" s="10">
        <f>D1972*E1972</f>
      </c>
      <c r="G1972" s="8"/>
    </row>
    <row r="1973" ht="21" customHeight="1" spans="1:7" x14ac:dyDescent="0.25">
      <c r="A1973" s="8"/>
      <c r="B1973" s="8"/>
      <c r="C1973" s="8"/>
      <c r="D1973" s="8"/>
      <c r="E1973" s="10">
        <f>IFERROR(VLOOKUP(C1973,'Inventory Master'!$A$3:$L$300,5,FALSE),0)</f>
      </c>
      <c r="F1973" s="10">
        <f>D1973*E1973</f>
      </c>
      <c r="G1973" s="8"/>
    </row>
    <row r="1974" ht="21" customHeight="1" spans="1:7" x14ac:dyDescent="0.25">
      <c r="A1974" s="8"/>
      <c r="B1974" s="8"/>
      <c r="C1974" s="8"/>
      <c r="D1974" s="8"/>
      <c r="E1974" s="10">
        <f>IFERROR(VLOOKUP(C1974,'Inventory Master'!$A$3:$L$300,5,FALSE),0)</f>
      </c>
      <c r="F1974" s="10">
        <f>D1974*E1974</f>
      </c>
      <c r="G1974" s="8"/>
    </row>
    <row r="1975" ht="21" customHeight="1" spans="1:7" x14ac:dyDescent="0.25">
      <c r="A1975" s="8"/>
      <c r="B1975" s="8"/>
      <c r="C1975" s="8"/>
      <c r="D1975" s="8"/>
      <c r="E1975" s="10">
        <f>IFERROR(VLOOKUP(C1975,'Inventory Master'!$A$3:$L$300,5,FALSE),0)</f>
      </c>
      <c r="F1975" s="10">
        <f>D1975*E1975</f>
      </c>
      <c r="G1975" s="8"/>
    </row>
    <row r="1976" ht="21" customHeight="1" spans="1:7" x14ac:dyDescent="0.25">
      <c r="A1976" s="8"/>
      <c r="B1976" s="8"/>
      <c r="C1976" s="8"/>
      <c r="D1976" s="8"/>
      <c r="E1976" s="10">
        <f>IFERROR(VLOOKUP(C1976,'Inventory Master'!$A$3:$L$300,5,FALSE),0)</f>
      </c>
      <c r="F1976" s="10">
        <f>D1976*E1976</f>
      </c>
      <c r="G1976" s="8"/>
    </row>
    <row r="1977" ht="21" customHeight="1" spans="1:7" x14ac:dyDescent="0.25">
      <c r="A1977" s="8"/>
      <c r="B1977" s="8"/>
      <c r="C1977" s="8"/>
      <c r="D1977" s="8"/>
      <c r="E1977" s="10">
        <f>IFERROR(VLOOKUP(C1977,'Inventory Master'!$A$3:$L$300,5,FALSE),0)</f>
      </c>
      <c r="F1977" s="10">
        <f>D1977*E1977</f>
      </c>
      <c r="G1977" s="8"/>
    </row>
    <row r="1978" ht="21" customHeight="1" spans="1:7" x14ac:dyDescent="0.25">
      <c r="A1978" s="8"/>
      <c r="B1978" s="8"/>
      <c r="C1978" s="8"/>
      <c r="D1978" s="8"/>
      <c r="E1978" s="10">
        <f>IFERROR(VLOOKUP(C1978,'Inventory Master'!$A$3:$L$300,5,FALSE),0)</f>
      </c>
      <c r="F1978" s="10">
        <f>D1978*E1978</f>
      </c>
      <c r="G1978" s="8"/>
    </row>
    <row r="1979" ht="21" customHeight="1" spans="1:7" x14ac:dyDescent="0.25">
      <c r="A1979" s="8"/>
      <c r="B1979" s="8"/>
      <c r="C1979" s="8"/>
      <c r="D1979" s="8"/>
      <c r="E1979" s="10">
        <f>IFERROR(VLOOKUP(C1979,'Inventory Master'!$A$3:$L$300,5,FALSE),0)</f>
      </c>
      <c r="F1979" s="10">
        <f>D1979*E1979</f>
      </c>
      <c r="G1979" s="8"/>
    </row>
    <row r="1980" ht="21" customHeight="1" spans="1:7" x14ac:dyDescent="0.25">
      <c r="A1980" s="8"/>
      <c r="B1980" s="8"/>
      <c r="C1980" s="8"/>
      <c r="D1980" s="8"/>
      <c r="E1980" s="10">
        <f>IFERROR(VLOOKUP(C1980,'Inventory Master'!$A$3:$L$300,5,FALSE),0)</f>
      </c>
      <c r="F1980" s="10">
        <f>D1980*E1980</f>
      </c>
      <c r="G1980" s="8"/>
    </row>
    <row r="1981" ht="21" customHeight="1" spans="1:7" x14ac:dyDescent="0.25">
      <c r="A1981" s="8"/>
      <c r="B1981" s="8"/>
      <c r="C1981" s="8"/>
      <c r="D1981" s="8"/>
      <c r="E1981" s="10">
        <f>IFERROR(VLOOKUP(C1981,'Inventory Master'!$A$3:$L$300,5,FALSE),0)</f>
      </c>
      <c r="F1981" s="10">
        <f>D1981*E1981</f>
      </c>
      <c r="G1981" s="8"/>
    </row>
    <row r="1982" ht="21" customHeight="1" spans="1:7" x14ac:dyDescent="0.25">
      <c r="A1982" s="8"/>
      <c r="B1982" s="8"/>
      <c r="C1982" s="8"/>
      <c r="D1982" s="8"/>
      <c r="E1982" s="10">
        <f>IFERROR(VLOOKUP(C1982,'Inventory Master'!$A$3:$L$300,5,FALSE),0)</f>
      </c>
      <c r="F1982" s="10">
        <f>D1982*E1982</f>
      </c>
      <c r="G1982" s="8"/>
    </row>
    <row r="1983" ht="21" customHeight="1" spans="1:7" x14ac:dyDescent="0.25">
      <c r="A1983" s="8"/>
      <c r="B1983" s="8"/>
      <c r="C1983" s="8"/>
      <c r="D1983" s="8"/>
      <c r="E1983" s="10">
        <f>IFERROR(VLOOKUP(C1983,'Inventory Master'!$A$3:$L$300,5,FALSE),0)</f>
      </c>
      <c r="F1983" s="10">
        <f>D1983*E1983</f>
      </c>
      <c r="G1983" s="8"/>
    </row>
    <row r="1984" ht="21" customHeight="1" spans="1:7" x14ac:dyDescent="0.25">
      <c r="A1984" s="8"/>
      <c r="B1984" s="8"/>
      <c r="C1984" s="8"/>
      <c r="D1984" s="8"/>
      <c r="E1984" s="10">
        <f>IFERROR(VLOOKUP(C1984,'Inventory Master'!$A$3:$L$300,5,FALSE),0)</f>
      </c>
      <c r="F1984" s="10">
        <f>D1984*E1984</f>
      </c>
      <c r="G1984" s="8"/>
    </row>
    <row r="1985" ht="21" customHeight="1" spans="1:7" x14ac:dyDescent="0.25">
      <c r="A1985" s="8"/>
      <c r="B1985" s="8"/>
      <c r="C1985" s="8"/>
      <c r="D1985" s="8"/>
      <c r="E1985" s="10">
        <f>IFERROR(VLOOKUP(C1985,'Inventory Master'!$A$3:$L$300,5,FALSE),0)</f>
      </c>
      <c r="F1985" s="10">
        <f>D1985*E1985</f>
      </c>
      <c r="G1985" s="8"/>
    </row>
    <row r="1986" ht="21" customHeight="1" spans="1:7" x14ac:dyDescent="0.25">
      <c r="A1986" s="8"/>
      <c r="B1986" s="8"/>
      <c r="C1986" s="8"/>
      <c r="D1986" s="8"/>
      <c r="E1986" s="10">
        <f>IFERROR(VLOOKUP(C1986,'Inventory Master'!$A$3:$L$300,5,FALSE),0)</f>
      </c>
      <c r="F1986" s="10">
        <f>D1986*E1986</f>
      </c>
      <c r="G1986" s="8"/>
    </row>
    <row r="1987" ht="21" customHeight="1" spans="1:7" x14ac:dyDescent="0.25">
      <c r="A1987" s="8"/>
      <c r="B1987" s="8"/>
      <c r="C1987" s="8"/>
      <c r="D1987" s="8"/>
      <c r="E1987" s="10">
        <f>IFERROR(VLOOKUP(C1987,'Inventory Master'!$A$3:$L$300,5,FALSE),0)</f>
      </c>
      <c r="F1987" s="10">
        <f>D1987*E1987</f>
      </c>
      <c r="G1987" s="8"/>
    </row>
    <row r="1988" ht="21" customHeight="1" spans="1:7" x14ac:dyDescent="0.25">
      <c r="A1988" s="8"/>
      <c r="B1988" s="8"/>
      <c r="C1988" s="8"/>
      <c r="D1988" s="8"/>
      <c r="E1988" s="10">
        <f>IFERROR(VLOOKUP(C1988,'Inventory Master'!$A$3:$L$300,5,FALSE),0)</f>
      </c>
      <c r="F1988" s="10">
        <f>D1988*E1988</f>
      </c>
      <c r="G1988" s="8"/>
    </row>
    <row r="1989" ht="21" customHeight="1" spans="1:7" x14ac:dyDescent="0.25">
      <c r="A1989" s="8"/>
      <c r="B1989" s="8"/>
      <c r="C1989" s="8"/>
      <c r="D1989" s="8"/>
      <c r="E1989" s="10">
        <f>IFERROR(VLOOKUP(C1989,'Inventory Master'!$A$3:$L$300,5,FALSE),0)</f>
      </c>
      <c r="F1989" s="10">
        <f>D1989*E1989</f>
      </c>
      <c r="G1989" s="8"/>
    </row>
    <row r="1990" ht="21" customHeight="1" spans="1:7" x14ac:dyDescent="0.25">
      <c r="A1990" s="8"/>
      <c r="B1990" s="8"/>
      <c r="C1990" s="8"/>
      <c r="D1990" s="8"/>
      <c r="E1990" s="10">
        <f>IFERROR(VLOOKUP(C1990,'Inventory Master'!$A$3:$L$300,5,FALSE),0)</f>
      </c>
      <c r="F1990" s="10">
        <f>D1990*E1990</f>
      </c>
      <c r="G1990" s="8"/>
    </row>
    <row r="1991" ht="21" customHeight="1" spans="1:7" x14ac:dyDescent="0.25">
      <c r="A1991" s="8"/>
      <c r="B1991" s="8"/>
      <c r="C1991" s="8"/>
      <c r="D1991" s="8"/>
      <c r="E1991" s="10">
        <f>IFERROR(VLOOKUP(C1991,'Inventory Master'!$A$3:$L$300,5,FALSE),0)</f>
      </c>
      <c r="F1991" s="10">
        <f>D1991*E1991</f>
      </c>
      <c r="G1991" s="8"/>
    </row>
    <row r="1992" ht="21" customHeight="1" spans="1:7" x14ac:dyDescent="0.25">
      <c r="A1992" s="8"/>
      <c r="B1992" s="8"/>
      <c r="C1992" s="8"/>
      <c r="D1992" s="8"/>
      <c r="E1992" s="10">
        <f>IFERROR(VLOOKUP(C1992,'Inventory Master'!$A$3:$L$300,5,FALSE),0)</f>
      </c>
      <c r="F1992" s="10">
        <f>D1992*E1992</f>
      </c>
      <c r="G1992" s="8"/>
    </row>
    <row r="1993" ht="21" customHeight="1" spans="1:7" x14ac:dyDescent="0.25">
      <c r="A1993" s="8"/>
      <c r="B1993" s="8"/>
      <c r="C1993" s="8"/>
      <c r="D1993" s="8"/>
      <c r="E1993" s="10">
        <f>IFERROR(VLOOKUP(C1993,'Inventory Master'!$A$3:$L$300,5,FALSE),0)</f>
      </c>
      <c r="F1993" s="10">
        <f>D1993*E1993</f>
      </c>
      <c r="G1993" s="8"/>
    </row>
    <row r="1994" ht="21" customHeight="1" spans="1:7" x14ac:dyDescent="0.25">
      <c r="A1994" s="8"/>
      <c r="B1994" s="8"/>
      <c r="C1994" s="8"/>
      <c r="D1994" s="8"/>
      <c r="E1994" s="10">
        <f>IFERROR(VLOOKUP(C1994,'Inventory Master'!$A$3:$L$300,5,FALSE),0)</f>
      </c>
      <c r="F1994" s="10">
        <f>D1994*E1994</f>
      </c>
      <c r="G1994" s="8"/>
    </row>
    <row r="1995" ht="21" customHeight="1" spans="1:7" x14ac:dyDescent="0.25">
      <c r="A1995" s="8"/>
      <c r="B1995" s="8"/>
      <c r="C1995" s="8"/>
      <c r="D1995" s="8"/>
      <c r="E1995" s="10">
        <f>IFERROR(VLOOKUP(C1995,'Inventory Master'!$A$3:$L$300,5,FALSE),0)</f>
      </c>
      <c r="F1995" s="10">
        <f>D1995*E1995</f>
      </c>
      <c r="G1995" s="8"/>
    </row>
    <row r="1996" ht="21" customHeight="1" spans="1:7" x14ac:dyDescent="0.25">
      <c r="A1996" s="8"/>
      <c r="B1996" s="8"/>
      <c r="C1996" s="8"/>
      <c r="D1996" s="8"/>
      <c r="E1996" s="10">
        <f>IFERROR(VLOOKUP(C1996,'Inventory Master'!$A$3:$L$300,5,FALSE),0)</f>
      </c>
      <c r="F1996" s="10">
        <f>D1996*E1996</f>
      </c>
      <c r="G1996" s="8"/>
    </row>
    <row r="1997" ht="21" customHeight="1" spans="1:7" x14ac:dyDescent="0.25">
      <c r="A1997" s="8"/>
      <c r="B1997" s="8"/>
      <c r="C1997" s="8"/>
      <c r="D1997" s="8"/>
      <c r="E1997" s="10">
        <f>IFERROR(VLOOKUP(C1997,'Inventory Master'!$A$3:$L$300,5,FALSE),0)</f>
      </c>
      <c r="F1997" s="10">
        <f>D1997*E1997</f>
      </c>
      <c r="G1997" s="8"/>
    </row>
    <row r="1998" ht="21" customHeight="1" spans="1:7" x14ac:dyDescent="0.25">
      <c r="A1998" s="8"/>
      <c r="B1998" s="8"/>
      <c r="C1998" s="8"/>
      <c r="D1998" s="8"/>
      <c r="E1998" s="10">
        <f>IFERROR(VLOOKUP(C1998,'Inventory Master'!$A$3:$L$300,5,FALSE),0)</f>
      </c>
      <c r="F1998" s="10">
        <f>D1998*E1998</f>
      </c>
      <c r="G1998" s="8"/>
    </row>
    <row r="1999" ht="21" customHeight="1" spans="1:7" x14ac:dyDescent="0.25">
      <c r="A1999" s="8"/>
      <c r="B1999" s="8"/>
      <c r="C1999" s="8"/>
      <c r="D1999" s="8"/>
      <c r="E1999" s="10">
        <f>IFERROR(VLOOKUP(C1999,'Inventory Master'!$A$3:$L$300,5,FALSE),0)</f>
      </c>
      <c r="F1999" s="10">
        <f>D1999*E1999</f>
      </c>
      <c r="G1999" s="8"/>
    </row>
    <row r="2000" ht="21" customHeight="1" spans="1:7" x14ac:dyDescent="0.25">
      <c r="A2000" s="8"/>
      <c r="B2000" s="8"/>
      <c r="C2000" s="8"/>
      <c r="D2000" s="8"/>
      <c r="E2000" s="10">
        <f>IFERROR(VLOOKUP(C2000,'Inventory Master'!$A$3:$L$300,5,FALSE),0)</f>
      </c>
      <c r="F2000" s="10">
        <f>D2000*E2000</f>
      </c>
      <c r="G2000" s="8"/>
    </row>
  </sheetData>
  <sheetProtection sheet="1" selectLockedCells="1" autoFilter="0" algorithmName="SHA-512" hashValue="pDc4PrWOT5yEiOf7SHsfkRJ0VH0BrATYKdpbqh99cH4CkfpsM627anNzFsfOQn0cIJ/3MwVRb8M7T+97tYi3zw==" saltValue="TRHhsWsXiqSueNcZc1Awqw==" spinCount="100000"/>
  <mergeCells count="1">
    <mergeCell ref="A1:G1"/>
  </mergeCells>
  <dataValidations count="6">
    <dataValidation type="list" allowBlank="1" showErrorMessage="1" errorStyle="warning" errorTitle="Choose from list" error="Please use the dropdown." sqref="B10:B2000">
      <formula1>Lists!$C$2:$C$20</formula1>
    </dataValidation>
    <dataValidation type="list" allowBlank="1" showErrorMessage="1" errorStyle="warning" errorTitle="Choose from list" error="Please use the dropdown." sqref="B3:B2000">
      <formula1>Lists!$C$2:$C$20</formula1>
    </dataValidation>
    <dataValidation type="list" allowBlank="1" showErrorMessage="1" errorStyle="warning" errorTitle="Choose from list" error="Please use the dropdown." sqref="C10:C2000">
      <formula1>'Inventory Master'!$A$3:$A$300</formula1>
    </dataValidation>
    <dataValidation type="list" allowBlank="1" showErrorMessage="1" errorStyle="warning" errorTitle="Choose from list" error="Please use the dropdown." sqref="C3:C2000">
      <formula1>'Inventory Master'!$A$3:$A$300</formula1>
    </dataValidation>
    <dataValidation type="list" allowBlank="1" showErrorMessage="1" errorStyle="warning" errorTitle="Choose from list" error="Please use the dropdown." sqref="G10:G2000">
      <formula1>Lists!$D$2:$D$20</formula1>
    </dataValidation>
    <dataValidation type="list" allowBlank="1" showErrorMessage="1" errorStyle="warning" errorTitle="Choose from list" error="Please use the dropdown." sqref="G3:G2000">
      <formula1>Lists!$D$2:$D$20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0" customWidth="1"/>
    <col min="3" max="3" width="24" customWidth="1"/>
    <col min="4" max="4" width="10" customWidth="1"/>
    <col min="5" max="5" width="12" customWidth="1"/>
    <col min="6" max="6" width="14" customWidth="1"/>
  </cols>
  <sheetData>
    <row r="1" ht="24" customHeight="1" spans="1:6" x14ac:dyDescent="0.25">
      <c r="A1" s="1" t="s">
        <v>4</v>
      </c>
      <c r="B1" s="1"/>
      <c r="C1" s="1"/>
      <c r="D1" s="1"/>
      <c r="E1" s="1"/>
      <c r="F1" s="1"/>
    </row>
    <row r="2" ht="22" customHeight="1" spans="1:6" x14ac:dyDescent="0.25">
      <c r="A2" s="5" t="s">
        <v>14</v>
      </c>
      <c r="B2" s="5" t="s">
        <v>38</v>
      </c>
      <c r="C2" s="5" t="s">
        <v>8</v>
      </c>
      <c r="D2" s="5" t="s">
        <v>34</v>
      </c>
      <c r="E2" s="5" t="s">
        <v>39</v>
      </c>
      <c r="F2" s="5" t="s">
        <v>40</v>
      </c>
    </row>
    <row r="3" ht="21" customHeight="1" spans="1:6" x14ac:dyDescent="0.25">
      <c r="A3" s="8"/>
      <c r="B3" s="8"/>
      <c r="C3" s="8"/>
      <c r="D3" s="8"/>
      <c r="E3" s="10">
        <f>IFERROR(VLOOKUP(C3,'Inventory Master'!$A$3:$L$300,4,FALSE),0)</f>
      </c>
      <c r="F3" s="10">
        <f>D3*E3</f>
      </c>
    </row>
    <row r="4" ht="21" customHeight="1" spans="1:6" x14ac:dyDescent="0.25">
      <c r="A4" s="8"/>
      <c r="B4" s="8"/>
      <c r="C4" s="8"/>
      <c r="D4" s="8"/>
      <c r="E4" s="10">
        <f>IFERROR(VLOOKUP(C4,'Inventory Master'!$A$3:$L$300,4,FALSE),0)</f>
      </c>
      <c r="F4" s="10">
        <f>D4*E4</f>
      </c>
    </row>
    <row r="5" ht="21" customHeight="1" spans="1:6" x14ac:dyDescent="0.25">
      <c r="A5" s="8"/>
      <c r="B5" s="8"/>
      <c r="C5" s="8"/>
      <c r="D5" s="8"/>
      <c r="E5" s="10">
        <f>IFERROR(VLOOKUP(C5,'Inventory Master'!$A$3:$L$300,4,FALSE),0)</f>
      </c>
      <c r="F5" s="10">
        <f>D5*E5</f>
      </c>
    </row>
    <row r="6" ht="21" customHeight="1" spans="1:6" x14ac:dyDescent="0.25">
      <c r="A6" s="8"/>
      <c r="B6" s="8"/>
      <c r="C6" s="8"/>
      <c r="D6" s="8"/>
      <c r="E6" s="10">
        <f>IFERROR(VLOOKUP(C6,'Inventory Master'!$A$3:$L$300,4,FALSE),0)</f>
      </c>
      <c r="F6" s="10">
        <f>D6*E6</f>
      </c>
    </row>
    <row r="7" ht="21" customHeight="1" spans="1:6" x14ac:dyDescent="0.25">
      <c r="A7" s="8"/>
      <c r="B7" s="8"/>
      <c r="C7" s="8"/>
      <c r="D7" s="8"/>
      <c r="E7" s="10">
        <f>IFERROR(VLOOKUP(C7,'Inventory Master'!$A$3:$L$300,4,FALSE),0)</f>
      </c>
      <c r="F7" s="10">
        <f>D7*E7</f>
      </c>
    </row>
    <row r="8" ht="21" customHeight="1" spans="1:6" x14ac:dyDescent="0.25">
      <c r="A8" s="8"/>
      <c r="B8" s="8"/>
      <c r="C8" s="8"/>
      <c r="D8" s="8"/>
      <c r="E8" s="10">
        <f>IFERROR(VLOOKUP(C8,'Inventory Master'!$A$3:$L$300,4,FALSE),0)</f>
      </c>
      <c r="F8" s="10">
        <f>D8*E8</f>
      </c>
    </row>
    <row r="9" ht="21" customHeight="1" spans="1:6" x14ac:dyDescent="0.25">
      <c r="A9" s="8"/>
      <c r="B9" s="8"/>
      <c r="C9" s="8"/>
      <c r="D9" s="8"/>
      <c r="E9" s="10">
        <f>IFERROR(VLOOKUP(C9,'Inventory Master'!$A$3:$L$300,4,FALSE),0)</f>
      </c>
      <c r="F9" s="10">
        <f>D9*E9</f>
      </c>
    </row>
    <row r="10" ht="21" customHeight="1" spans="1:6" x14ac:dyDescent="0.25">
      <c r="A10" s="8"/>
      <c r="B10" s="8"/>
      <c r="C10" s="8"/>
      <c r="D10" s="8"/>
      <c r="E10" s="10">
        <f>IFERROR(VLOOKUP(C10,'Inventory Master'!$A$3:$L$300,4,FALSE),0)</f>
      </c>
      <c r="F10" s="10">
        <f>D10*E10</f>
      </c>
    </row>
    <row r="11" ht="21" customHeight="1" spans="1:6" x14ac:dyDescent="0.25">
      <c r="A11" s="8"/>
      <c r="B11" s="8"/>
      <c r="C11" s="8"/>
      <c r="D11" s="8"/>
      <c r="E11" s="10">
        <f>IFERROR(VLOOKUP(C11,'Inventory Master'!$A$3:$L$300,4,FALSE),0)</f>
      </c>
      <c r="F11" s="10">
        <f>D11*E11</f>
      </c>
    </row>
    <row r="12" ht="21" customHeight="1" spans="1:6" x14ac:dyDescent="0.25">
      <c r="A12" s="8"/>
      <c r="B12" s="8"/>
      <c r="C12" s="8"/>
      <c r="D12" s="8"/>
      <c r="E12" s="10">
        <f>IFERROR(VLOOKUP(C12,'Inventory Master'!$A$3:$L$300,4,FALSE),0)</f>
      </c>
      <c r="F12" s="10">
        <f>D12*E12</f>
      </c>
    </row>
    <row r="13" ht="21" customHeight="1" spans="1:6" x14ac:dyDescent="0.25">
      <c r="A13" s="8"/>
      <c r="B13" s="8"/>
      <c r="C13" s="8"/>
      <c r="D13" s="8"/>
      <c r="E13" s="10">
        <f>IFERROR(VLOOKUP(C13,'Inventory Master'!$A$3:$L$300,4,FALSE),0)</f>
      </c>
      <c r="F13" s="10">
        <f>D13*E13</f>
      </c>
    </row>
    <row r="14" ht="21" customHeight="1" spans="1:6" x14ac:dyDescent="0.25">
      <c r="A14" s="8"/>
      <c r="B14" s="8"/>
      <c r="C14" s="8"/>
      <c r="D14" s="8"/>
      <c r="E14" s="10">
        <f>IFERROR(VLOOKUP(C14,'Inventory Master'!$A$3:$L$300,4,FALSE),0)</f>
      </c>
      <c r="F14" s="10">
        <f>D14*E14</f>
      </c>
    </row>
    <row r="15" ht="21" customHeight="1" spans="1:6" x14ac:dyDescent="0.25">
      <c r="A15" s="8"/>
      <c r="B15" s="8"/>
      <c r="C15" s="8"/>
      <c r="D15" s="8"/>
      <c r="E15" s="10">
        <f>IFERROR(VLOOKUP(C15,'Inventory Master'!$A$3:$L$300,4,FALSE),0)</f>
      </c>
      <c r="F15" s="10">
        <f>D15*E15</f>
      </c>
    </row>
    <row r="16" ht="21" customHeight="1" spans="1:6" x14ac:dyDescent="0.25">
      <c r="A16" s="8"/>
      <c r="B16" s="8"/>
      <c r="C16" s="8"/>
      <c r="D16" s="8"/>
      <c r="E16" s="10">
        <f>IFERROR(VLOOKUP(C16,'Inventory Master'!$A$3:$L$300,4,FALSE),0)</f>
      </c>
      <c r="F16" s="10">
        <f>D16*E16</f>
      </c>
    </row>
    <row r="17" ht="21" customHeight="1" spans="1:6" x14ac:dyDescent="0.25">
      <c r="A17" s="8"/>
      <c r="B17" s="8"/>
      <c r="C17" s="8"/>
      <c r="D17" s="8"/>
      <c r="E17" s="10">
        <f>IFERROR(VLOOKUP(C17,'Inventory Master'!$A$3:$L$300,4,FALSE),0)</f>
      </c>
      <c r="F17" s="10">
        <f>D17*E17</f>
      </c>
    </row>
    <row r="18" ht="21" customHeight="1" spans="1:6" x14ac:dyDescent="0.25">
      <c r="A18" s="8"/>
      <c r="B18" s="8"/>
      <c r="C18" s="8"/>
      <c r="D18" s="8"/>
      <c r="E18" s="10">
        <f>IFERROR(VLOOKUP(C18,'Inventory Master'!$A$3:$L$300,4,FALSE),0)</f>
      </c>
      <c r="F18" s="10">
        <f>D18*E18</f>
      </c>
    </row>
    <row r="19" ht="21" customHeight="1" spans="1:6" x14ac:dyDescent="0.25">
      <c r="A19" s="8"/>
      <c r="B19" s="8"/>
      <c r="C19" s="8"/>
      <c r="D19" s="8"/>
      <c r="E19" s="10">
        <f>IFERROR(VLOOKUP(C19,'Inventory Master'!$A$3:$L$300,4,FALSE),0)</f>
      </c>
      <c r="F19" s="10">
        <f>D19*E19</f>
      </c>
    </row>
    <row r="20" ht="21" customHeight="1" spans="1:6" x14ac:dyDescent="0.25">
      <c r="A20" s="8"/>
      <c r="B20" s="8"/>
      <c r="C20" s="8"/>
      <c r="D20" s="8"/>
      <c r="E20" s="10">
        <f>IFERROR(VLOOKUP(C20,'Inventory Master'!$A$3:$L$300,4,FALSE),0)</f>
      </c>
      <c r="F20" s="10">
        <f>D20*E20</f>
      </c>
    </row>
    <row r="21" ht="21" customHeight="1" spans="1:6" x14ac:dyDescent="0.25">
      <c r="A21" s="8"/>
      <c r="B21" s="8"/>
      <c r="C21" s="8"/>
      <c r="D21" s="8"/>
      <c r="E21" s="10">
        <f>IFERROR(VLOOKUP(C21,'Inventory Master'!$A$3:$L$300,4,FALSE),0)</f>
      </c>
      <c r="F21" s="10">
        <f>D21*E21</f>
      </c>
    </row>
    <row r="22" ht="21" customHeight="1" spans="1:6" x14ac:dyDescent="0.25">
      <c r="A22" s="8"/>
      <c r="B22" s="8"/>
      <c r="C22" s="8"/>
      <c r="D22" s="8"/>
      <c r="E22" s="10">
        <f>IFERROR(VLOOKUP(C22,'Inventory Master'!$A$3:$L$300,4,FALSE),0)</f>
      </c>
      <c r="F22" s="10">
        <f>D22*E22</f>
      </c>
    </row>
    <row r="23" ht="21" customHeight="1" spans="1:6" x14ac:dyDescent="0.25">
      <c r="A23" s="8"/>
      <c r="B23" s="8"/>
      <c r="C23" s="8"/>
      <c r="D23" s="8"/>
      <c r="E23" s="10">
        <f>IFERROR(VLOOKUP(C23,'Inventory Master'!$A$3:$L$300,4,FALSE),0)</f>
      </c>
      <c r="F23" s="10">
        <f>D23*E23</f>
      </c>
    </row>
    <row r="24" ht="21" customHeight="1" spans="1:6" x14ac:dyDescent="0.25">
      <c r="A24" s="8"/>
      <c r="B24" s="8"/>
      <c r="C24" s="8"/>
      <c r="D24" s="8"/>
      <c r="E24" s="10">
        <f>IFERROR(VLOOKUP(C24,'Inventory Master'!$A$3:$L$300,4,FALSE),0)</f>
      </c>
      <c r="F24" s="10">
        <f>D24*E24</f>
      </c>
    </row>
    <row r="25" ht="21" customHeight="1" spans="1:6" x14ac:dyDescent="0.25">
      <c r="A25" s="8"/>
      <c r="B25" s="8"/>
      <c r="C25" s="8"/>
      <c r="D25" s="8"/>
      <c r="E25" s="10">
        <f>IFERROR(VLOOKUP(C25,'Inventory Master'!$A$3:$L$300,4,FALSE),0)</f>
      </c>
      <c r="F25" s="10">
        <f>D25*E25</f>
      </c>
    </row>
    <row r="26" ht="21" customHeight="1" spans="1:6" x14ac:dyDescent="0.25">
      <c r="A26" s="8"/>
      <c r="B26" s="8"/>
      <c r="C26" s="8"/>
      <c r="D26" s="8"/>
      <c r="E26" s="10">
        <f>IFERROR(VLOOKUP(C26,'Inventory Master'!$A$3:$L$300,4,FALSE),0)</f>
      </c>
      <c r="F26" s="10">
        <f>D26*E26</f>
      </c>
    </row>
    <row r="27" ht="21" customHeight="1" spans="1:6" x14ac:dyDescent="0.25">
      <c r="A27" s="8"/>
      <c r="B27" s="8"/>
      <c r="C27" s="8"/>
      <c r="D27" s="8"/>
      <c r="E27" s="10">
        <f>IFERROR(VLOOKUP(C27,'Inventory Master'!$A$3:$L$300,4,FALSE),0)</f>
      </c>
      <c r="F27" s="10">
        <f>D27*E27</f>
      </c>
    </row>
    <row r="28" ht="21" customHeight="1" spans="1:6" x14ac:dyDescent="0.25">
      <c r="A28" s="8"/>
      <c r="B28" s="8"/>
      <c r="C28" s="8"/>
      <c r="D28" s="8"/>
      <c r="E28" s="10">
        <f>IFERROR(VLOOKUP(C28,'Inventory Master'!$A$3:$L$300,4,FALSE),0)</f>
      </c>
      <c r="F28" s="10">
        <f>D28*E28</f>
      </c>
    </row>
    <row r="29" ht="21" customHeight="1" spans="1:6" x14ac:dyDescent="0.25">
      <c r="A29" s="8"/>
      <c r="B29" s="8"/>
      <c r="C29" s="8"/>
      <c r="D29" s="8"/>
      <c r="E29" s="10">
        <f>IFERROR(VLOOKUP(C29,'Inventory Master'!$A$3:$L$300,4,FALSE),0)</f>
      </c>
      <c r="F29" s="10">
        <f>D29*E29</f>
      </c>
    </row>
    <row r="30" ht="21" customHeight="1" spans="1:6" x14ac:dyDescent="0.25">
      <c r="A30" s="8"/>
      <c r="B30" s="8"/>
      <c r="C30" s="8"/>
      <c r="D30" s="8"/>
      <c r="E30" s="10">
        <f>IFERROR(VLOOKUP(C30,'Inventory Master'!$A$3:$L$300,4,FALSE),0)</f>
      </c>
      <c r="F30" s="10">
        <f>D30*E30</f>
      </c>
    </row>
    <row r="31" ht="21" customHeight="1" spans="1:6" x14ac:dyDescent="0.25">
      <c r="A31" s="8"/>
      <c r="B31" s="8"/>
      <c r="C31" s="8"/>
      <c r="D31" s="8"/>
      <c r="E31" s="10">
        <f>IFERROR(VLOOKUP(C31,'Inventory Master'!$A$3:$L$300,4,FALSE),0)</f>
      </c>
      <c r="F31" s="10">
        <f>D31*E31</f>
      </c>
    </row>
    <row r="32" ht="21" customHeight="1" spans="1:6" x14ac:dyDescent="0.25">
      <c r="A32" s="8"/>
      <c r="B32" s="8"/>
      <c r="C32" s="8"/>
      <c r="D32" s="8"/>
      <c r="E32" s="10">
        <f>IFERROR(VLOOKUP(C32,'Inventory Master'!$A$3:$L$300,4,FALSE),0)</f>
      </c>
      <c r="F32" s="10">
        <f>D32*E32</f>
      </c>
    </row>
    <row r="33" ht="21" customHeight="1" spans="1:6" x14ac:dyDescent="0.25">
      <c r="A33" s="8"/>
      <c r="B33" s="8"/>
      <c r="C33" s="8"/>
      <c r="D33" s="8"/>
      <c r="E33" s="10">
        <f>IFERROR(VLOOKUP(C33,'Inventory Master'!$A$3:$L$300,4,FALSE),0)</f>
      </c>
      <c r="F33" s="10">
        <f>D33*E33</f>
      </c>
    </row>
    <row r="34" ht="21" customHeight="1" spans="1:6" x14ac:dyDescent="0.25">
      <c r="A34" s="8"/>
      <c r="B34" s="8"/>
      <c r="C34" s="8"/>
      <c r="D34" s="8"/>
      <c r="E34" s="10">
        <f>IFERROR(VLOOKUP(C34,'Inventory Master'!$A$3:$L$300,4,FALSE),0)</f>
      </c>
      <c r="F34" s="10">
        <f>D34*E34</f>
      </c>
    </row>
    <row r="35" ht="21" customHeight="1" spans="1:6" x14ac:dyDescent="0.25">
      <c r="A35" s="8"/>
      <c r="B35" s="8"/>
      <c r="C35" s="8"/>
      <c r="D35" s="8"/>
      <c r="E35" s="10">
        <f>IFERROR(VLOOKUP(C35,'Inventory Master'!$A$3:$L$300,4,FALSE),0)</f>
      </c>
      <c r="F35" s="10">
        <f>D35*E35</f>
      </c>
    </row>
    <row r="36" ht="21" customHeight="1" spans="1:6" x14ac:dyDescent="0.25">
      <c r="A36" s="8"/>
      <c r="B36" s="8"/>
      <c r="C36" s="8"/>
      <c r="D36" s="8"/>
      <c r="E36" s="10">
        <f>IFERROR(VLOOKUP(C36,'Inventory Master'!$A$3:$L$300,4,FALSE),0)</f>
      </c>
      <c r="F36" s="10">
        <f>D36*E36</f>
      </c>
    </row>
    <row r="37" ht="21" customHeight="1" spans="1:6" x14ac:dyDescent="0.25">
      <c r="A37" s="8"/>
      <c r="B37" s="8"/>
      <c r="C37" s="8"/>
      <c r="D37" s="8"/>
      <c r="E37" s="10">
        <f>IFERROR(VLOOKUP(C37,'Inventory Master'!$A$3:$L$300,4,FALSE),0)</f>
      </c>
      <c r="F37" s="10">
        <f>D37*E37</f>
      </c>
    </row>
    <row r="38" ht="21" customHeight="1" spans="1:6" x14ac:dyDescent="0.25">
      <c r="A38" s="8"/>
      <c r="B38" s="8"/>
      <c r="C38" s="8"/>
      <c r="D38" s="8"/>
      <c r="E38" s="10">
        <f>IFERROR(VLOOKUP(C38,'Inventory Master'!$A$3:$L$300,4,FALSE),0)</f>
      </c>
      <c r="F38" s="10">
        <f>D38*E38</f>
      </c>
    </row>
    <row r="39" ht="21" customHeight="1" spans="1:6" x14ac:dyDescent="0.25">
      <c r="A39" s="8"/>
      <c r="B39" s="8"/>
      <c r="C39" s="8"/>
      <c r="D39" s="8"/>
      <c r="E39" s="10">
        <f>IFERROR(VLOOKUP(C39,'Inventory Master'!$A$3:$L$300,4,FALSE),0)</f>
      </c>
      <c r="F39" s="10">
        <f>D39*E39</f>
      </c>
    </row>
    <row r="40" ht="21" customHeight="1" spans="1:6" x14ac:dyDescent="0.25">
      <c r="A40" s="8"/>
      <c r="B40" s="8"/>
      <c r="C40" s="8"/>
      <c r="D40" s="8"/>
      <c r="E40" s="10">
        <f>IFERROR(VLOOKUP(C40,'Inventory Master'!$A$3:$L$300,4,FALSE),0)</f>
      </c>
      <c r="F40" s="10">
        <f>D40*E40</f>
      </c>
    </row>
    <row r="41" ht="21" customHeight="1" spans="1:6" x14ac:dyDescent="0.25">
      <c r="A41" s="8"/>
      <c r="B41" s="8"/>
      <c r="C41" s="8"/>
      <c r="D41" s="8"/>
      <c r="E41" s="10">
        <f>IFERROR(VLOOKUP(C41,'Inventory Master'!$A$3:$L$300,4,FALSE),0)</f>
      </c>
      <c r="F41" s="10">
        <f>D41*E41</f>
      </c>
    </row>
    <row r="42" ht="21" customHeight="1" spans="1:6" x14ac:dyDescent="0.25">
      <c r="A42" s="8"/>
      <c r="B42" s="8"/>
      <c r="C42" s="8"/>
      <c r="D42" s="8"/>
      <c r="E42" s="10">
        <f>IFERROR(VLOOKUP(C42,'Inventory Master'!$A$3:$L$300,4,FALSE),0)</f>
      </c>
      <c r="F42" s="10">
        <f>D42*E42</f>
      </c>
    </row>
    <row r="43" ht="21" customHeight="1" spans="1:6" x14ac:dyDescent="0.25">
      <c r="A43" s="8"/>
      <c r="B43" s="8"/>
      <c r="C43" s="8"/>
      <c r="D43" s="8"/>
      <c r="E43" s="10">
        <f>IFERROR(VLOOKUP(C43,'Inventory Master'!$A$3:$L$300,4,FALSE),0)</f>
      </c>
      <c r="F43" s="10">
        <f>D43*E43</f>
      </c>
    </row>
    <row r="44" ht="21" customHeight="1" spans="1:6" x14ac:dyDescent="0.25">
      <c r="A44" s="8"/>
      <c r="B44" s="8"/>
      <c r="C44" s="8"/>
      <c r="D44" s="8"/>
      <c r="E44" s="10">
        <f>IFERROR(VLOOKUP(C44,'Inventory Master'!$A$3:$L$300,4,FALSE),0)</f>
      </c>
      <c r="F44" s="10">
        <f>D44*E44</f>
      </c>
    </row>
    <row r="45" ht="21" customHeight="1" spans="1:6" x14ac:dyDescent="0.25">
      <c r="A45" s="8"/>
      <c r="B45" s="8"/>
      <c r="C45" s="8"/>
      <c r="D45" s="8"/>
      <c r="E45" s="10">
        <f>IFERROR(VLOOKUP(C45,'Inventory Master'!$A$3:$L$300,4,FALSE),0)</f>
      </c>
      <c r="F45" s="10">
        <f>D45*E45</f>
      </c>
    </row>
    <row r="46" ht="21" customHeight="1" spans="1:6" x14ac:dyDescent="0.25">
      <c r="A46" s="8"/>
      <c r="B46" s="8"/>
      <c r="C46" s="8"/>
      <c r="D46" s="8"/>
      <c r="E46" s="10">
        <f>IFERROR(VLOOKUP(C46,'Inventory Master'!$A$3:$L$300,4,FALSE),0)</f>
      </c>
      <c r="F46" s="10">
        <f>D46*E46</f>
      </c>
    </row>
    <row r="47" ht="21" customHeight="1" spans="1:6" x14ac:dyDescent="0.25">
      <c r="A47" s="8"/>
      <c r="B47" s="8"/>
      <c r="C47" s="8"/>
      <c r="D47" s="8"/>
      <c r="E47" s="10">
        <f>IFERROR(VLOOKUP(C47,'Inventory Master'!$A$3:$L$300,4,FALSE),0)</f>
      </c>
      <c r="F47" s="10">
        <f>D47*E47</f>
      </c>
    </row>
    <row r="48" ht="21" customHeight="1" spans="1:6" x14ac:dyDescent="0.25">
      <c r="A48" s="8"/>
      <c r="B48" s="8"/>
      <c r="C48" s="8"/>
      <c r="D48" s="8"/>
      <c r="E48" s="10">
        <f>IFERROR(VLOOKUP(C48,'Inventory Master'!$A$3:$L$300,4,FALSE),0)</f>
      </c>
      <c r="F48" s="10">
        <f>D48*E48</f>
      </c>
    </row>
    <row r="49" ht="21" customHeight="1" spans="1:6" x14ac:dyDescent="0.25">
      <c r="A49" s="8"/>
      <c r="B49" s="8"/>
      <c r="C49" s="8"/>
      <c r="D49" s="8"/>
      <c r="E49" s="10">
        <f>IFERROR(VLOOKUP(C49,'Inventory Master'!$A$3:$L$300,4,FALSE),0)</f>
      </c>
      <c r="F49" s="10">
        <f>D49*E49</f>
      </c>
    </row>
    <row r="50" ht="21" customHeight="1" spans="1:6" x14ac:dyDescent="0.25">
      <c r="A50" s="8"/>
      <c r="B50" s="8"/>
      <c r="C50" s="8"/>
      <c r="D50" s="8"/>
      <c r="E50" s="10">
        <f>IFERROR(VLOOKUP(C50,'Inventory Master'!$A$3:$L$300,4,FALSE),0)</f>
      </c>
      <c r="F50" s="10">
        <f>D50*E50</f>
      </c>
    </row>
    <row r="51" ht="21" customHeight="1" spans="1:6" x14ac:dyDescent="0.25">
      <c r="A51" s="8"/>
      <c r="B51" s="8"/>
      <c r="C51" s="8"/>
      <c r="D51" s="8"/>
      <c r="E51" s="10">
        <f>IFERROR(VLOOKUP(C51,'Inventory Master'!$A$3:$L$300,4,FALSE),0)</f>
      </c>
      <c r="F51" s="10">
        <f>D51*E51</f>
      </c>
    </row>
    <row r="52" ht="21" customHeight="1" spans="1:6" x14ac:dyDescent="0.25">
      <c r="A52" s="8"/>
      <c r="B52" s="8"/>
      <c r="C52" s="8"/>
      <c r="D52" s="8"/>
      <c r="E52" s="10">
        <f>IFERROR(VLOOKUP(C52,'Inventory Master'!$A$3:$L$300,4,FALSE),0)</f>
      </c>
      <c r="F52" s="10">
        <f>D52*E52</f>
      </c>
    </row>
    <row r="53" ht="21" customHeight="1" spans="1:6" x14ac:dyDescent="0.25">
      <c r="A53" s="8"/>
      <c r="B53" s="8"/>
      <c r="C53" s="8"/>
      <c r="D53" s="8"/>
      <c r="E53" s="10">
        <f>IFERROR(VLOOKUP(C53,'Inventory Master'!$A$3:$L$300,4,FALSE),0)</f>
      </c>
      <c r="F53" s="10">
        <f>D53*E53</f>
      </c>
    </row>
    <row r="54" ht="21" customHeight="1" spans="1:6" x14ac:dyDescent="0.25">
      <c r="A54" s="8"/>
      <c r="B54" s="8"/>
      <c r="C54" s="8"/>
      <c r="D54" s="8"/>
      <c r="E54" s="10">
        <f>IFERROR(VLOOKUP(C54,'Inventory Master'!$A$3:$L$300,4,FALSE),0)</f>
      </c>
      <c r="F54" s="10">
        <f>D54*E54</f>
      </c>
    </row>
    <row r="55" ht="21" customHeight="1" spans="1:6" x14ac:dyDescent="0.25">
      <c r="A55" s="8"/>
      <c r="B55" s="8"/>
      <c r="C55" s="8"/>
      <c r="D55" s="8"/>
      <c r="E55" s="10">
        <f>IFERROR(VLOOKUP(C55,'Inventory Master'!$A$3:$L$300,4,FALSE),0)</f>
      </c>
      <c r="F55" s="10">
        <f>D55*E55</f>
      </c>
    </row>
    <row r="56" ht="21" customHeight="1" spans="1:6" x14ac:dyDescent="0.25">
      <c r="A56" s="8"/>
      <c r="B56" s="8"/>
      <c r="C56" s="8"/>
      <c r="D56" s="8"/>
      <c r="E56" s="10">
        <f>IFERROR(VLOOKUP(C56,'Inventory Master'!$A$3:$L$300,4,FALSE),0)</f>
      </c>
      <c r="F56" s="10">
        <f>D56*E56</f>
      </c>
    </row>
    <row r="57" ht="21" customHeight="1" spans="1:6" x14ac:dyDescent="0.25">
      <c r="A57" s="8"/>
      <c r="B57" s="8"/>
      <c r="C57" s="8"/>
      <c r="D57" s="8"/>
      <c r="E57" s="10">
        <f>IFERROR(VLOOKUP(C57,'Inventory Master'!$A$3:$L$300,4,FALSE),0)</f>
      </c>
      <c r="F57" s="10">
        <f>D57*E57</f>
      </c>
    </row>
    <row r="58" ht="21" customHeight="1" spans="1:6" x14ac:dyDescent="0.25">
      <c r="A58" s="8"/>
      <c r="B58" s="8"/>
      <c r="C58" s="8"/>
      <c r="D58" s="8"/>
      <c r="E58" s="10">
        <f>IFERROR(VLOOKUP(C58,'Inventory Master'!$A$3:$L$300,4,FALSE),0)</f>
      </c>
      <c r="F58" s="10">
        <f>D58*E58</f>
      </c>
    </row>
    <row r="59" ht="21" customHeight="1" spans="1:6" x14ac:dyDescent="0.25">
      <c r="A59" s="8"/>
      <c r="B59" s="8"/>
      <c r="C59" s="8"/>
      <c r="D59" s="8"/>
      <c r="E59" s="10">
        <f>IFERROR(VLOOKUP(C59,'Inventory Master'!$A$3:$L$300,4,FALSE),0)</f>
      </c>
      <c r="F59" s="10">
        <f>D59*E59</f>
      </c>
    </row>
    <row r="60" ht="21" customHeight="1" spans="1:6" x14ac:dyDescent="0.25">
      <c r="A60" s="8"/>
      <c r="B60" s="8"/>
      <c r="C60" s="8"/>
      <c r="D60" s="8"/>
      <c r="E60" s="10">
        <f>IFERROR(VLOOKUP(C60,'Inventory Master'!$A$3:$L$300,4,FALSE),0)</f>
      </c>
      <c r="F60" s="10">
        <f>D60*E60</f>
      </c>
    </row>
    <row r="61" ht="21" customHeight="1" spans="1:6" x14ac:dyDescent="0.25">
      <c r="A61" s="8"/>
      <c r="B61" s="8"/>
      <c r="C61" s="8"/>
      <c r="D61" s="8"/>
      <c r="E61" s="10">
        <f>IFERROR(VLOOKUP(C61,'Inventory Master'!$A$3:$L$300,4,FALSE),0)</f>
      </c>
      <c r="F61" s="10">
        <f>D61*E61</f>
      </c>
    </row>
    <row r="62" ht="21" customHeight="1" spans="1:6" x14ac:dyDescent="0.25">
      <c r="A62" s="8"/>
      <c r="B62" s="8"/>
      <c r="C62" s="8"/>
      <c r="D62" s="8"/>
      <c r="E62" s="10">
        <f>IFERROR(VLOOKUP(C62,'Inventory Master'!$A$3:$L$300,4,FALSE),0)</f>
      </c>
      <c r="F62" s="10">
        <f>D62*E62</f>
      </c>
    </row>
    <row r="63" ht="21" customHeight="1" spans="1:6" x14ac:dyDescent="0.25">
      <c r="A63" s="8"/>
      <c r="B63" s="8"/>
      <c r="C63" s="8"/>
      <c r="D63" s="8"/>
      <c r="E63" s="10">
        <f>IFERROR(VLOOKUP(C63,'Inventory Master'!$A$3:$L$300,4,FALSE),0)</f>
      </c>
      <c r="F63" s="10">
        <f>D63*E63</f>
      </c>
    </row>
    <row r="64" ht="21" customHeight="1" spans="1:6" x14ac:dyDescent="0.25">
      <c r="A64" s="8"/>
      <c r="B64" s="8"/>
      <c r="C64" s="8"/>
      <c r="D64" s="8"/>
      <c r="E64" s="10">
        <f>IFERROR(VLOOKUP(C64,'Inventory Master'!$A$3:$L$300,4,FALSE),0)</f>
      </c>
      <c r="F64" s="10">
        <f>D64*E64</f>
      </c>
    </row>
    <row r="65" ht="21" customHeight="1" spans="1:6" x14ac:dyDescent="0.25">
      <c r="A65" s="8"/>
      <c r="B65" s="8"/>
      <c r="C65" s="8"/>
      <c r="D65" s="8"/>
      <c r="E65" s="10">
        <f>IFERROR(VLOOKUP(C65,'Inventory Master'!$A$3:$L$300,4,FALSE),0)</f>
      </c>
      <c r="F65" s="10">
        <f>D65*E65</f>
      </c>
    </row>
    <row r="66" ht="21" customHeight="1" spans="1:6" x14ac:dyDescent="0.25">
      <c r="A66" s="8"/>
      <c r="B66" s="8"/>
      <c r="C66" s="8"/>
      <c r="D66" s="8"/>
      <c r="E66" s="10">
        <f>IFERROR(VLOOKUP(C66,'Inventory Master'!$A$3:$L$300,4,FALSE),0)</f>
      </c>
      <c r="F66" s="10">
        <f>D66*E66</f>
      </c>
    </row>
    <row r="67" ht="21" customHeight="1" spans="1:6" x14ac:dyDescent="0.25">
      <c r="A67" s="8"/>
      <c r="B67" s="8"/>
      <c r="C67" s="8"/>
      <c r="D67" s="8"/>
      <c r="E67" s="10">
        <f>IFERROR(VLOOKUP(C67,'Inventory Master'!$A$3:$L$300,4,FALSE),0)</f>
      </c>
      <c r="F67" s="10">
        <f>D67*E67</f>
      </c>
    </row>
    <row r="68" ht="21" customHeight="1" spans="1:6" x14ac:dyDescent="0.25">
      <c r="A68" s="8"/>
      <c r="B68" s="8"/>
      <c r="C68" s="8"/>
      <c r="D68" s="8"/>
      <c r="E68" s="10">
        <f>IFERROR(VLOOKUP(C68,'Inventory Master'!$A$3:$L$300,4,FALSE),0)</f>
      </c>
      <c r="F68" s="10">
        <f>D68*E68</f>
      </c>
    </row>
    <row r="69" ht="21" customHeight="1" spans="1:6" x14ac:dyDescent="0.25">
      <c r="A69" s="8"/>
      <c r="B69" s="8"/>
      <c r="C69" s="8"/>
      <c r="D69" s="8"/>
      <c r="E69" s="10">
        <f>IFERROR(VLOOKUP(C69,'Inventory Master'!$A$3:$L$300,4,FALSE),0)</f>
      </c>
      <c r="F69" s="10">
        <f>D69*E69</f>
      </c>
    </row>
    <row r="70" ht="21" customHeight="1" spans="1:6" x14ac:dyDescent="0.25">
      <c r="A70" s="8"/>
      <c r="B70" s="8"/>
      <c r="C70" s="8"/>
      <c r="D70" s="8"/>
      <c r="E70" s="10">
        <f>IFERROR(VLOOKUP(C70,'Inventory Master'!$A$3:$L$300,4,FALSE),0)</f>
      </c>
      <c r="F70" s="10">
        <f>D70*E70</f>
      </c>
    </row>
    <row r="71" ht="21" customHeight="1" spans="1:6" x14ac:dyDescent="0.25">
      <c r="A71" s="8"/>
      <c r="B71" s="8"/>
      <c r="C71" s="8"/>
      <c r="D71" s="8"/>
      <c r="E71" s="10">
        <f>IFERROR(VLOOKUP(C71,'Inventory Master'!$A$3:$L$300,4,FALSE),0)</f>
      </c>
      <c r="F71" s="10">
        <f>D71*E71</f>
      </c>
    </row>
    <row r="72" ht="21" customHeight="1" spans="1:6" x14ac:dyDescent="0.25">
      <c r="A72" s="8"/>
      <c r="B72" s="8"/>
      <c r="C72" s="8"/>
      <c r="D72" s="8"/>
      <c r="E72" s="10">
        <f>IFERROR(VLOOKUP(C72,'Inventory Master'!$A$3:$L$300,4,FALSE),0)</f>
      </c>
      <c r="F72" s="10">
        <f>D72*E72</f>
      </c>
    </row>
    <row r="73" ht="21" customHeight="1" spans="1:6" x14ac:dyDescent="0.25">
      <c r="A73" s="8"/>
      <c r="B73" s="8"/>
      <c r="C73" s="8"/>
      <c r="D73" s="8"/>
      <c r="E73" s="10">
        <f>IFERROR(VLOOKUP(C73,'Inventory Master'!$A$3:$L$300,4,FALSE),0)</f>
      </c>
      <c r="F73" s="10">
        <f>D73*E73</f>
      </c>
    </row>
    <row r="74" ht="21" customHeight="1" spans="1:6" x14ac:dyDescent="0.25">
      <c r="A74" s="8"/>
      <c r="B74" s="8"/>
      <c r="C74" s="8"/>
      <c r="D74" s="8"/>
      <c r="E74" s="10">
        <f>IFERROR(VLOOKUP(C74,'Inventory Master'!$A$3:$L$300,4,FALSE),0)</f>
      </c>
      <c r="F74" s="10">
        <f>D74*E74</f>
      </c>
    </row>
    <row r="75" ht="21" customHeight="1" spans="1:6" x14ac:dyDescent="0.25">
      <c r="A75" s="8"/>
      <c r="B75" s="8"/>
      <c r="C75" s="8"/>
      <c r="D75" s="8"/>
      <c r="E75" s="10">
        <f>IFERROR(VLOOKUP(C75,'Inventory Master'!$A$3:$L$300,4,FALSE),0)</f>
      </c>
      <c r="F75" s="10">
        <f>D75*E75</f>
      </c>
    </row>
    <row r="76" ht="21" customHeight="1" spans="1:6" x14ac:dyDescent="0.25">
      <c r="A76" s="8"/>
      <c r="B76" s="8"/>
      <c r="C76" s="8"/>
      <c r="D76" s="8"/>
      <c r="E76" s="10">
        <f>IFERROR(VLOOKUP(C76,'Inventory Master'!$A$3:$L$300,4,FALSE),0)</f>
      </c>
      <c r="F76" s="10">
        <f>D76*E76</f>
      </c>
    </row>
    <row r="77" ht="21" customHeight="1" spans="1:6" x14ac:dyDescent="0.25">
      <c r="A77" s="8"/>
      <c r="B77" s="8"/>
      <c r="C77" s="8"/>
      <c r="D77" s="8"/>
      <c r="E77" s="10">
        <f>IFERROR(VLOOKUP(C77,'Inventory Master'!$A$3:$L$300,4,FALSE),0)</f>
      </c>
      <c r="F77" s="10">
        <f>D77*E77</f>
      </c>
    </row>
    <row r="78" ht="21" customHeight="1" spans="1:6" x14ac:dyDescent="0.25">
      <c r="A78" s="8"/>
      <c r="B78" s="8"/>
      <c r="C78" s="8"/>
      <c r="D78" s="8"/>
      <c r="E78" s="10">
        <f>IFERROR(VLOOKUP(C78,'Inventory Master'!$A$3:$L$300,4,FALSE),0)</f>
      </c>
      <c r="F78" s="10">
        <f>D78*E78</f>
      </c>
    </row>
    <row r="79" ht="21" customHeight="1" spans="1:6" x14ac:dyDescent="0.25">
      <c r="A79" s="8"/>
      <c r="B79" s="8"/>
      <c r="C79" s="8"/>
      <c r="D79" s="8"/>
      <c r="E79" s="10">
        <f>IFERROR(VLOOKUP(C79,'Inventory Master'!$A$3:$L$300,4,FALSE),0)</f>
      </c>
      <c r="F79" s="10">
        <f>D79*E79</f>
      </c>
    </row>
    <row r="80" ht="21" customHeight="1" spans="1:6" x14ac:dyDescent="0.25">
      <c r="A80" s="8"/>
      <c r="B80" s="8"/>
      <c r="C80" s="8"/>
      <c r="D80" s="8"/>
      <c r="E80" s="10">
        <f>IFERROR(VLOOKUP(C80,'Inventory Master'!$A$3:$L$300,4,FALSE),0)</f>
      </c>
      <c r="F80" s="10">
        <f>D80*E80</f>
      </c>
    </row>
    <row r="81" ht="21" customHeight="1" spans="1:6" x14ac:dyDescent="0.25">
      <c r="A81" s="8"/>
      <c r="B81" s="8"/>
      <c r="C81" s="8"/>
      <c r="D81" s="8"/>
      <c r="E81" s="10">
        <f>IFERROR(VLOOKUP(C81,'Inventory Master'!$A$3:$L$300,4,FALSE),0)</f>
      </c>
      <c r="F81" s="10">
        <f>D81*E81</f>
      </c>
    </row>
    <row r="82" ht="21" customHeight="1" spans="1:6" x14ac:dyDescent="0.25">
      <c r="A82" s="8"/>
      <c r="B82" s="8"/>
      <c r="C82" s="8"/>
      <c r="D82" s="8"/>
      <c r="E82" s="10">
        <f>IFERROR(VLOOKUP(C82,'Inventory Master'!$A$3:$L$300,4,FALSE),0)</f>
      </c>
      <c r="F82" s="10">
        <f>D82*E82</f>
      </c>
    </row>
    <row r="83" ht="21" customHeight="1" spans="1:6" x14ac:dyDescent="0.25">
      <c r="A83" s="8"/>
      <c r="B83" s="8"/>
      <c r="C83" s="8"/>
      <c r="D83" s="8"/>
      <c r="E83" s="10">
        <f>IFERROR(VLOOKUP(C83,'Inventory Master'!$A$3:$L$300,4,FALSE),0)</f>
      </c>
      <c r="F83" s="10">
        <f>D83*E83</f>
      </c>
    </row>
    <row r="84" ht="21" customHeight="1" spans="1:6" x14ac:dyDescent="0.25">
      <c r="A84" s="8"/>
      <c r="B84" s="8"/>
      <c r="C84" s="8"/>
      <c r="D84" s="8"/>
      <c r="E84" s="10">
        <f>IFERROR(VLOOKUP(C84,'Inventory Master'!$A$3:$L$300,4,FALSE),0)</f>
      </c>
      <c r="F84" s="10">
        <f>D84*E84</f>
      </c>
    </row>
    <row r="85" ht="21" customHeight="1" spans="1:6" x14ac:dyDescent="0.25">
      <c r="A85" s="8"/>
      <c r="B85" s="8"/>
      <c r="C85" s="8"/>
      <c r="D85" s="8"/>
      <c r="E85" s="10">
        <f>IFERROR(VLOOKUP(C85,'Inventory Master'!$A$3:$L$300,4,FALSE),0)</f>
      </c>
      <c r="F85" s="10">
        <f>D85*E85</f>
      </c>
    </row>
    <row r="86" ht="21" customHeight="1" spans="1:6" x14ac:dyDescent="0.25">
      <c r="A86" s="8"/>
      <c r="B86" s="8"/>
      <c r="C86" s="8"/>
      <c r="D86" s="8"/>
      <c r="E86" s="10">
        <f>IFERROR(VLOOKUP(C86,'Inventory Master'!$A$3:$L$300,4,FALSE),0)</f>
      </c>
      <c r="F86" s="10">
        <f>D86*E86</f>
      </c>
    </row>
    <row r="87" ht="21" customHeight="1" spans="1:6" x14ac:dyDescent="0.25">
      <c r="A87" s="8"/>
      <c r="B87" s="8"/>
      <c r="C87" s="8"/>
      <c r="D87" s="8"/>
      <c r="E87" s="10">
        <f>IFERROR(VLOOKUP(C87,'Inventory Master'!$A$3:$L$300,4,FALSE),0)</f>
      </c>
      <c r="F87" s="10">
        <f>D87*E87</f>
      </c>
    </row>
    <row r="88" ht="21" customHeight="1" spans="1:6" x14ac:dyDescent="0.25">
      <c r="A88" s="8"/>
      <c r="B88" s="8"/>
      <c r="C88" s="8"/>
      <c r="D88" s="8"/>
      <c r="E88" s="10">
        <f>IFERROR(VLOOKUP(C88,'Inventory Master'!$A$3:$L$300,4,FALSE),0)</f>
      </c>
      <c r="F88" s="10">
        <f>D88*E88</f>
      </c>
    </row>
    <row r="89" ht="21" customHeight="1" spans="1:6" x14ac:dyDescent="0.25">
      <c r="A89" s="8"/>
      <c r="B89" s="8"/>
      <c r="C89" s="8"/>
      <c r="D89" s="8"/>
      <c r="E89" s="10">
        <f>IFERROR(VLOOKUP(C89,'Inventory Master'!$A$3:$L$300,4,FALSE),0)</f>
      </c>
      <c r="F89" s="10">
        <f>D89*E89</f>
      </c>
    </row>
    <row r="90" ht="21" customHeight="1" spans="1:6" x14ac:dyDescent="0.25">
      <c r="A90" s="8"/>
      <c r="B90" s="8"/>
      <c r="C90" s="8"/>
      <c r="D90" s="8"/>
      <c r="E90" s="10">
        <f>IFERROR(VLOOKUP(C90,'Inventory Master'!$A$3:$L$300,4,FALSE),0)</f>
      </c>
      <c r="F90" s="10">
        <f>D90*E90</f>
      </c>
    </row>
    <row r="91" ht="21" customHeight="1" spans="1:6" x14ac:dyDescent="0.25">
      <c r="A91" s="8"/>
      <c r="B91" s="8"/>
      <c r="C91" s="8"/>
      <c r="D91" s="8"/>
      <c r="E91" s="10">
        <f>IFERROR(VLOOKUP(C91,'Inventory Master'!$A$3:$L$300,4,FALSE),0)</f>
      </c>
      <c r="F91" s="10">
        <f>D91*E91</f>
      </c>
    </row>
    <row r="92" ht="21" customHeight="1" spans="1:6" x14ac:dyDescent="0.25">
      <c r="A92" s="8"/>
      <c r="B92" s="8"/>
      <c r="C92" s="8"/>
      <c r="D92" s="8"/>
      <c r="E92" s="10">
        <f>IFERROR(VLOOKUP(C92,'Inventory Master'!$A$3:$L$300,4,FALSE),0)</f>
      </c>
      <c r="F92" s="10">
        <f>D92*E92</f>
      </c>
    </row>
    <row r="93" ht="21" customHeight="1" spans="1:6" x14ac:dyDescent="0.25">
      <c r="A93" s="8"/>
      <c r="B93" s="8"/>
      <c r="C93" s="8"/>
      <c r="D93" s="8"/>
      <c r="E93" s="10">
        <f>IFERROR(VLOOKUP(C93,'Inventory Master'!$A$3:$L$300,4,FALSE),0)</f>
      </c>
      <c r="F93" s="10">
        <f>D93*E93</f>
      </c>
    </row>
    <row r="94" ht="21" customHeight="1" spans="1:6" x14ac:dyDescent="0.25">
      <c r="A94" s="8"/>
      <c r="B94" s="8"/>
      <c r="C94" s="8"/>
      <c r="D94" s="8"/>
      <c r="E94" s="10">
        <f>IFERROR(VLOOKUP(C94,'Inventory Master'!$A$3:$L$300,4,FALSE),0)</f>
      </c>
      <c r="F94" s="10">
        <f>D94*E94</f>
      </c>
    </row>
    <row r="95" ht="21" customHeight="1" spans="1:6" x14ac:dyDescent="0.25">
      <c r="A95" s="8"/>
      <c r="B95" s="8"/>
      <c r="C95" s="8"/>
      <c r="D95" s="8"/>
      <c r="E95" s="10">
        <f>IFERROR(VLOOKUP(C95,'Inventory Master'!$A$3:$L$300,4,FALSE),0)</f>
      </c>
      <c r="F95" s="10">
        <f>D95*E95</f>
      </c>
    </row>
    <row r="96" ht="21" customHeight="1" spans="1:6" x14ac:dyDescent="0.25">
      <c r="A96" s="8"/>
      <c r="B96" s="8"/>
      <c r="C96" s="8"/>
      <c r="D96" s="8"/>
      <c r="E96" s="10">
        <f>IFERROR(VLOOKUP(C96,'Inventory Master'!$A$3:$L$300,4,FALSE),0)</f>
      </c>
      <c r="F96" s="10">
        <f>D96*E96</f>
      </c>
    </row>
    <row r="97" ht="21" customHeight="1" spans="1:6" x14ac:dyDescent="0.25">
      <c r="A97" s="8"/>
      <c r="B97" s="8"/>
      <c r="C97" s="8"/>
      <c r="D97" s="8"/>
      <c r="E97" s="10">
        <f>IFERROR(VLOOKUP(C97,'Inventory Master'!$A$3:$L$300,4,FALSE),0)</f>
      </c>
      <c r="F97" s="10">
        <f>D97*E97</f>
      </c>
    </row>
    <row r="98" ht="21" customHeight="1" spans="1:6" x14ac:dyDescent="0.25">
      <c r="A98" s="8"/>
      <c r="B98" s="8"/>
      <c r="C98" s="8"/>
      <c r="D98" s="8"/>
      <c r="E98" s="10">
        <f>IFERROR(VLOOKUP(C98,'Inventory Master'!$A$3:$L$300,4,FALSE),0)</f>
      </c>
      <c r="F98" s="10">
        <f>D98*E98</f>
      </c>
    </row>
    <row r="99" ht="21" customHeight="1" spans="1:6" x14ac:dyDescent="0.25">
      <c r="A99" s="8"/>
      <c r="B99" s="8"/>
      <c r="C99" s="8"/>
      <c r="D99" s="8"/>
      <c r="E99" s="10">
        <f>IFERROR(VLOOKUP(C99,'Inventory Master'!$A$3:$L$300,4,FALSE),0)</f>
      </c>
      <c r="F99" s="10">
        <f>D99*E99</f>
      </c>
    </row>
    <row r="100" ht="21" customHeight="1" spans="1:6" x14ac:dyDescent="0.25">
      <c r="A100" s="8"/>
      <c r="B100" s="8"/>
      <c r="C100" s="8"/>
      <c r="D100" s="8"/>
      <c r="E100" s="10">
        <f>IFERROR(VLOOKUP(C100,'Inventory Master'!$A$3:$L$300,4,FALSE),0)</f>
      </c>
      <c r="F100" s="10">
        <f>D100*E100</f>
      </c>
    </row>
    <row r="101" ht="21" customHeight="1" spans="1:6" x14ac:dyDescent="0.25">
      <c r="A101" s="8"/>
      <c r="B101" s="8"/>
      <c r="C101" s="8"/>
      <c r="D101" s="8"/>
      <c r="E101" s="10">
        <f>IFERROR(VLOOKUP(C101,'Inventory Master'!$A$3:$L$300,4,FALSE),0)</f>
      </c>
      <c r="F101" s="10">
        <f>D101*E101</f>
      </c>
    </row>
    <row r="102" ht="21" customHeight="1" spans="1:6" x14ac:dyDescent="0.25">
      <c r="A102" s="8"/>
      <c r="B102" s="8"/>
      <c r="C102" s="8"/>
      <c r="D102" s="8"/>
      <c r="E102" s="10">
        <f>IFERROR(VLOOKUP(C102,'Inventory Master'!$A$3:$L$300,4,FALSE),0)</f>
      </c>
      <c r="F102" s="10">
        <f>D102*E102</f>
      </c>
    </row>
    <row r="103" ht="21" customHeight="1" spans="1:6" x14ac:dyDescent="0.25">
      <c r="A103" s="8"/>
      <c r="B103" s="8"/>
      <c r="C103" s="8"/>
      <c r="D103" s="8"/>
      <c r="E103" s="10">
        <f>IFERROR(VLOOKUP(C103,'Inventory Master'!$A$3:$L$300,4,FALSE),0)</f>
      </c>
      <c r="F103" s="10">
        <f>D103*E103</f>
      </c>
    </row>
    <row r="104" ht="21" customHeight="1" spans="1:6" x14ac:dyDescent="0.25">
      <c r="A104" s="8"/>
      <c r="B104" s="8"/>
      <c r="C104" s="8"/>
      <c r="D104" s="8"/>
      <c r="E104" s="10">
        <f>IFERROR(VLOOKUP(C104,'Inventory Master'!$A$3:$L$300,4,FALSE),0)</f>
      </c>
      <c r="F104" s="10">
        <f>D104*E104</f>
      </c>
    </row>
    <row r="105" ht="21" customHeight="1" spans="1:6" x14ac:dyDescent="0.25">
      <c r="A105" s="8"/>
      <c r="B105" s="8"/>
      <c r="C105" s="8"/>
      <c r="D105" s="8"/>
      <c r="E105" s="10">
        <f>IFERROR(VLOOKUP(C105,'Inventory Master'!$A$3:$L$300,4,FALSE),0)</f>
      </c>
      <c r="F105" s="10">
        <f>D105*E105</f>
      </c>
    </row>
    <row r="106" ht="21" customHeight="1" spans="1:6" x14ac:dyDescent="0.25">
      <c r="A106" s="8"/>
      <c r="B106" s="8"/>
      <c r="C106" s="8"/>
      <c r="D106" s="8"/>
      <c r="E106" s="10">
        <f>IFERROR(VLOOKUP(C106,'Inventory Master'!$A$3:$L$300,4,FALSE),0)</f>
      </c>
      <c r="F106" s="10">
        <f>D106*E106</f>
      </c>
    </row>
    <row r="107" ht="21" customHeight="1" spans="1:6" x14ac:dyDescent="0.25">
      <c r="A107" s="8"/>
      <c r="B107" s="8"/>
      <c r="C107" s="8"/>
      <c r="D107" s="8"/>
      <c r="E107" s="10">
        <f>IFERROR(VLOOKUP(C107,'Inventory Master'!$A$3:$L$300,4,FALSE),0)</f>
      </c>
      <c r="F107" s="10">
        <f>D107*E107</f>
      </c>
    </row>
    <row r="108" ht="21" customHeight="1" spans="1:6" x14ac:dyDescent="0.25">
      <c r="A108" s="8"/>
      <c r="B108" s="8"/>
      <c r="C108" s="8"/>
      <c r="D108" s="8"/>
      <c r="E108" s="10">
        <f>IFERROR(VLOOKUP(C108,'Inventory Master'!$A$3:$L$300,4,FALSE),0)</f>
      </c>
      <c r="F108" s="10">
        <f>D108*E108</f>
      </c>
    </row>
    <row r="109" ht="21" customHeight="1" spans="1:6" x14ac:dyDescent="0.25">
      <c r="A109" s="8"/>
      <c r="B109" s="8"/>
      <c r="C109" s="8"/>
      <c r="D109" s="8"/>
      <c r="E109" s="10">
        <f>IFERROR(VLOOKUP(C109,'Inventory Master'!$A$3:$L$300,4,FALSE),0)</f>
      </c>
      <c r="F109" s="10">
        <f>D109*E109</f>
      </c>
    </row>
    <row r="110" ht="21" customHeight="1" spans="1:6" x14ac:dyDescent="0.25">
      <c r="A110" s="8"/>
      <c r="B110" s="8"/>
      <c r="C110" s="8"/>
      <c r="D110" s="8"/>
      <c r="E110" s="10">
        <f>IFERROR(VLOOKUP(C110,'Inventory Master'!$A$3:$L$300,4,FALSE),0)</f>
      </c>
      <c r="F110" s="10">
        <f>D110*E110</f>
      </c>
    </row>
    <row r="111" ht="21" customHeight="1" spans="1:6" x14ac:dyDescent="0.25">
      <c r="A111" s="8"/>
      <c r="B111" s="8"/>
      <c r="C111" s="8"/>
      <c r="D111" s="8"/>
      <c r="E111" s="10">
        <f>IFERROR(VLOOKUP(C111,'Inventory Master'!$A$3:$L$300,4,FALSE),0)</f>
      </c>
      <c r="F111" s="10">
        <f>D111*E111</f>
      </c>
    </row>
    <row r="112" ht="21" customHeight="1" spans="1:6" x14ac:dyDescent="0.25">
      <c r="A112" s="8"/>
      <c r="B112" s="8"/>
      <c r="C112" s="8"/>
      <c r="D112" s="8"/>
      <c r="E112" s="10">
        <f>IFERROR(VLOOKUP(C112,'Inventory Master'!$A$3:$L$300,4,FALSE),0)</f>
      </c>
      <c r="F112" s="10">
        <f>D112*E112</f>
      </c>
    </row>
    <row r="113" ht="21" customHeight="1" spans="1:6" x14ac:dyDescent="0.25">
      <c r="A113" s="8"/>
      <c r="B113" s="8"/>
      <c r="C113" s="8"/>
      <c r="D113" s="8"/>
      <c r="E113" s="10">
        <f>IFERROR(VLOOKUP(C113,'Inventory Master'!$A$3:$L$300,4,FALSE),0)</f>
      </c>
      <c r="F113" s="10">
        <f>D113*E113</f>
      </c>
    </row>
    <row r="114" ht="21" customHeight="1" spans="1:6" x14ac:dyDescent="0.25">
      <c r="A114" s="8"/>
      <c r="B114" s="8"/>
      <c r="C114" s="8"/>
      <c r="D114" s="8"/>
      <c r="E114" s="10">
        <f>IFERROR(VLOOKUP(C114,'Inventory Master'!$A$3:$L$300,4,FALSE),0)</f>
      </c>
      <c r="F114" s="10">
        <f>D114*E114</f>
      </c>
    </row>
    <row r="115" ht="21" customHeight="1" spans="1:6" x14ac:dyDescent="0.25">
      <c r="A115" s="8"/>
      <c r="B115" s="8"/>
      <c r="C115" s="8"/>
      <c r="D115" s="8"/>
      <c r="E115" s="10">
        <f>IFERROR(VLOOKUP(C115,'Inventory Master'!$A$3:$L$300,4,FALSE),0)</f>
      </c>
      <c r="F115" s="10">
        <f>D115*E115</f>
      </c>
    </row>
    <row r="116" ht="21" customHeight="1" spans="1:6" x14ac:dyDescent="0.25">
      <c r="A116" s="8"/>
      <c r="B116" s="8"/>
      <c r="C116" s="8"/>
      <c r="D116" s="8"/>
      <c r="E116" s="10">
        <f>IFERROR(VLOOKUP(C116,'Inventory Master'!$A$3:$L$300,4,FALSE),0)</f>
      </c>
      <c r="F116" s="10">
        <f>D116*E116</f>
      </c>
    </row>
    <row r="117" ht="21" customHeight="1" spans="1:6" x14ac:dyDescent="0.25">
      <c r="A117" s="8"/>
      <c r="B117" s="8"/>
      <c r="C117" s="8"/>
      <c r="D117" s="8"/>
      <c r="E117" s="10">
        <f>IFERROR(VLOOKUP(C117,'Inventory Master'!$A$3:$L$300,4,FALSE),0)</f>
      </c>
      <c r="F117" s="10">
        <f>D117*E117</f>
      </c>
    </row>
    <row r="118" ht="21" customHeight="1" spans="1:6" x14ac:dyDescent="0.25">
      <c r="A118" s="8"/>
      <c r="B118" s="8"/>
      <c r="C118" s="8"/>
      <c r="D118" s="8"/>
      <c r="E118" s="10">
        <f>IFERROR(VLOOKUP(C118,'Inventory Master'!$A$3:$L$300,4,FALSE),0)</f>
      </c>
      <c r="F118" s="10">
        <f>D118*E118</f>
      </c>
    </row>
    <row r="119" ht="21" customHeight="1" spans="1:6" x14ac:dyDescent="0.25">
      <c r="A119" s="8"/>
      <c r="B119" s="8"/>
      <c r="C119" s="8"/>
      <c r="D119" s="8"/>
      <c r="E119" s="10">
        <f>IFERROR(VLOOKUP(C119,'Inventory Master'!$A$3:$L$300,4,FALSE),0)</f>
      </c>
      <c r="F119" s="10">
        <f>D119*E119</f>
      </c>
    </row>
    <row r="120" ht="21" customHeight="1" spans="1:6" x14ac:dyDescent="0.25">
      <c r="A120" s="8"/>
      <c r="B120" s="8"/>
      <c r="C120" s="8"/>
      <c r="D120" s="8"/>
      <c r="E120" s="10">
        <f>IFERROR(VLOOKUP(C120,'Inventory Master'!$A$3:$L$300,4,FALSE),0)</f>
      </c>
      <c r="F120" s="10">
        <f>D120*E120</f>
      </c>
    </row>
    <row r="121" ht="21" customHeight="1" spans="1:6" x14ac:dyDescent="0.25">
      <c r="A121" s="8"/>
      <c r="B121" s="8"/>
      <c r="C121" s="8"/>
      <c r="D121" s="8"/>
      <c r="E121" s="10">
        <f>IFERROR(VLOOKUP(C121,'Inventory Master'!$A$3:$L$300,4,FALSE),0)</f>
      </c>
      <c r="F121" s="10">
        <f>D121*E121</f>
      </c>
    </row>
    <row r="122" ht="21" customHeight="1" spans="1:6" x14ac:dyDescent="0.25">
      <c r="A122" s="8"/>
      <c r="B122" s="8"/>
      <c r="C122" s="8"/>
      <c r="D122" s="8"/>
      <c r="E122" s="10">
        <f>IFERROR(VLOOKUP(C122,'Inventory Master'!$A$3:$L$300,4,FALSE),0)</f>
      </c>
      <c r="F122" s="10">
        <f>D122*E122</f>
      </c>
    </row>
    <row r="123" ht="21" customHeight="1" spans="1:6" x14ac:dyDescent="0.25">
      <c r="A123" s="8"/>
      <c r="B123" s="8"/>
      <c r="C123" s="8"/>
      <c r="D123" s="8"/>
      <c r="E123" s="10">
        <f>IFERROR(VLOOKUP(C123,'Inventory Master'!$A$3:$L$300,4,FALSE),0)</f>
      </c>
      <c r="F123" s="10">
        <f>D123*E123</f>
      </c>
    </row>
    <row r="124" ht="21" customHeight="1" spans="1:6" x14ac:dyDescent="0.25">
      <c r="A124" s="8"/>
      <c r="B124" s="8"/>
      <c r="C124" s="8"/>
      <c r="D124" s="8"/>
      <c r="E124" s="10">
        <f>IFERROR(VLOOKUP(C124,'Inventory Master'!$A$3:$L$300,4,FALSE),0)</f>
      </c>
      <c r="F124" s="10">
        <f>D124*E124</f>
      </c>
    </row>
    <row r="125" ht="21" customHeight="1" spans="1:6" x14ac:dyDescent="0.25">
      <c r="A125" s="8"/>
      <c r="B125" s="8"/>
      <c r="C125" s="8"/>
      <c r="D125" s="8"/>
      <c r="E125" s="10">
        <f>IFERROR(VLOOKUP(C125,'Inventory Master'!$A$3:$L$300,4,FALSE),0)</f>
      </c>
      <c r="F125" s="10">
        <f>D125*E125</f>
      </c>
    </row>
    <row r="126" ht="21" customHeight="1" spans="1:6" x14ac:dyDescent="0.25">
      <c r="A126" s="8"/>
      <c r="B126" s="8"/>
      <c r="C126" s="8"/>
      <c r="D126" s="8"/>
      <c r="E126" s="10">
        <f>IFERROR(VLOOKUP(C126,'Inventory Master'!$A$3:$L$300,4,FALSE),0)</f>
      </c>
      <c r="F126" s="10">
        <f>D126*E126</f>
      </c>
    </row>
    <row r="127" ht="21" customHeight="1" spans="1:6" x14ac:dyDescent="0.25">
      <c r="A127" s="8"/>
      <c r="B127" s="8"/>
      <c r="C127" s="8"/>
      <c r="D127" s="8"/>
      <c r="E127" s="10">
        <f>IFERROR(VLOOKUP(C127,'Inventory Master'!$A$3:$L$300,4,FALSE),0)</f>
      </c>
      <c r="F127" s="10">
        <f>D127*E127</f>
      </c>
    </row>
    <row r="128" ht="21" customHeight="1" spans="1:6" x14ac:dyDescent="0.25">
      <c r="A128" s="8"/>
      <c r="B128" s="8"/>
      <c r="C128" s="8"/>
      <c r="D128" s="8"/>
      <c r="E128" s="10">
        <f>IFERROR(VLOOKUP(C128,'Inventory Master'!$A$3:$L$300,4,FALSE),0)</f>
      </c>
      <c r="F128" s="10">
        <f>D128*E128</f>
      </c>
    </row>
    <row r="129" ht="21" customHeight="1" spans="1:6" x14ac:dyDescent="0.25">
      <c r="A129" s="8"/>
      <c r="B129" s="8"/>
      <c r="C129" s="8"/>
      <c r="D129" s="8"/>
      <c r="E129" s="10">
        <f>IFERROR(VLOOKUP(C129,'Inventory Master'!$A$3:$L$300,4,FALSE),0)</f>
      </c>
      <c r="F129" s="10">
        <f>D129*E129</f>
      </c>
    </row>
    <row r="130" ht="21" customHeight="1" spans="1:6" x14ac:dyDescent="0.25">
      <c r="A130" s="8"/>
      <c r="B130" s="8"/>
      <c r="C130" s="8"/>
      <c r="D130" s="8"/>
      <c r="E130" s="10">
        <f>IFERROR(VLOOKUP(C130,'Inventory Master'!$A$3:$L$300,4,FALSE),0)</f>
      </c>
      <c r="F130" s="10">
        <f>D130*E130</f>
      </c>
    </row>
    <row r="131" ht="21" customHeight="1" spans="1:6" x14ac:dyDescent="0.25">
      <c r="A131" s="8"/>
      <c r="B131" s="8"/>
      <c r="C131" s="8"/>
      <c r="D131" s="8"/>
      <c r="E131" s="10">
        <f>IFERROR(VLOOKUP(C131,'Inventory Master'!$A$3:$L$300,4,FALSE),0)</f>
      </c>
      <c r="F131" s="10">
        <f>D131*E131</f>
      </c>
    </row>
    <row r="132" ht="21" customHeight="1" spans="1:6" x14ac:dyDescent="0.25">
      <c r="A132" s="8"/>
      <c r="B132" s="8"/>
      <c r="C132" s="8"/>
      <c r="D132" s="8"/>
      <c r="E132" s="10">
        <f>IFERROR(VLOOKUP(C132,'Inventory Master'!$A$3:$L$300,4,FALSE),0)</f>
      </c>
      <c r="F132" s="10">
        <f>D132*E132</f>
      </c>
    </row>
    <row r="133" ht="21" customHeight="1" spans="1:6" x14ac:dyDescent="0.25">
      <c r="A133" s="8"/>
      <c r="B133" s="8"/>
      <c r="C133" s="8"/>
      <c r="D133" s="8"/>
      <c r="E133" s="10">
        <f>IFERROR(VLOOKUP(C133,'Inventory Master'!$A$3:$L$300,4,FALSE),0)</f>
      </c>
      <c r="F133" s="10">
        <f>D133*E133</f>
      </c>
    </row>
    <row r="134" ht="21" customHeight="1" spans="1:6" x14ac:dyDescent="0.25">
      <c r="A134" s="8"/>
      <c r="B134" s="8"/>
      <c r="C134" s="8"/>
      <c r="D134" s="8"/>
      <c r="E134" s="10">
        <f>IFERROR(VLOOKUP(C134,'Inventory Master'!$A$3:$L$300,4,FALSE),0)</f>
      </c>
      <c r="F134" s="10">
        <f>D134*E134</f>
      </c>
    </row>
    <row r="135" ht="21" customHeight="1" spans="1:6" x14ac:dyDescent="0.25">
      <c r="A135" s="8"/>
      <c r="B135" s="8"/>
      <c r="C135" s="8"/>
      <c r="D135" s="8"/>
      <c r="E135" s="10">
        <f>IFERROR(VLOOKUP(C135,'Inventory Master'!$A$3:$L$300,4,FALSE),0)</f>
      </c>
      <c r="F135" s="10">
        <f>D135*E135</f>
      </c>
    </row>
    <row r="136" ht="21" customHeight="1" spans="1:6" x14ac:dyDescent="0.25">
      <c r="A136" s="8"/>
      <c r="B136" s="8"/>
      <c r="C136" s="8"/>
      <c r="D136" s="8"/>
      <c r="E136" s="10">
        <f>IFERROR(VLOOKUP(C136,'Inventory Master'!$A$3:$L$300,4,FALSE),0)</f>
      </c>
      <c r="F136" s="10">
        <f>D136*E136</f>
      </c>
    </row>
    <row r="137" ht="21" customHeight="1" spans="1:6" x14ac:dyDescent="0.25">
      <c r="A137" s="8"/>
      <c r="B137" s="8"/>
      <c r="C137" s="8"/>
      <c r="D137" s="8"/>
      <c r="E137" s="10">
        <f>IFERROR(VLOOKUP(C137,'Inventory Master'!$A$3:$L$300,4,FALSE),0)</f>
      </c>
      <c r="F137" s="10">
        <f>D137*E137</f>
      </c>
    </row>
    <row r="138" ht="21" customHeight="1" spans="1:6" x14ac:dyDescent="0.25">
      <c r="A138" s="8"/>
      <c r="B138" s="8"/>
      <c r="C138" s="8"/>
      <c r="D138" s="8"/>
      <c r="E138" s="10">
        <f>IFERROR(VLOOKUP(C138,'Inventory Master'!$A$3:$L$300,4,FALSE),0)</f>
      </c>
      <c r="F138" s="10">
        <f>D138*E138</f>
      </c>
    </row>
    <row r="139" ht="21" customHeight="1" spans="1:6" x14ac:dyDescent="0.25">
      <c r="A139" s="8"/>
      <c r="B139" s="8"/>
      <c r="C139" s="8"/>
      <c r="D139" s="8"/>
      <c r="E139" s="10">
        <f>IFERROR(VLOOKUP(C139,'Inventory Master'!$A$3:$L$300,4,FALSE),0)</f>
      </c>
      <c r="F139" s="10">
        <f>D139*E139</f>
      </c>
    </row>
    <row r="140" ht="21" customHeight="1" spans="1:6" x14ac:dyDescent="0.25">
      <c r="A140" s="8"/>
      <c r="B140" s="8"/>
      <c r="C140" s="8"/>
      <c r="D140" s="8"/>
      <c r="E140" s="10">
        <f>IFERROR(VLOOKUP(C140,'Inventory Master'!$A$3:$L$300,4,FALSE),0)</f>
      </c>
      <c r="F140" s="10">
        <f>D140*E140</f>
      </c>
    </row>
    <row r="141" ht="21" customHeight="1" spans="1:6" x14ac:dyDescent="0.25">
      <c r="A141" s="8"/>
      <c r="B141" s="8"/>
      <c r="C141" s="8"/>
      <c r="D141" s="8"/>
      <c r="E141" s="10">
        <f>IFERROR(VLOOKUP(C141,'Inventory Master'!$A$3:$L$300,4,FALSE),0)</f>
      </c>
      <c r="F141" s="10">
        <f>D141*E141</f>
      </c>
    </row>
    <row r="142" ht="21" customHeight="1" spans="1:6" x14ac:dyDescent="0.25">
      <c r="A142" s="8"/>
      <c r="B142" s="8"/>
      <c r="C142" s="8"/>
      <c r="D142" s="8"/>
      <c r="E142" s="10">
        <f>IFERROR(VLOOKUP(C142,'Inventory Master'!$A$3:$L$300,4,FALSE),0)</f>
      </c>
      <c r="F142" s="10">
        <f>D142*E142</f>
      </c>
    </row>
    <row r="143" ht="21" customHeight="1" spans="1:6" x14ac:dyDescent="0.25">
      <c r="A143" s="8"/>
      <c r="B143" s="8"/>
      <c r="C143" s="8"/>
      <c r="D143" s="8"/>
      <c r="E143" s="10">
        <f>IFERROR(VLOOKUP(C143,'Inventory Master'!$A$3:$L$300,4,FALSE),0)</f>
      </c>
      <c r="F143" s="10">
        <f>D143*E143</f>
      </c>
    </row>
    <row r="144" ht="21" customHeight="1" spans="1:6" x14ac:dyDescent="0.25">
      <c r="A144" s="8"/>
      <c r="B144" s="8"/>
      <c r="C144" s="8"/>
      <c r="D144" s="8"/>
      <c r="E144" s="10">
        <f>IFERROR(VLOOKUP(C144,'Inventory Master'!$A$3:$L$300,4,FALSE),0)</f>
      </c>
      <c r="F144" s="10">
        <f>D144*E144</f>
      </c>
    </row>
    <row r="145" ht="21" customHeight="1" spans="1:6" x14ac:dyDescent="0.25">
      <c r="A145" s="8"/>
      <c r="B145" s="8"/>
      <c r="C145" s="8"/>
      <c r="D145" s="8"/>
      <c r="E145" s="10">
        <f>IFERROR(VLOOKUP(C145,'Inventory Master'!$A$3:$L$300,4,FALSE),0)</f>
      </c>
      <c r="F145" s="10">
        <f>D145*E145</f>
      </c>
    </row>
    <row r="146" ht="21" customHeight="1" spans="1:6" x14ac:dyDescent="0.25">
      <c r="A146" s="8"/>
      <c r="B146" s="8"/>
      <c r="C146" s="8"/>
      <c r="D146" s="8"/>
      <c r="E146" s="10">
        <f>IFERROR(VLOOKUP(C146,'Inventory Master'!$A$3:$L$300,4,FALSE),0)</f>
      </c>
      <c r="F146" s="10">
        <f>D146*E146</f>
      </c>
    </row>
    <row r="147" ht="21" customHeight="1" spans="1:6" x14ac:dyDescent="0.25">
      <c r="A147" s="8"/>
      <c r="B147" s="8"/>
      <c r="C147" s="8"/>
      <c r="D147" s="8"/>
      <c r="E147" s="10">
        <f>IFERROR(VLOOKUP(C147,'Inventory Master'!$A$3:$L$300,4,FALSE),0)</f>
      </c>
      <c r="F147" s="10">
        <f>D147*E147</f>
      </c>
    </row>
    <row r="148" ht="21" customHeight="1" spans="1:6" x14ac:dyDescent="0.25">
      <c r="A148" s="8"/>
      <c r="B148" s="8"/>
      <c r="C148" s="8"/>
      <c r="D148" s="8"/>
      <c r="E148" s="10">
        <f>IFERROR(VLOOKUP(C148,'Inventory Master'!$A$3:$L$300,4,FALSE),0)</f>
      </c>
      <c r="F148" s="10">
        <f>D148*E148</f>
      </c>
    </row>
    <row r="149" ht="21" customHeight="1" spans="1:6" x14ac:dyDescent="0.25">
      <c r="A149" s="8"/>
      <c r="B149" s="8"/>
      <c r="C149" s="8"/>
      <c r="D149" s="8"/>
      <c r="E149" s="10">
        <f>IFERROR(VLOOKUP(C149,'Inventory Master'!$A$3:$L$300,4,FALSE),0)</f>
      </c>
      <c r="F149" s="10">
        <f>D149*E149</f>
      </c>
    </row>
    <row r="150" ht="21" customHeight="1" spans="1:6" x14ac:dyDescent="0.25">
      <c r="A150" s="8"/>
      <c r="B150" s="8"/>
      <c r="C150" s="8"/>
      <c r="D150" s="8"/>
      <c r="E150" s="10">
        <f>IFERROR(VLOOKUP(C150,'Inventory Master'!$A$3:$L$300,4,FALSE),0)</f>
      </c>
      <c r="F150" s="10">
        <f>D150*E150</f>
      </c>
    </row>
    <row r="151" ht="21" customHeight="1" spans="1:6" x14ac:dyDescent="0.25">
      <c r="A151" s="8"/>
      <c r="B151" s="8"/>
      <c r="C151" s="8"/>
      <c r="D151" s="8"/>
      <c r="E151" s="10">
        <f>IFERROR(VLOOKUP(C151,'Inventory Master'!$A$3:$L$300,4,FALSE),0)</f>
      </c>
      <c r="F151" s="10">
        <f>D151*E151</f>
      </c>
    </row>
    <row r="152" ht="21" customHeight="1" spans="1:6" x14ac:dyDescent="0.25">
      <c r="A152" s="8"/>
      <c r="B152" s="8"/>
      <c r="C152" s="8"/>
      <c r="D152" s="8"/>
      <c r="E152" s="10">
        <f>IFERROR(VLOOKUP(C152,'Inventory Master'!$A$3:$L$300,4,FALSE),0)</f>
      </c>
      <c r="F152" s="10">
        <f>D152*E152</f>
      </c>
    </row>
    <row r="153" ht="21" customHeight="1" spans="1:6" x14ac:dyDescent="0.25">
      <c r="A153" s="8"/>
      <c r="B153" s="8"/>
      <c r="C153" s="8"/>
      <c r="D153" s="8"/>
      <c r="E153" s="10">
        <f>IFERROR(VLOOKUP(C153,'Inventory Master'!$A$3:$L$300,4,FALSE),0)</f>
      </c>
      <c r="F153" s="10">
        <f>D153*E153</f>
      </c>
    </row>
    <row r="154" ht="21" customHeight="1" spans="1:6" x14ac:dyDescent="0.25">
      <c r="A154" s="8"/>
      <c r="B154" s="8"/>
      <c r="C154" s="8"/>
      <c r="D154" s="8"/>
      <c r="E154" s="10">
        <f>IFERROR(VLOOKUP(C154,'Inventory Master'!$A$3:$L$300,4,FALSE),0)</f>
      </c>
      <c r="F154" s="10">
        <f>D154*E154</f>
      </c>
    </row>
    <row r="155" ht="21" customHeight="1" spans="1:6" x14ac:dyDescent="0.25">
      <c r="A155" s="8"/>
      <c r="B155" s="8"/>
      <c r="C155" s="8"/>
      <c r="D155" s="8"/>
      <c r="E155" s="10">
        <f>IFERROR(VLOOKUP(C155,'Inventory Master'!$A$3:$L$300,4,FALSE),0)</f>
      </c>
      <c r="F155" s="10">
        <f>D155*E155</f>
      </c>
    </row>
    <row r="156" ht="21" customHeight="1" spans="1:6" x14ac:dyDescent="0.25">
      <c r="A156" s="8"/>
      <c r="B156" s="8"/>
      <c r="C156" s="8"/>
      <c r="D156" s="8"/>
      <c r="E156" s="10">
        <f>IFERROR(VLOOKUP(C156,'Inventory Master'!$A$3:$L$300,4,FALSE),0)</f>
      </c>
      <c r="F156" s="10">
        <f>D156*E156</f>
      </c>
    </row>
    <row r="157" ht="21" customHeight="1" spans="1:6" x14ac:dyDescent="0.25">
      <c r="A157" s="8"/>
      <c r="B157" s="8"/>
      <c r="C157" s="8"/>
      <c r="D157" s="8"/>
      <c r="E157" s="10">
        <f>IFERROR(VLOOKUP(C157,'Inventory Master'!$A$3:$L$300,4,FALSE),0)</f>
      </c>
      <c r="F157" s="10">
        <f>D157*E157</f>
      </c>
    </row>
    <row r="158" ht="21" customHeight="1" spans="1:6" x14ac:dyDescent="0.25">
      <c r="A158" s="8"/>
      <c r="B158" s="8"/>
      <c r="C158" s="8"/>
      <c r="D158" s="8"/>
      <c r="E158" s="10">
        <f>IFERROR(VLOOKUP(C158,'Inventory Master'!$A$3:$L$300,4,FALSE),0)</f>
      </c>
      <c r="F158" s="10">
        <f>D158*E158</f>
      </c>
    </row>
    <row r="159" ht="21" customHeight="1" spans="1:6" x14ac:dyDescent="0.25">
      <c r="A159" s="8"/>
      <c r="B159" s="8"/>
      <c r="C159" s="8"/>
      <c r="D159" s="8"/>
      <c r="E159" s="10">
        <f>IFERROR(VLOOKUP(C159,'Inventory Master'!$A$3:$L$300,4,FALSE),0)</f>
      </c>
      <c r="F159" s="10">
        <f>D159*E159</f>
      </c>
    </row>
    <row r="160" ht="21" customHeight="1" spans="1:6" x14ac:dyDescent="0.25">
      <c r="A160" s="8"/>
      <c r="B160" s="8"/>
      <c r="C160" s="8"/>
      <c r="D160" s="8"/>
      <c r="E160" s="10">
        <f>IFERROR(VLOOKUP(C160,'Inventory Master'!$A$3:$L$300,4,FALSE),0)</f>
      </c>
      <c r="F160" s="10">
        <f>D160*E160</f>
      </c>
    </row>
    <row r="161" ht="21" customHeight="1" spans="1:6" x14ac:dyDescent="0.25">
      <c r="A161" s="8"/>
      <c r="B161" s="8"/>
      <c r="C161" s="8"/>
      <c r="D161" s="8"/>
      <c r="E161" s="10">
        <f>IFERROR(VLOOKUP(C161,'Inventory Master'!$A$3:$L$300,4,FALSE),0)</f>
      </c>
      <c r="F161" s="10">
        <f>D161*E161</f>
      </c>
    </row>
    <row r="162" ht="21" customHeight="1" spans="1:6" x14ac:dyDescent="0.25">
      <c r="A162" s="8"/>
      <c r="B162" s="8"/>
      <c r="C162" s="8"/>
      <c r="D162" s="8"/>
      <c r="E162" s="10">
        <f>IFERROR(VLOOKUP(C162,'Inventory Master'!$A$3:$L$300,4,FALSE),0)</f>
      </c>
      <c r="F162" s="10">
        <f>D162*E162</f>
      </c>
    </row>
    <row r="163" ht="21" customHeight="1" spans="1:6" x14ac:dyDescent="0.25">
      <c r="A163" s="8"/>
      <c r="B163" s="8"/>
      <c r="C163" s="8"/>
      <c r="D163" s="8"/>
      <c r="E163" s="10">
        <f>IFERROR(VLOOKUP(C163,'Inventory Master'!$A$3:$L$300,4,FALSE),0)</f>
      </c>
      <c r="F163" s="10">
        <f>D163*E163</f>
      </c>
    </row>
    <row r="164" ht="21" customHeight="1" spans="1:6" x14ac:dyDescent="0.25">
      <c r="A164" s="8"/>
      <c r="B164" s="8"/>
      <c r="C164" s="8"/>
      <c r="D164" s="8"/>
      <c r="E164" s="10">
        <f>IFERROR(VLOOKUP(C164,'Inventory Master'!$A$3:$L$300,4,FALSE),0)</f>
      </c>
      <c r="F164" s="10">
        <f>D164*E164</f>
      </c>
    </row>
    <row r="165" ht="21" customHeight="1" spans="1:6" x14ac:dyDescent="0.25">
      <c r="A165" s="8"/>
      <c r="B165" s="8"/>
      <c r="C165" s="8"/>
      <c r="D165" s="8"/>
      <c r="E165" s="10">
        <f>IFERROR(VLOOKUP(C165,'Inventory Master'!$A$3:$L$300,4,FALSE),0)</f>
      </c>
      <c r="F165" s="10">
        <f>D165*E165</f>
      </c>
    </row>
    <row r="166" ht="21" customHeight="1" spans="1:6" x14ac:dyDescent="0.25">
      <c r="A166" s="8"/>
      <c r="B166" s="8"/>
      <c r="C166" s="8"/>
      <c r="D166" s="8"/>
      <c r="E166" s="10">
        <f>IFERROR(VLOOKUP(C166,'Inventory Master'!$A$3:$L$300,4,FALSE),0)</f>
      </c>
      <c r="F166" s="10">
        <f>D166*E166</f>
      </c>
    </row>
    <row r="167" ht="21" customHeight="1" spans="1:6" x14ac:dyDescent="0.25">
      <c r="A167" s="8"/>
      <c r="B167" s="8"/>
      <c r="C167" s="8"/>
      <c r="D167" s="8"/>
      <c r="E167" s="10">
        <f>IFERROR(VLOOKUP(C167,'Inventory Master'!$A$3:$L$300,4,FALSE),0)</f>
      </c>
      <c r="F167" s="10">
        <f>D167*E167</f>
      </c>
    </row>
    <row r="168" ht="21" customHeight="1" spans="1:6" x14ac:dyDescent="0.25">
      <c r="A168" s="8"/>
      <c r="B168" s="8"/>
      <c r="C168" s="8"/>
      <c r="D168" s="8"/>
      <c r="E168" s="10">
        <f>IFERROR(VLOOKUP(C168,'Inventory Master'!$A$3:$L$300,4,FALSE),0)</f>
      </c>
      <c r="F168" s="10">
        <f>D168*E168</f>
      </c>
    </row>
    <row r="169" ht="21" customHeight="1" spans="1:6" x14ac:dyDescent="0.25">
      <c r="A169" s="8"/>
      <c r="B169" s="8"/>
      <c r="C169" s="8"/>
      <c r="D169" s="8"/>
      <c r="E169" s="10">
        <f>IFERROR(VLOOKUP(C169,'Inventory Master'!$A$3:$L$300,4,FALSE),0)</f>
      </c>
      <c r="F169" s="10">
        <f>D169*E169</f>
      </c>
    </row>
    <row r="170" ht="21" customHeight="1" spans="1:6" x14ac:dyDescent="0.25">
      <c r="A170" s="8"/>
      <c r="B170" s="8"/>
      <c r="C170" s="8"/>
      <c r="D170" s="8"/>
      <c r="E170" s="10">
        <f>IFERROR(VLOOKUP(C170,'Inventory Master'!$A$3:$L$300,4,FALSE),0)</f>
      </c>
      <c r="F170" s="10">
        <f>D170*E170</f>
      </c>
    </row>
    <row r="171" ht="21" customHeight="1" spans="1:6" x14ac:dyDescent="0.25">
      <c r="A171" s="8"/>
      <c r="B171" s="8"/>
      <c r="C171" s="8"/>
      <c r="D171" s="8"/>
      <c r="E171" s="10">
        <f>IFERROR(VLOOKUP(C171,'Inventory Master'!$A$3:$L$300,4,FALSE),0)</f>
      </c>
      <c r="F171" s="10">
        <f>D171*E171</f>
      </c>
    </row>
    <row r="172" ht="21" customHeight="1" spans="1:6" x14ac:dyDescent="0.25">
      <c r="A172" s="8"/>
      <c r="B172" s="8"/>
      <c r="C172" s="8"/>
      <c r="D172" s="8"/>
      <c r="E172" s="10">
        <f>IFERROR(VLOOKUP(C172,'Inventory Master'!$A$3:$L$300,4,FALSE),0)</f>
      </c>
      <c r="F172" s="10">
        <f>D172*E172</f>
      </c>
    </row>
    <row r="173" ht="21" customHeight="1" spans="1:6" x14ac:dyDescent="0.25">
      <c r="A173" s="8"/>
      <c r="B173" s="8"/>
      <c r="C173" s="8"/>
      <c r="D173" s="8"/>
      <c r="E173" s="10">
        <f>IFERROR(VLOOKUP(C173,'Inventory Master'!$A$3:$L$300,4,FALSE),0)</f>
      </c>
      <c r="F173" s="10">
        <f>D173*E173</f>
      </c>
    </row>
    <row r="174" ht="21" customHeight="1" spans="1:6" x14ac:dyDescent="0.25">
      <c r="A174" s="8"/>
      <c r="B174" s="8"/>
      <c r="C174" s="8"/>
      <c r="D174" s="8"/>
      <c r="E174" s="10">
        <f>IFERROR(VLOOKUP(C174,'Inventory Master'!$A$3:$L$300,4,FALSE),0)</f>
      </c>
      <c r="F174" s="10">
        <f>D174*E174</f>
      </c>
    </row>
    <row r="175" ht="21" customHeight="1" spans="1:6" x14ac:dyDescent="0.25">
      <c r="A175" s="8"/>
      <c r="B175" s="8"/>
      <c r="C175" s="8"/>
      <c r="D175" s="8"/>
      <c r="E175" s="10">
        <f>IFERROR(VLOOKUP(C175,'Inventory Master'!$A$3:$L$300,4,FALSE),0)</f>
      </c>
      <c r="F175" s="10">
        <f>D175*E175</f>
      </c>
    </row>
    <row r="176" ht="21" customHeight="1" spans="1:6" x14ac:dyDescent="0.25">
      <c r="A176" s="8"/>
      <c r="B176" s="8"/>
      <c r="C176" s="8"/>
      <c r="D176" s="8"/>
      <c r="E176" s="10">
        <f>IFERROR(VLOOKUP(C176,'Inventory Master'!$A$3:$L$300,4,FALSE),0)</f>
      </c>
      <c r="F176" s="10">
        <f>D176*E176</f>
      </c>
    </row>
    <row r="177" ht="21" customHeight="1" spans="1:6" x14ac:dyDescent="0.25">
      <c r="A177" s="8"/>
      <c r="B177" s="8"/>
      <c r="C177" s="8"/>
      <c r="D177" s="8"/>
      <c r="E177" s="10">
        <f>IFERROR(VLOOKUP(C177,'Inventory Master'!$A$3:$L$300,4,FALSE),0)</f>
      </c>
      <c r="F177" s="10">
        <f>D177*E177</f>
      </c>
    </row>
    <row r="178" ht="21" customHeight="1" spans="1:6" x14ac:dyDescent="0.25">
      <c r="A178" s="8"/>
      <c r="B178" s="8"/>
      <c r="C178" s="8"/>
      <c r="D178" s="8"/>
      <c r="E178" s="10">
        <f>IFERROR(VLOOKUP(C178,'Inventory Master'!$A$3:$L$300,4,FALSE),0)</f>
      </c>
      <c r="F178" s="10">
        <f>D178*E178</f>
      </c>
    </row>
    <row r="179" ht="21" customHeight="1" spans="1:6" x14ac:dyDescent="0.25">
      <c r="A179" s="8"/>
      <c r="B179" s="8"/>
      <c r="C179" s="8"/>
      <c r="D179" s="8"/>
      <c r="E179" s="10">
        <f>IFERROR(VLOOKUP(C179,'Inventory Master'!$A$3:$L$300,4,FALSE),0)</f>
      </c>
      <c r="F179" s="10">
        <f>D179*E179</f>
      </c>
    </row>
    <row r="180" ht="21" customHeight="1" spans="1:6" x14ac:dyDescent="0.25">
      <c r="A180" s="8"/>
      <c r="B180" s="8"/>
      <c r="C180" s="8"/>
      <c r="D180" s="8"/>
      <c r="E180" s="10">
        <f>IFERROR(VLOOKUP(C180,'Inventory Master'!$A$3:$L$300,4,FALSE),0)</f>
      </c>
      <c r="F180" s="10">
        <f>D180*E180</f>
      </c>
    </row>
    <row r="181" ht="21" customHeight="1" spans="1:6" x14ac:dyDescent="0.25">
      <c r="A181" s="8"/>
      <c r="B181" s="8"/>
      <c r="C181" s="8"/>
      <c r="D181" s="8"/>
      <c r="E181" s="10">
        <f>IFERROR(VLOOKUP(C181,'Inventory Master'!$A$3:$L$300,4,FALSE),0)</f>
      </c>
      <c r="F181" s="10">
        <f>D181*E181</f>
      </c>
    </row>
    <row r="182" ht="21" customHeight="1" spans="1:6" x14ac:dyDescent="0.25">
      <c r="A182" s="8"/>
      <c r="B182" s="8"/>
      <c r="C182" s="8"/>
      <c r="D182" s="8"/>
      <c r="E182" s="10">
        <f>IFERROR(VLOOKUP(C182,'Inventory Master'!$A$3:$L$300,4,FALSE),0)</f>
      </c>
      <c r="F182" s="10">
        <f>D182*E182</f>
      </c>
    </row>
    <row r="183" ht="21" customHeight="1" spans="1:6" x14ac:dyDescent="0.25">
      <c r="A183" s="8"/>
      <c r="B183" s="8"/>
      <c r="C183" s="8"/>
      <c r="D183" s="8"/>
      <c r="E183" s="10">
        <f>IFERROR(VLOOKUP(C183,'Inventory Master'!$A$3:$L$300,4,FALSE),0)</f>
      </c>
      <c r="F183" s="10">
        <f>D183*E183</f>
      </c>
    </row>
    <row r="184" ht="21" customHeight="1" spans="1:6" x14ac:dyDescent="0.25">
      <c r="A184" s="8"/>
      <c r="B184" s="8"/>
      <c r="C184" s="8"/>
      <c r="D184" s="8"/>
      <c r="E184" s="10">
        <f>IFERROR(VLOOKUP(C184,'Inventory Master'!$A$3:$L$300,4,FALSE),0)</f>
      </c>
      <c r="F184" s="10">
        <f>D184*E184</f>
      </c>
    </row>
    <row r="185" ht="21" customHeight="1" spans="1:6" x14ac:dyDescent="0.25">
      <c r="A185" s="8"/>
      <c r="B185" s="8"/>
      <c r="C185" s="8"/>
      <c r="D185" s="8"/>
      <c r="E185" s="10">
        <f>IFERROR(VLOOKUP(C185,'Inventory Master'!$A$3:$L$300,4,FALSE),0)</f>
      </c>
      <c r="F185" s="10">
        <f>D185*E185</f>
      </c>
    </row>
    <row r="186" ht="21" customHeight="1" spans="1:6" x14ac:dyDescent="0.25">
      <c r="A186" s="8"/>
      <c r="B186" s="8"/>
      <c r="C186" s="8"/>
      <c r="D186" s="8"/>
      <c r="E186" s="10">
        <f>IFERROR(VLOOKUP(C186,'Inventory Master'!$A$3:$L$300,4,FALSE),0)</f>
      </c>
      <c r="F186" s="10">
        <f>D186*E186</f>
      </c>
    </row>
    <row r="187" ht="21" customHeight="1" spans="1:6" x14ac:dyDescent="0.25">
      <c r="A187" s="8"/>
      <c r="B187" s="8"/>
      <c r="C187" s="8"/>
      <c r="D187" s="8"/>
      <c r="E187" s="10">
        <f>IFERROR(VLOOKUP(C187,'Inventory Master'!$A$3:$L$300,4,FALSE),0)</f>
      </c>
      <c r="F187" s="10">
        <f>D187*E187</f>
      </c>
    </row>
    <row r="188" ht="21" customHeight="1" spans="1:6" x14ac:dyDescent="0.25">
      <c r="A188" s="8"/>
      <c r="B188" s="8"/>
      <c r="C188" s="8"/>
      <c r="D188" s="8"/>
      <c r="E188" s="10">
        <f>IFERROR(VLOOKUP(C188,'Inventory Master'!$A$3:$L$300,4,FALSE),0)</f>
      </c>
      <c r="F188" s="10">
        <f>D188*E188</f>
      </c>
    </row>
    <row r="189" ht="21" customHeight="1" spans="1:6" x14ac:dyDescent="0.25">
      <c r="A189" s="8"/>
      <c r="B189" s="8"/>
      <c r="C189" s="8"/>
      <c r="D189" s="8"/>
      <c r="E189" s="10">
        <f>IFERROR(VLOOKUP(C189,'Inventory Master'!$A$3:$L$300,4,FALSE),0)</f>
      </c>
      <c r="F189" s="10">
        <f>D189*E189</f>
      </c>
    </row>
    <row r="190" ht="21" customHeight="1" spans="1:6" x14ac:dyDescent="0.25">
      <c r="A190" s="8"/>
      <c r="B190" s="8"/>
      <c r="C190" s="8"/>
      <c r="D190" s="8"/>
      <c r="E190" s="10">
        <f>IFERROR(VLOOKUP(C190,'Inventory Master'!$A$3:$L$300,4,FALSE),0)</f>
      </c>
      <c r="F190" s="10">
        <f>D190*E190</f>
      </c>
    </row>
    <row r="191" ht="21" customHeight="1" spans="1:6" x14ac:dyDescent="0.25">
      <c r="A191" s="8"/>
      <c r="B191" s="8"/>
      <c r="C191" s="8"/>
      <c r="D191" s="8"/>
      <c r="E191" s="10">
        <f>IFERROR(VLOOKUP(C191,'Inventory Master'!$A$3:$L$300,4,FALSE),0)</f>
      </c>
      <c r="F191" s="10">
        <f>D191*E191</f>
      </c>
    </row>
    <row r="192" ht="21" customHeight="1" spans="1:6" x14ac:dyDescent="0.25">
      <c r="A192" s="8"/>
      <c r="B192" s="8"/>
      <c r="C192" s="8"/>
      <c r="D192" s="8"/>
      <c r="E192" s="10">
        <f>IFERROR(VLOOKUP(C192,'Inventory Master'!$A$3:$L$300,4,FALSE),0)</f>
      </c>
      <c r="F192" s="10">
        <f>D192*E192</f>
      </c>
    </row>
    <row r="193" ht="21" customHeight="1" spans="1:6" x14ac:dyDescent="0.25">
      <c r="A193" s="8"/>
      <c r="B193" s="8"/>
      <c r="C193" s="8"/>
      <c r="D193" s="8"/>
      <c r="E193" s="10">
        <f>IFERROR(VLOOKUP(C193,'Inventory Master'!$A$3:$L$300,4,FALSE),0)</f>
      </c>
      <c r="F193" s="10">
        <f>D193*E193</f>
      </c>
    </row>
    <row r="194" ht="21" customHeight="1" spans="1:6" x14ac:dyDescent="0.25">
      <c r="A194" s="8"/>
      <c r="B194" s="8"/>
      <c r="C194" s="8"/>
      <c r="D194" s="8"/>
      <c r="E194" s="10">
        <f>IFERROR(VLOOKUP(C194,'Inventory Master'!$A$3:$L$300,4,FALSE),0)</f>
      </c>
      <c r="F194" s="10">
        <f>D194*E194</f>
      </c>
    </row>
    <row r="195" ht="21" customHeight="1" spans="1:6" x14ac:dyDescent="0.25">
      <c r="A195" s="8"/>
      <c r="B195" s="8"/>
      <c r="C195" s="8"/>
      <c r="D195" s="8"/>
      <c r="E195" s="10">
        <f>IFERROR(VLOOKUP(C195,'Inventory Master'!$A$3:$L$300,4,FALSE),0)</f>
      </c>
      <c r="F195" s="10">
        <f>D195*E195</f>
      </c>
    </row>
    <row r="196" ht="21" customHeight="1" spans="1:6" x14ac:dyDescent="0.25">
      <c r="A196" s="8"/>
      <c r="B196" s="8"/>
      <c r="C196" s="8"/>
      <c r="D196" s="8"/>
      <c r="E196" s="10">
        <f>IFERROR(VLOOKUP(C196,'Inventory Master'!$A$3:$L$300,4,FALSE),0)</f>
      </c>
      <c r="F196" s="10">
        <f>D196*E196</f>
      </c>
    </row>
    <row r="197" ht="21" customHeight="1" spans="1:6" x14ac:dyDescent="0.25">
      <c r="A197" s="8"/>
      <c r="B197" s="8"/>
      <c r="C197" s="8"/>
      <c r="D197" s="8"/>
      <c r="E197" s="10">
        <f>IFERROR(VLOOKUP(C197,'Inventory Master'!$A$3:$L$300,4,FALSE),0)</f>
      </c>
      <c r="F197" s="10">
        <f>D197*E197</f>
      </c>
    </row>
    <row r="198" ht="21" customHeight="1" spans="1:6" x14ac:dyDescent="0.25">
      <c r="A198" s="8"/>
      <c r="B198" s="8"/>
      <c r="C198" s="8"/>
      <c r="D198" s="8"/>
      <c r="E198" s="10">
        <f>IFERROR(VLOOKUP(C198,'Inventory Master'!$A$3:$L$300,4,FALSE),0)</f>
      </c>
      <c r="F198" s="10">
        <f>D198*E198</f>
      </c>
    </row>
    <row r="199" ht="21" customHeight="1" spans="1:6" x14ac:dyDescent="0.25">
      <c r="A199" s="8"/>
      <c r="B199" s="8"/>
      <c r="C199" s="8"/>
      <c r="D199" s="8"/>
      <c r="E199" s="10">
        <f>IFERROR(VLOOKUP(C199,'Inventory Master'!$A$3:$L$300,4,FALSE),0)</f>
      </c>
      <c r="F199" s="10">
        <f>D199*E199</f>
      </c>
    </row>
    <row r="200" ht="21" customHeight="1" spans="1:6" x14ac:dyDescent="0.25">
      <c r="A200" s="8"/>
      <c r="B200" s="8"/>
      <c r="C200" s="8"/>
      <c r="D200" s="8"/>
      <c r="E200" s="10">
        <f>IFERROR(VLOOKUP(C200,'Inventory Master'!$A$3:$L$300,4,FALSE),0)</f>
      </c>
      <c r="F200" s="10">
        <f>D200*E200</f>
      </c>
    </row>
    <row r="201" ht="21" customHeight="1" spans="1:6" x14ac:dyDescent="0.25">
      <c r="A201" s="8"/>
      <c r="B201" s="8"/>
      <c r="C201" s="8"/>
      <c r="D201" s="8"/>
      <c r="E201" s="10">
        <f>IFERROR(VLOOKUP(C201,'Inventory Master'!$A$3:$L$300,4,FALSE),0)</f>
      </c>
      <c r="F201" s="10">
        <f>D201*E201</f>
      </c>
    </row>
    <row r="202" ht="21" customHeight="1" spans="1:6" x14ac:dyDescent="0.25">
      <c r="A202" s="8"/>
      <c r="B202" s="8"/>
      <c r="C202" s="8"/>
      <c r="D202" s="8"/>
      <c r="E202" s="10">
        <f>IFERROR(VLOOKUP(C202,'Inventory Master'!$A$3:$L$300,4,FALSE),0)</f>
      </c>
      <c r="F202" s="10">
        <f>D202*E202</f>
      </c>
    </row>
    <row r="203" ht="21" customHeight="1" spans="1:6" x14ac:dyDescent="0.25">
      <c r="A203" s="8"/>
      <c r="B203" s="8"/>
      <c r="C203" s="8"/>
      <c r="D203" s="8"/>
      <c r="E203" s="10">
        <f>IFERROR(VLOOKUP(C203,'Inventory Master'!$A$3:$L$300,4,FALSE),0)</f>
      </c>
      <c r="F203" s="10">
        <f>D203*E203</f>
      </c>
    </row>
    <row r="204" ht="21" customHeight="1" spans="1:6" x14ac:dyDescent="0.25">
      <c r="A204" s="8"/>
      <c r="B204" s="8"/>
      <c r="C204" s="8"/>
      <c r="D204" s="8"/>
      <c r="E204" s="10">
        <f>IFERROR(VLOOKUP(C204,'Inventory Master'!$A$3:$L$300,4,FALSE),0)</f>
      </c>
      <c r="F204" s="10">
        <f>D204*E204</f>
      </c>
    </row>
    <row r="205" ht="21" customHeight="1" spans="1:6" x14ac:dyDescent="0.25">
      <c r="A205" s="8"/>
      <c r="B205" s="8"/>
      <c r="C205" s="8"/>
      <c r="D205" s="8"/>
      <c r="E205" s="10">
        <f>IFERROR(VLOOKUP(C205,'Inventory Master'!$A$3:$L$300,4,FALSE),0)</f>
      </c>
      <c r="F205" s="10">
        <f>D205*E205</f>
      </c>
    </row>
    <row r="206" ht="21" customHeight="1" spans="1:6" x14ac:dyDescent="0.25">
      <c r="A206" s="8"/>
      <c r="B206" s="8"/>
      <c r="C206" s="8"/>
      <c r="D206" s="8"/>
      <c r="E206" s="10">
        <f>IFERROR(VLOOKUP(C206,'Inventory Master'!$A$3:$L$300,4,FALSE),0)</f>
      </c>
      <c r="F206" s="10">
        <f>D206*E206</f>
      </c>
    </row>
    <row r="207" ht="21" customHeight="1" spans="1:6" x14ac:dyDescent="0.25">
      <c r="A207" s="8"/>
      <c r="B207" s="8"/>
      <c r="C207" s="8"/>
      <c r="D207" s="8"/>
      <c r="E207" s="10">
        <f>IFERROR(VLOOKUP(C207,'Inventory Master'!$A$3:$L$300,4,FALSE),0)</f>
      </c>
      <c r="F207" s="10">
        <f>D207*E207</f>
      </c>
    </row>
    <row r="208" ht="21" customHeight="1" spans="1:6" x14ac:dyDescent="0.25">
      <c r="A208" s="8"/>
      <c r="B208" s="8"/>
      <c r="C208" s="8"/>
      <c r="D208" s="8"/>
      <c r="E208" s="10">
        <f>IFERROR(VLOOKUP(C208,'Inventory Master'!$A$3:$L$300,4,FALSE),0)</f>
      </c>
      <c r="F208" s="10">
        <f>D208*E208</f>
      </c>
    </row>
    <row r="209" ht="21" customHeight="1" spans="1:6" x14ac:dyDescent="0.25">
      <c r="A209" s="8"/>
      <c r="B209" s="8"/>
      <c r="C209" s="8"/>
      <c r="D209" s="8"/>
      <c r="E209" s="10">
        <f>IFERROR(VLOOKUP(C209,'Inventory Master'!$A$3:$L$300,4,FALSE),0)</f>
      </c>
      <c r="F209" s="10">
        <f>D209*E209</f>
      </c>
    </row>
    <row r="210" ht="21" customHeight="1" spans="1:6" x14ac:dyDescent="0.25">
      <c r="A210" s="8"/>
      <c r="B210" s="8"/>
      <c r="C210" s="8"/>
      <c r="D210" s="8"/>
      <c r="E210" s="10">
        <f>IFERROR(VLOOKUP(C210,'Inventory Master'!$A$3:$L$300,4,FALSE),0)</f>
      </c>
      <c r="F210" s="10">
        <f>D210*E210</f>
      </c>
    </row>
    <row r="211" ht="21" customHeight="1" spans="1:6" x14ac:dyDescent="0.25">
      <c r="A211" s="8"/>
      <c r="B211" s="8"/>
      <c r="C211" s="8"/>
      <c r="D211" s="8"/>
      <c r="E211" s="10">
        <f>IFERROR(VLOOKUP(C211,'Inventory Master'!$A$3:$L$300,4,FALSE),0)</f>
      </c>
      <c r="F211" s="10">
        <f>D211*E211</f>
      </c>
    </row>
    <row r="212" ht="21" customHeight="1" spans="1:6" x14ac:dyDescent="0.25">
      <c r="A212" s="8"/>
      <c r="B212" s="8"/>
      <c r="C212" s="8"/>
      <c r="D212" s="8"/>
      <c r="E212" s="10">
        <f>IFERROR(VLOOKUP(C212,'Inventory Master'!$A$3:$L$300,4,FALSE),0)</f>
      </c>
      <c r="F212" s="10">
        <f>D212*E212</f>
      </c>
    </row>
    <row r="213" ht="21" customHeight="1" spans="1:6" x14ac:dyDescent="0.25">
      <c r="A213" s="8"/>
      <c r="B213" s="8"/>
      <c r="C213" s="8"/>
      <c r="D213" s="8"/>
      <c r="E213" s="10">
        <f>IFERROR(VLOOKUP(C213,'Inventory Master'!$A$3:$L$300,4,FALSE),0)</f>
      </c>
      <c r="F213" s="10">
        <f>D213*E213</f>
      </c>
    </row>
    <row r="214" ht="21" customHeight="1" spans="1:6" x14ac:dyDescent="0.25">
      <c r="A214" s="8"/>
      <c r="B214" s="8"/>
      <c r="C214" s="8"/>
      <c r="D214" s="8"/>
      <c r="E214" s="10">
        <f>IFERROR(VLOOKUP(C214,'Inventory Master'!$A$3:$L$300,4,FALSE),0)</f>
      </c>
      <c r="F214" s="10">
        <f>D214*E214</f>
      </c>
    </row>
    <row r="215" ht="21" customHeight="1" spans="1:6" x14ac:dyDescent="0.25">
      <c r="A215" s="8"/>
      <c r="B215" s="8"/>
      <c r="C215" s="8"/>
      <c r="D215" s="8"/>
      <c r="E215" s="10">
        <f>IFERROR(VLOOKUP(C215,'Inventory Master'!$A$3:$L$300,4,FALSE),0)</f>
      </c>
      <c r="F215" s="10">
        <f>D215*E215</f>
      </c>
    </row>
    <row r="216" ht="21" customHeight="1" spans="1:6" x14ac:dyDescent="0.25">
      <c r="A216" s="8"/>
      <c r="B216" s="8"/>
      <c r="C216" s="8"/>
      <c r="D216" s="8"/>
      <c r="E216" s="10">
        <f>IFERROR(VLOOKUP(C216,'Inventory Master'!$A$3:$L$300,4,FALSE),0)</f>
      </c>
      <c r="F216" s="10">
        <f>D216*E216</f>
      </c>
    </row>
    <row r="217" ht="21" customHeight="1" spans="1:6" x14ac:dyDescent="0.25">
      <c r="A217" s="8"/>
      <c r="B217" s="8"/>
      <c r="C217" s="8"/>
      <c r="D217" s="8"/>
      <c r="E217" s="10">
        <f>IFERROR(VLOOKUP(C217,'Inventory Master'!$A$3:$L$300,4,FALSE),0)</f>
      </c>
      <c r="F217" s="10">
        <f>D217*E217</f>
      </c>
    </row>
    <row r="218" ht="21" customHeight="1" spans="1:6" x14ac:dyDescent="0.25">
      <c r="A218" s="8"/>
      <c r="B218" s="8"/>
      <c r="C218" s="8"/>
      <c r="D218" s="8"/>
      <c r="E218" s="10">
        <f>IFERROR(VLOOKUP(C218,'Inventory Master'!$A$3:$L$300,4,FALSE),0)</f>
      </c>
      <c r="F218" s="10">
        <f>D218*E218</f>
      </c>
    </row>
    <row r="219" ht="21" customHeight="1" spans="1:6" x14ac:dyDescent="0.25">
      <c r="A219" s="8"/>
      <c r="B219" s="8"/>
      <c r="C219" s="8"/>
      <c r="D219" s="8"/>
      <c r="E219" s="10">
        <f>IFERROR(VLOOKUP(C219,'Inventory Master'!$A$3:$L$300,4,FALSE),0)</f>
      </c>
      <c r="F219" s="10">
        <f>D219*E219</f>
      </c>
    </row>
    <row r="220" ht="21" customHeight="1" spans="1:6" x14ac:dyDescent="0.25">
      <c r="A220" s="8"/>
      <c r="B220" s="8"/>
      <c r="C220" s="8"/>
      <c r="D220" s="8"/>
      <c r="E220" s="10">
        <f>IFERROR(VLOOKUP(C220,'Inventory Master'!$A$3:$L$300,4,FALSE),0)</f>
      </c>
      <c r="F220" s="10">
        <f>D220*E220</f>
      </c>
    </row>
    <row r="221" ht="21" customHeight="1" spans="1:6" x14ac:dyDescent="0.25">
      <c r="A221" s="8"/>
      <c r="B221" s="8"/>
      <c r="C221" s="8"/>
      <c r="D221" s="8"/>
      <c r="E221" s="10">
        <f>IFERROR(VLOOKUP(C221,'Inventory Master'!$A$3:$L$300,4,FALSE),0)</f>
      </c>
      <c r="F221" s="10">
        <f>D221*E221</f>
      </c>
    </row>
    <row r="222" ht="21" customHeight="1" spans="1:6" x14ac:dyDescent="0.25">
      <c r="A222" s="8"/>
      <c r="B222" s="8"/>
      <c r="C222" s="8"/>
      <c r="D222" s="8"/>
      <c r="E222" s="10">
        <f>IFERROR(VLOOKUP(C222,'Inventory Master'!$A$3:$L$300,4,FALSE),0)</f>
      </c>
      <c r="F222" s="10">
        <f>D222*E222</f>
      </c>
    </row>
    <row r="223" ht="21" customHeight="1" spans="1:6" x14ac:dyDescent="0.25">
      <c r="A223" s="8"/>
      <c r="B223" s="8"/>
      <c r="C223" s="8"/>
      <c r="D223" s="8"/>
      <c r="E223" s="10">
        <f>IFERROR(VLOOKUP(C223,'Inventory Master'!$A$3:$L$300,4,FALSE),0)</f>
      </c>
      <c r="F223" s="10">
        <f>D223*E223</f>
      </c>
    </row>
    <row r="224" ht="21" customHeight="1" spans="1:6" x14ac:dyDescent="0.25">
      <c r="A224" s="8"/>
      <c r="B224" s="8"/>
      <c r="C224" s="8"/>
      <c r="D224" s="8"/>
      <c r="E224" s="10">
        <f>IFERROR(VLOOKUP(C224,'Inventory Master'!$A$3:$L$300,4,FALSE),0)</f>
      </c>
      <c r="F224" s="10">
        <f>D224*E224</f>
      </c>
    </row>
    <row r="225" ht="21" customHeight="1" spans="1:6" x14ac:dyDescent="0.25">
      <c r="A225" s="8"/>
      <c r="B225" s="8"/>
      <c r="C225" s="8"/>
      <c r="D225" s="8"/>
      <c r="E225" s="10">
        <f>IFERROR(VLOOKUP(C225,'Inventory Master'!$A$3:$L$300,4,FALSE),0)</f>
      </c>
      <c r="F225" s="10">
        <f>D225*E225</f>
      </c>
    </row>
    <row r="226" ht="21" customHeight="1" spans="1:6" x14ac:dyDescent="0.25">
      <c r="A226" s="8"/>
      <c r="B226" s="8"/>
      <c r="C226" s="8"/>
      <c r="D226" s="8"/>
      <c r="E226" s="10">
        <f>IFERROR(VLOOKUP(C226,'Inventory Master'!$A$3:$L$300,4,FALSE),0)</f>
      </c>
      <c r="F226" s="10">
        <f>D226*E226</f>
      </c>
    </row>
    <row r="227" ht="21" customHeight="1" spans="1:6" x14ac:dyDescent="0.25">
      <c r="A227" s="8"/>
      <c r="B227" s="8"/>
      <c r="C227" s="8"/>
      <c r="D227" s="8"/>
      <c r="E227" s="10">
        <f>IFERROR(VLOOKUP(C227,'Inventory Master'!$A$3:$L$300,4,FALSE),0)</f>
      </c>
      <c r="F227" s="10">
        <f>D227*E227</f>
      </c>
    </row>
    <row r="228" ht="21" customHeight="1" spans="1:6" x14ac:dyDescent="0.25">
      <c r="A228" s="8"/>
      <c r="B228" s="8"/>
      <c r="C228" s="8"/>
      <c r="D228" s="8"/>
      <c r="E228" s="10">
        <f>IFERROR(VLOOKUP(C228,'Inventory Master'!$A$3:$L$300,4,FALSE),0)</f>
      </c>
      <c r="F228" s="10">
        <f>D228*E228</f>
      </c>
    </row>
    <row r="229" ht="21" customHeight="1" spans="1:6" x14ac:dyDescent="0.25">
      <c r="A229" s="8"/>
      <c r="B229" s="8"/>
      <c r="C229" s="8"/>
      <c r="D229" s="8"/>
      <c r="E229" s="10">
        <f>IFERROR(VLOOKUP(C229,'Inventory Master'!$A$3:$L$300,4,FALSE),0)</f>
      </c>
      <c r="F229" s="10">
        <f>D229*E229</f>
      </c>
    </row>
    <row r="230" ht="21" customHeight="1" spans="1:6" x14ac:dyDescent="0.25">
      <c r="A230" s="8"/>
      <c r="B230" s="8"/>
      <c r="C230" s="8"/>
      <c r="D230" s="8"/>
      <c r="E230" s="10">
        <f>IFERROR(VLOOKUP(C230,'Inventory Master'!$A$3:$L$300,4,FALSE),0)</f>
      </c>
      <c r="F230" s="10">
        <f>D230*E230</f>
      </c>
    </row>
    <row r="231" ht="21" customHeight="1" spans="1:6" x14ac:dyDescent="0.25">
      <c r="A231" s="8"/>
      <c r="B231" s="8"/>
      <c r="C231" s="8"/>
      <c r="D231" s="8"/>
      <c r="E231" s="10">
        <f>IFERROR(VLOOKUP(C231,'Inventory Master'!$A$3:$L$300,4,FALSE),0)</f>
      </c>
      <c r="F231" s="10">
        <f>D231*E231</f>
      </c>
    </row>
    <row r="232" ht="21" customHeight="1" spans="1:6" x14ac:dyDescent="0.25">
      <c r="A232" s="8"/>
      <c r="B232" s="8"/>
      <c r="C232" s="8"/>
      <c r="D232" s="8"/>
      <c r="E232" s="10">
        <f>IFERROR(VLOOKUP(C232,'Inventory Master'!$A$3:$L$300,4,FALSE),0)</f>
      </c>
      <c r="F232" s="10">
        <f>D232*E232</f>
      </c>
    </row>
    <row r="233" ht="21" customHeight="1" spans="1:6" x14ac:dyDescent="0.25">
      <c r="A233" s="8"/>
      <c r="B233" s="8"/>
      <c r="C233" s="8"/>
      <c r="D233" s="8"/>
      <c r="E233" s="10">
        <f>IFERROR(VLOOKUP(C233,'Inventory Master'!$A$3:$L$300,4,FALSE),0)</f>
      </c>
      <c r="F233" s="10">
        <f>D233*E233</f>
      </c>
    </row>
    <row r="234" ht="21" customHeight="1" spans="1:6" x14ac:dyDescent="0.25">
      <c r="A234" s="8"/>
      <c r="B234" s="8"/>
      <c r="C234" s="8"/>
      <c r="D234" s="8"/>
      <c r="E234" s="10">
        <f>IFERROR(VLOOKUP(C234,'Inventory Master'!$A$3:$L$300,4,FALSE),0)</f>
      </c>
      <c r="F234" s="10">
        <f>D234*E234</f>
      </c>
    </row>
    <row r="235" ht="21" customHeight="1" spans="1:6" x14ac:dyDescent="0.25">
      <c r="A235" s="8"/>
      <c r="B235" s="8"/>
      <c r="C235" s="8"/>
      <c r="D235" s="8"/>
      <c r="E235" s="10">
        <f>IFERROR(VLOOKUP(C235,'Inventory Master'!$A$3:$L$300,4,FALSE),0)</f>
      </c>
      <c r="F235" s="10">
        <f>D235*E235</f>
      </c>
    </row>
    <row r="236" ht="21" customHeight="1" spans="1:6" x14ac:dyDescent="0.25">
      <c r="A236" s="8"/>
      <c r="B236" s="8"/>
      <c r="C236" s="8"/>
      <c r="D236" s="8"/>
      <c r="E236" s="10">
        <f>IFERROR(VLOOKUP(C236,'Inventory Master'!$A$3:$L$300,4,FALSE),0)</f>
      </c>
      <c r="F236" s="10">
        <f>D236*E236</f>
      </c>
    </row>
    <row r="237" ht="21" customHeight="1" spans="1:6" x14ac:dyDescent="0.25">
      <c r="A237" s="8"/>
      <c r="B237" s="8"/>
      <c r="C237" s="8"/>
      <c r="D237" s="8"/>
      <c r="E237" s="10">
        <f>IFERROR(VLOOKUP(C237,'Inventory Master'!$A$3:$L$300,4,FALSE),0)</f>
      </c>
      <c r="F237" s="10">
        <f>D237*E237</f>
      </c>
    </row>
    <row r="238" ht="21" customHeight="1" spans="1:6" x14ac:dyDescent="0.25">
      <c r="A238" s="8"/>
      <c r="B238" s="8"/>
      <c r="C238" s="8"/>
      <c r="D238" s="8"/>
      <c r="E238" s="10">
        <f>IFERROR(VLOOKUP(C238,'Inventory Master'!$A$3:$L$300,4,FALSE),0)</f>
      </c>
      <c r="F238" s="10">
        <f>D238*E238</f>
      </c>
    </row>
    <row r="239" ht="21" customHeight="1" spans="1:6" x14ac:dyDescent="0.25">
      <c r="A239" s="8"/>
      <c r="B239" s="8"/>
      <c r="C239" s="8"/>
      <c r="D239" s="8"/>
      <c r="E239" s="10">
        <f>IFERROR(VLOOKUP(C239,'Inventory Master'!$A$3:$L$300,4,FALSE),0)</f>
      </c>
      <c r="F239" s="10">
        <f>D239*E239</f>
      </c>
    </row>
    <row r="240" ht="21" customHeight="1" spans="1:6" x14ac:dyDescent="0.25">
      <c r="A240" s="8"/>
      <c r="B240" s="8"/>
      <c r="C240" s="8"/>
      <c r="D240" s="8"/>
      <c r="E240" s="10">
        <f>IFERROR(VLOOKUP(C240,'Inventory Master'!$A$3:$L$300,4,FALSE),0)</f>
      </c>
      <c r="F240" s="10">
        <f>D240*E240</f>
      </c>
    </row>
    <row r="241" ht="21" customHeight="1" spans="1:6" x14ac:dyDescent="0.25">
      <c r="A241" s="8"/>
      <c r="B241" s="8"/>
      <c r="C241" s="8"/>
      <c r="D241" s="8"/>
      <c r="E241" s="10">
        <f>IFERROR(VLOOKUP(C241,'Inventory Master'!$A$3:$L$300,4,FALSE),0)</f>
      </c>
      <c r="F241" s="10">
        <f>D241*E241</f>
      </c>
    </row>
    <row r="242" ht="21" customHeight="1" spans="1:6" x14ac:dyDescent="0.25">
      <c r="A242" s="8"/>
      <c r="B242" s="8"/>
      <c r="C242" s="8"/>
      <c r="D242" s="8"/>
      <c r="E242" s="10">
        <f>IFERROR(VLOOKUP(C242,'Inventory Master'!$A$3:$L$300,4,FALSE),0)</f>
      </c>
      <c r="F242" s="10">
        <f>D242*E242</f>
      </c>
    </row>
    <row r="243" ht="21" customHeight="1" spans="1:6" x14ac:dyDescent="0.25">
      <c r="A243" s="8"/>
      <c r="B243" s="8"/>
      <c r="C243" s="8"/>
      <c r="D243" s="8"/>
      <c r="E243" s="10">
        <f>IFERROR(VLOOKUP(C243,'Inventory Master'!$A$3:$L$300,4,FALSE),0)</f>
      </c>
      <c r="F243" s="10">
        <f>D243*E243</f>
      </c>
    </row>
    <row r="244" ht="21" customHeight="1" spans="1:6" x14ac:dyDescent="0.25">
      <c r="A244" s="8"/>
      <c r="B244" s="8"/>
      <c r="C244" s="8"/>
      <c r="D244" s="8"/>
      <c r="E244" s="10">
        <f>IFERROR(VLOOKUP(C244,'Inventory Master'!$A$3:$L$300,4,FALSE),0)</f>
      </c>
      <c r="F244" s="10">
        <f>D244*E244</f>
      </c>
    </row>
    <row r="245" ht="21" customHeight="1" spans="1:6" x14ac:dyDescent="0.25">
      <c r="A245" s="8"/>
      <c r="B245" s="8"/>
      <c r="C245" s="8"/>
      <c r="D245" s="8"/>
      <c r="E245" s="10">
        <f>IFERROR(VLOOKUP(C245,'Inventory Master'!$A$3:$L$300,4,FALSE),0)</f>
      </c>
      <c r="F245" s="10">
        <f>D245*E245</f>
      </c>
    </row>
    <row r="246" ht="21" customHeight="1" spans="1:6" x14ac:dyDescent="0.25">
      <c r="A246" s="8"/>
      <c r="B246" s="8"/>
      <c r="C246" s="8"/>
      <c r="D246" s="8"/>
      <c r="E246" s="10">
        <f>IFERROR(VLOOKUP(C246,'Inventory Master'!$A$3:$L$300,4,FALSE),0)</f>
      </c>
      <c r="F246" s="10">
        <f>D246*E246</f>
      </c>
    </row>
    <row r="247" ht="21" customHeight="1" spans="1:6" x14ac:dyDescent="0.25">
      <c r="A247" s="8"/>
      <c r="B247" s="8"/>
      <c r="C247" s="8"/>
      <c r="D247" s="8"/>
      <c r="E247" s="10">
        <f>IFERROR(VLOOKUP(C247,'Inventory Master'!$A$3:$L$300,4,FALSE),0)</f>
      </c>
      <c r="F247" s="10">
        <f>D247*E247</f>
      </c>
    </row>
    <row r="248" ht="21" customHeight="1" spans="1:6" x14ac:dyDescent="0.25">
      <c r="A248" s="8"/>
      <c r="B248" s="8"/>
      <c r="C248" s="8"/>
      <c r="D248" s="8"/>
      <c r="E248" s="10">
        <f>IFERROR(VLOOKUP(C248,'Inventory Master'!$A$3:$L$300,4,FALSE),0)</f>
      </c>
      <c r="F248" s="10">
        <f>D248*E248</f>
      </c>
    </row>
    <row r="249" ht="21" customHeight="1" spans="1:6" x14ac:dyDescent="0.25">
      <c r="A249" s="8"/>
      <c r="B249" s="8"/>
      <c r="C249" s="8"/>
      <c r="D249" s="8"/>
      <c r="E249" s="10">
        <f>IFERROR(VLOOKUP(C249,'Inventory Master'!$A$3:$L$300,4,FALSE),0)</f>
      </c>
      <c r="F249" s="10">
        <f>D249*E249</f>
      </c>
    </row>
    <row r="250" ht="21" customHeight="1" spans="1:6" x14ac:dyDescent="0.25">
      <c r="A250" s="8"/>
      <c r="B250" s="8"/>
      <c r="C250" s="8"/>
      <c r="D250" s="8"/>
      <c r="E250" s="10">
        <f>IFERROR(VLOOKUP(C250,'Inventory Master'!$A$3:$L$300,4,FALSE),0)</f>
      </c>
      <c r="F250" s="10">
        <f>D250*E250</f>
      </c>
    </row>
    <row r="251" ht="21" customHeight="1" spans="1:6" x14ac:dyDescent="0.25">
      <c r="A251" s="8"/>
      <c r="B251" s="8"/>
      <c r="C251" s="8"/>
      <c r="D251" s="8"/>
      <c r="E251" s="10">
        <f>IFERROR(VLOOKUP(C251,'Inventory Master'!$A$3:$L$300,4,FALSE),0)</f>
      </c>
      <c r="F251" s="10">
        <f>D251*E251</f>
      </c>
    </row>
    <row r="252" ht="21" customHeight="1" spans="1:6" x14ac:dyDescent="0.25">
      <c r="A252" s="8"/>
      <c r="B252" s="8"/>
      <c r="C252" s="8"/>
      <c r="D252" s="8"/>
      <c r="E252" s="10">
        <f>IFERROR(VLOOKUP(C252,'Inventory Master'!$A$3:$L$300,4,FALSE),0)</f>
      </c>
      <c r="F252" s="10">
        <f>D252*E252</f>
      </c>
    </row>
    <row r="253" ht="21" customHeight="1" spans="1:6" x14ac:dyDescent="0.25">
      <c r="A253" s="8"/>
      <c r="B253" s="8"/>
      <c r="C253" s="8"/>
      <c r="D253" s="8"/>
      <c r="E253" s="10">
        <f>IFERROR(VLOOKUP(C253,'Inventory Master'!$A$3:$L$300,4,FALSE),0)</f>
      </c>
      <c r="F253" s="10">
        <f>D253*E253</f>
      </c>
    </row>
    <row r="254" ht="21" customHeight="1" spans="1:6" x14ac:dyDescent="0.25">
      <c r="A254" s="8"/>
      <c r="B254" s="8"/>
      <c r="C254" s="8"/>
      <c r="D254" s="8"/>
      <c r="E254" s="10">
        <f>IFERROR(VLOOKUP(C254,'Inventory Master'!$A$3:$L$300,4,FALSE),0)</f>
      </c>
      <c r="F254" s="10">
        <f>D254*E254</f>
      </c>
    </row>
    <row r="255" ht="21" customHeight="1" spans="1:6" x14ac:dyDescent="0.25">
      <c r="A255" s="8"/>
      <c r="B255" s="8"/>
      <c r="C255" s="8"/>
      <c r="D255" s="8"/>
      <c r="E255" s="10">
        <f>IFERROR(VLOOKUP(C255,'Inventory Master'!$A$3:$L$300,4,FALSE),0)</f>
      </c>
      <c r="F255" s="10">
        <f>D255*E255</f>
      </c>
    </row>
    <row r="256" ht="21" customHeight="1" spans="1:6" x14ac:dyDescent="0.25">
      <c r="A256" s="8"/>
      <c r="B256" s="8"/>
      <c r="C256" s="8"/>
      <c r="D256" s="8"/>
      <c r="E256" s="10">
        <f>IFERROR(VLOOKUP(C256,'Inventory Master'!$A$3:$L$300,4,FALSE),0)</f>
      </c>
      <c r="F256" s="10">
        <f>D256*E256</f>
      </c>
    </row>
    <row r="257" ht="21" customHeight="1" spans="1:6" x14ac:dyDescent="0.25">
      <c r="A257" s="8"/>
      <c r="B257" s="8"/>
      <c r="C257" s="8"/>
      <c r="D257" s="8"/>
      <c r="E257" s="10">
        <f>IFERROR(VLOOKUP(C257,'Inventory Master'!$A$3:$L$300,4,FALSE),0)</f>
      </c>
      <c r="F257" s="10">
        <f>D257*E257</f>
      </c>
    </row>
    <row r="258" ht="21" customHeight="1" spans="1:6" x14ac:dyDescent="0.25">
      <c r="A258" s="8"/>
      <c r="B258" s="8"/>
      <c r="C258" s="8"/>
      <c r="D258" s="8"/>
      <c r="E258" s="10">
        <f>IFERROR(VLOOKUP(C258,'Inventory Master'!$A$3:$L$300,4,FALSE),0)</f>
      </c>
      <c r="F258" s="10">
        <f>D258*E258</f>
      </c>
    </row>
    <row r="259" ht="21" customHeight="1" spans="1:6" x14ac:dyDescent="0.25">
      <c r="A259" s="8"/>
      <c r="B259" s="8"/>
      <c r="C259" s="8"/>
      <c r="D259" s="8"/>
      <c r="E259" s="10">
        <f>IFERROR(VLOOKUP(C259,'Inventory Master'!$A$3:$L$300,4,FALSE),0)</f>
      </c>
      <c r="F259" s="10">
        <f>D259*E259</f>
      </c>
    </row>
    <row r="260" ht="21" customHeight="1" spans="1:6" x14ac:dyDescent="0.25">
      <c r="A260" s="8"/>
      <c r="B260" s="8"/>
      <c r="C260" s="8"/>
      <c r="D260" s="8"/>
      <c r="E260" s="10">
        <f>IFERROR(VLOOKUP(C260,'Inventory Master'!$A$3:$L$300,4,FALSE),0)</f>
      </c>
      <c r="F260" s="10">
        <f>D260*E260</f>
      </c>
    </row>
    <row r="261" ht="21" customHeight="1" spans="1:6" x14ac:dyDescent="0.25">
      <c r="A261" s="8"/>
      <c r="B261" s="8"/>
      <c r="C261" s="8"/>
      <c r="D261" s="8"/>
      <c r="E261" s="10">
        <f>IFERROR(VLOOKUP(C261,'Inventory Master'!$A$3:$L$300,4,FALSE),0)</f>
      </c>
      <c r="F261" s="10">
        <f>D261*E261</f>
      </c>
    </row>
    <row r="262" ht="21" customHeight="1" spans="1:6" x14ac:dyDescent="0.25">
      <c r="A262" s="8"/>
      <c r="B262" s="8"/>
      <c r="C262" s="8"/>
      <c r="D262" s="8"/>
      <c r="E262" s="10">
        <f>IFERROR(VLOOKUP(C262,'Inventory Master'!$A$3:$L$300,4,FALSE),0)</f>
      </c>
      <c r="F262" s="10">
        <f>D262*E262</f>
      </c>
    </row>
    <row r="263" ht="21" customHeight="1" spans="1:6" x14ac:dyDescent="0.25">
      <c r="A263" s="8"/>
      <c r="B263" s="8"/>
      <c r="C263" s="8"/>
      <c r="D263" s="8"/>
      <c r="E263" s="10">
        <f>IFERROR(VLOOKUP(C263,'Inventory Master'!$A$3:$L$300,4,FALSE),0)</f>
      </c>
      <c r="F263" s="10">
        <f>D263*E263</f>
      </c>
    </row>
    <row r="264" ht="21" customHeight="1" spans="1:6" x14ac:dyDescent="0.25">
      <c r="A264" s="8"/>
      <c r="B264" s="8"/>
      <c r="C264" s="8"/>
      <c r="D264" s="8"/>
      <c r="E264" s="10">
        <f>IFERROR(VLOOKUP(C264,'Inventory Master'!$A$3:$L$300,4,FALSE),0)</f>
      </c>
      <c r="F264" s="10">
        <f>D264*E264</f>
      </c>
    </row>
    <row r="265" ht="21" customHeight="1" spans="1:6" x14ac:dyDescent="0.25">
      <c r="A265" s="8"/>
      <c r="B265" s="8"/>
      <c r="C265" s="8"/>
      <c r="D265" s="8"/>
      <c r="E265" s="10">
        <f>IFERROR(VLOOKUP(C265,'Inventory Master'!$A$3:$L$300,4,FALSE),0)</f>
      </c>
      <c r="F265" s="10">
        <f>D265*E265</f>
      </c>
    </row>
    <row r="266" ht="21" customHeight="1" spans="1:6" x14ac:dyDescent="0.25">
      <c r="A266" s="8"/>
      <c r="B266" s="8"/>
      <c r="C266" s="8"/>
      <c r="D266" s="8"/>
      <c r="E266" s="10">
        <f>IFERROR(VLOOKUP(C266,'Inventory Master'!$A$3:$L$300,4,FALSE),0)</f>
      </c>
      <c r="F266" s="10">
        <f>D266*E266</f>
      </c>
    </row>
    <row r="267" ht="21" customHeight="1" spans="1:6" x14ac:dyDescent="0.25">
      <c r="A267" s="8"/>
      <c r="B267" s="8"/>
      <c r="C267" s="8"/>
      <c r="D267" s="8"/>
      <c r="E267" s="10">
        <f>IFERROR(VLOOKUP(C267,'Inventory Master'!$A$3:$L$300,4,FALSE),0)</f>
      </c>
      <c r="F267" s="10">
        <f>D267*E267</f>
      </c>
    </row>
    <row r="268" ht="21" customHeight="1" spans="1:6" x14ac:dyDescent="0.25">
      <c r="A268" s="8"/>
      <c r="B268" s="8"/>
      <c r="C268" s="8"/>
      <c r="D268" s="8"/>
      <c r="E268" s="10">
        <f>IFERROR(VLOOKUP(C268,'Inventory Master'!$A$3:$L$300,4,FALSE),0)</f>
      </c>
      <c r="F268" s="10">
        <f>D268*E268</f>
      </c>
    </row>
    <row r="269" ht="21" customHeight="1" spans="1:6" x14ac:dyDescent="0.25">
      <c r="A269" s="8"/>
      <c r="B269" s="8"/>
      <c r="C269" s="8"/>
      <c r="D269" s="8"/>
      <c r="E269" s="10">
        <f>IFERROR(VLOOKUP(C269,'Inventory Master'!$A$3:$L$300,4,FALSE),0)</f>
      </c>
      <c r="F269" s="10">
        <f>D269*E269</f>
      </c>
    </row>
    <row r="270" ht="21" customHeight="1" spans="1:6" x14ac:dyDescent="0.25">
      <c r="A270" s="8"/>
      <c r="B270" s="8"/>
      <c r="C270" s="8"/>
      <c r="D270" s="8"/>
      <c r="E270" s="10">
        <f>IFERROR(VLOOKUP(C270,'Inventory Master'!$A$3:$L$300,4,FALSE),0)</f>
      </c>
      <c r="F270" s="10">
        <f>D270*E270</f>
      </c>
    </row>
    <row r="271" ht="21" customHeight="1" spans="1:6" x14ac:dyDescent="0.25">
      <c r="A271" s="8"/>
      <c r="B271" s="8"/>
      <c r="C271" s="8"/>
      <c r="D271" s="8"/>
      <c r="E271" s="10">
        <f>IFERROR(VLOOKUP(C271,'Inventory Master'!$A$3:$L$300,4,FALSE),0)</f>
      </c>
      <c r="F271" s="10">
        <f>D271*E271</f>
      </c>
    </row>
    <row r="272" ht="21" customHeight="1" spans="1:6" x14ac:dyDescent="0.25">
      <c r="A272" s="8"/>
      <c r="B272" s="8"/>
      <c r="C272" s="8"/>
      <c r="D272" s="8"/>
      <c r="E272" s="10">
        <f>IFERROR(VLOOKUP(C272,'Inventory Master'!$A$3:$L$300,4,FALSE),0)</f>
      </c>
      <c r="F272" s="10">
        <f>D272*E272</f>
      </c>
    </row>
    <row r="273" ht="21" customHeight="1" spans="1:6" x14ac:dyDescent="0.25">
      <c r="A273" s="8"/>
      <c r="B273" s="8"/>
      <c r="C273" s="8"/>
      <c r="D273" s="8"/>
      <c r="E273" s="10">
        <f>IFERROR(VLOOKUP(C273,'Inventory Master'!$A$3:$L$300,4,FALSE),0)</f>
      </c>
      <c r="F273" s="10">
        <f>D273*E273</f>
      </c>
    </row>
    <row r="274" ht="21" customHeight="1" spans="1:6" x14ac:dyDescent="0.25">
      <c r="A274" s="8"/>
      <c r="B274" s="8"/>
      <c r="C274" s="8"/>
      <c r="D274" s="8"/>
      <c r="E274" s="10">
        <f>IFERROR(VLOOKUP(C274,'Inventory Master'!$A$3:$L$300,4,FALSE),0)</f>
      </c>
      <c r="F274" s="10">
        <f>D274*E274</f>
      </c>
    </row>
    <row r="275" ht="21" customHeight="1" spans="1:6" x14ac:dyDescent="0.25">
      <c r="A275" s="8"/>
      <c r="B275" s="8"/>
      <c r="C275" s="8"/>
      <c r="D275" s="8"/>
      <c r="E275" s="10">
        <f>IFERROR(VLOOKUP(C275,'Inventory Master'!$A$3:$L$300,4,FALSE),0)</f>
      </c>
      <c r="F275" s="10">
        <f>D275*E275</f>
      </c>
    </row>
    <row r="276" ht="21" customHeight="1" spans="1:6" x14ac:dyDescent="0.25">
      <c r="A276" s="8"/>
      <c r="B276" s="8"/>
      <c r="C276" s="8"/>
      <c r="D276" s="8"/>
      <c r="E276" s="10">
        <f>IFERROR(VLOOKUP(C276,'Inventory Master'!$A$3:$L$300,4,FALSE),0)</f>
      </c>
      <c r="F276" s="10">
        <f>D276*E276</f>
      </c>
    </row>
    <row r="277" ht="21" customHeight="1" spans="1:6" x14ac:dyDescent="0.25">
      <c r="A277" s="8"/>
      <c r="B277" s="8"/>
      <c r="C277" s="8"/>
      <c r="D277" s="8"/>
      <c r="E277" s="10">
        <f>IFERROR(VLOOKUP(C277,'Inventory Master'!$A$3:$L$300,4,FALSE),0)</f>
      </c>
      <c r="F277" s="10">
        <f>D277*E277</f>
      </c>
    </row>
    <row r="278" ht="21" customHeight="1" spans="1:6" x14ac:dyDescent="0.25">
      <c r="A278" s="8"/>
      <c r="B278" s="8"/>
      <c r="C278" s="8"/>
      <c r="D278" s="8"/>
      <c r="E278" s="10">
        <f>IFERROR(VLOOKUP(C278,'Inventory Master'!$A$3:$L$300,4,FALSE),0)</f>
      </c>
      <c r="F278" s="10">
        <f>D278*E278</f>
      </c>
    </row>
    <row r="279" ht="21" customHeight="1" spans="1:6" x14ac:dyDescent="0.25">
      <c r="A279" s="8"/>
      <c r="B279" s="8"/>
      <c r="C279" s="8"/>
      <c r="D279" s="8"/>
      <c r="E279" s="10">
        <f>IFERROR(VLOOKUP(C279,'Inventory Master'!$A$3:$L$300,4,FALSE),0)</f>
      </c>
      <c r="F279" s="10">
        <f>D279*E279</f>
      </c>
    </row>
    <row r="280" ht="21" customHeight="1" spans="1:6" x14ac:dyDescent="0.25">
      <c r="A280" s="8"/>
      <c r="B280" s="8"/>
      <c r="C280" s="8"/>
      <c r="D280" s="8"/>
      <c r="E280" s="10">
        <f>IFERROR(VLOOKUP(C280,'Inventory Master'!$A$3:$L$300,4,FALSE),0)</f>
      </c>
      <c r="F280" s="10">
        <f>D280*E280</f>
      </c>
    </row>
    <row r="281" ht="21" customHeight="1" spans="1:6" x14ac:dyDescent="0.25">
      <c r="A281" s="8"/>
      <c r="B281" s="8"/>
      <c r="C281" s="8"/>
      <c r="D281" s="8"/>
      <c r="E281" s="10">
        <f>IFERROR(VLOOKUP(C281,'Inventory Master'!$A$3:$L$300,4,FALSE),0)</f>
      </c>
      <c r="F281" s="10">
        <f>D281*E281</f>
      </c>
    </row>
    <row r="282" ht="21" customHeight="1" spans="1:6" x14ac:dyDescent="0.25">
      <c r="A282" s="8"/>
      <c r="B282" s="8"/>
      <c r="C282" s="8"/>
      <c r="D282" s="8"/>
      <c r="E282" s="10">
        <f>IFERROR(VLOOKUP(C282,'Inventory Master'!$A$3:$L$300,4,FALSE),0)</f>
      </c>
      <c r="F282" s="10">
        <f>D282*E282</f>
      </c>
    </row>
    <row r="283" ht="21" customHeight="1" spans="1:6" x14ac:dyDescent="0.25">
      <c r="A283" s="8"/>
      <c r="B283" s="8"/>
      <c r="C283" s="8"/>
      <c r="D283" s="8"/>
      <c r="E283" s="10">
        <f>IFERROR(VLOOKUP(C283,'Inventory Master'!$A$3:$L$300,4,FALSE),0)</f>
      </c>
      <c r="F283" s="10">
        <f>D283*E283</f>
      </c>
    </row>
    <row r="284" ht="21" customHeight="1" spans="1:6" x14ac:dyDescent="0.25">
      <c r="A284" s="8"/>
      <c r="B284" s="8"/>
      <c r="C284" s="8"/>
      <c r="D284" s="8"/>
      <c r="E284" s="10">
        <f>IFERROR(VLOOKUP(C284,'Inventory Master'!$A$3:$L$300,4,FALSE),0)</f>
      </c>
      <c r="F284" s="10">
        <f>D284*E284</f>
      </c>
    </row>
    <row r="285" ht="21" customHeight="1" spans="1:6" x14ac:dyDescent="0.25">
      <c r="A285" s="8"/>
      <c r="B285" s="8"/>
      <c r="C285" s="8"/>
      <c r="D285" s="8"/>
      <c r="E285" s="10">
        <f>IFERROR(VLOOKUP(C285,'Inventory Master'!$A$3:$L$300,4,FALSE),0)</f>
      </c>
      <c r="F285" s="10">
        <f>D285*E285</f>
      </c>
    </row>
    <row r="286" ht="21" customHeight="1" spans="1:6" x14ac:dyDescent="0.25">
      <c r="A286" s="8"/>
      <c r="B286" s="8"/>
      <c r="C286" s="8"/>
      <c r="D286" s="8"/>
      <c r="E286" s="10">
        <f>IFERROR(VLOOKUP(C286,'Inventory Master'!$A$3:$L$300,4,FALSE),0)</f>
      </c>
      <c r="F286" s="10">
        <f>D286*E286</f>
      </c>
    </row>
    <row r="287" ht="21" customHeight="1" spans="1:6" x14ac:dyDescent="0.25">
      <c r="A287" s="8"/>
      <c r="B287" s="8"/>
      <c r="C287" s="8"/>
      <c r="D287" s="8"/>
      <c r="E287" s="10">
        <f>IFERROR(VLOOKUP(C287,'Inventory Master'!$A$3:$L$300,4,FALSE),0)</f>
      </c>
      <c r="F287" s="10">
        <f>D287*E287</f>
      </c>
    </row>
    <row r="288" ht="21" customHeight="1" spans="1:6" x14ac:dyDescent="0.25">
      <c r="A288" s="8"/>
      <c r="B288" s="8"/>
      <c r="C288" s="8"/>
      <c r="D288" s="8"/>
      <c r="E288" s="10">
        <f>IFERROR(VLOOKUP(C288,'Inventory Master'!$A$3:$L$300,4,FALSE),0)</f>
      </c>
      <c r="F288" s="10">
        <f>D288*E288</f>
      </c>
    </row>
    <row r="289" ht="21" customHeight="1" spans="1:6" x14ac:dyDescent="0.25">
      <c r="A289" s="8"/>
      <c r="B289" s="8"/>
      <c r="C289" s="8"/>
      <c r="D289" s="8"/>
      <c r="E289" s="10">
        <f>IFERROR(VLOOKUP(C289,'Inventory Master'!$A$3:$L$300,4,FALSE),0)</f>
      </c>
      <c r="F289" s="10">
        <f>D289*E289</f>
      </c>
    </row>
    <row r="290" ht="21" customHeight="1" spans="1:6" x14ac:dyDescent="0.25">
      <c r="A290" s="8"/>
      <c r="B290" s="8"/>
      <c r="C290" s="8"/>
      <c r="D290" s="8"/>
      <c r="E290" s="10">
        <f>IFERROR(VLOOKUP(C290,'Inventory Master'!$A$3:$L$300,4,FALSE),0)</f>
      </c>
      <c r="F290" s="10">
        <f>D290*E290</f>
      </c>
    </row>
    <row r="291" ht="21" customHeight="1" spans="1:6" x14ac:dyDescent="0.25">
      <c r="A291" s="8"/>
      <c r="B291" s="8"/>
      <c r="C291" s="8"/>
      <c r="D291" s="8"/>
      <c r="E291" s="10">
        <f>IFERROR(VLOOKUP(C291,'Inventory Master'!$A$3:$L$300,4,FALSE),0)</f>
      </c>
      <c r="F291" s="10">
        <f>D291*E291</f>
      </c>
    </row>
    <row r="292" ht="21" customHeight="1" spans="1:6" x14ac:dyDescent="0.25">
      <c r="A292" s="8"/>
      <c r="B292" s="8"/>
      <c r="C292" s="8"/>
      <c r="D292" s="8"/>
      <c r="E292" s="10">
        <f>IFERROR(VLOOKUP(C292,'Inventory Master'!$A$3:$L$300,4,FALSE),0)</f>
      </c>
      <c r="F292" s="10">
        <f>D292*E292</f>
      </c>
    </row>
    <row r="293" ht="21" customHeight="1" spans="1:6" x14ac:dyDescent="0.25">
      <c r="A293" s="8"/>
      <c r="B293" s="8"/>
      <c r="C293" s="8"/>
      <c r="D293" s="8"/>
      <c r="E293" s="10">
        <f>IFERROR(VLOOKUP(C293,'Inventory Master'!$A$3:$L$300,4,FALSE),0)</f>
      </c>
      <c r="F293" s="10">
        <f>D293*E293</f>
      </c>
    </row>
    <row r="294" ht="21" customHeight="1" spans="1:6" x14ac:dyDescent="0.25">
      <c r="A294" s="8"/>
      <c r="B294" s="8"/>
      <c r="C294" s="8"/>
      <c r="D294" s="8"/>
      <c r="E294" s="10">
        <f>IFERROR(VLOOKUP(C294,'Inventory Master'!$A$3:$L$300,4,FALSE),0)</f>
      </c>
      <c r="F294" s="10">
        <f>D294*E294</f>
      </c>
    </row>
    <row r="295" ht="21" customHeight="1" spans="1:6" x14ac:dyDescent="0.25">
      <c r="A295" s="8"/>
      <c r="B295" s="8"/>
      <c r="C295" s="8"/>
      <c r="D295" s="8"/>
      <c r="E295" s="10">
        <f>IFERROR(VLOOKUP(C295,'Inventory Master'!$A$3:$L$300,4,FALSE),0)</f>
      </c>
      <c r="F295" s="10">
        <f>D295*E295</f>
      </c>
    </row>
    <row r="296" ht="21" customHeight="1" spans="1:6" x14ac:dyDescent="0.25">
      <c r="A296" s="8"/>
      <c r="B296" s="8"/>
      <c r="C296" s="8"/>
      <c r="D296" s="8"/>
      <c r="E296" s="10">
        <f>IFERROR(VLOOKUP(C296,'Inventory Master'!$A$3:$L$300,4,FALSE),0)</f>
      </c>
      <c r="F296" s="10">
        <f>D296*E296</f>
      </c>
    </row>
    <row r="297" ht="21" customHeight="1" spans="1:6" x14ac:dyDescent="0.25">
      <c r="A297" s="8"/>
      <c r="B297" s="8"/>
      <c r="C297" s="8"/>
      <c r="D297" s="8"/>
      <c r="E297" s="10">
        <f>IFERROR(VLOOKUP(C297,'Inventory Master'!$A$3:$L$300,4,FALSE),0)</f>
      </c>
      <c r="F297" s="10">
        <f>D297*E297</f>
      </c>
    </row>
    <row r="298" ht="21" customHeight="1" spans="1:6" x14ac:dyDescent="0.25">
      <c r="A298" s="8"/>
      <c r="B298" s="8"/>
      <c r="C298" s="8"/>
      <c r="D298" s="8"/>
      <c r="E298" s="10">
        <f>IFERROR(VLOOKUP(C298,'Inventory Master'!$A$3:$L$300,4,FALSE),0)</f>
      </c>
      <c r="F298" s="10">
        <f>D298*E298</f>
      </c>
    </row>
    <row r="299" ht="21" customHeight="1" spans="1:6" x14ac:dyDescent="0.25">
      <c r="A299" s="8"/>
      <c r="B299" s="8"/>
      <c r="C299" s="8"/>
      <c r="D299" s="8"/>
      <c r="E299" s="10">
        <f>IFERROR(VLOOKUP(C299,'Inventory Master'!$A$3:$L$300,4,FALSE),0)</f>
      </c>
      <c r="F299" s="10">
        <f>D299*E299</f>
      </c>
    </row>
    <row r="300" ht="21" customHeight="1" spans="1:6" x14ac:dyDescent="0.25">
      <c r="A300" s="8"/>
      <c r="B300" s="8"/>
      <c r="C300" s="8"/>
      <c r="D300" s="8"/>
      <c r="E300" s="10">
        <f>IFERROR(VLOOKUP(C300,'Inventory Master'!$A$3:$L$300,4,FALSE),0)</f>
      </c>
      <c r="F300" s="10">
        <f>D300*E300</f>
      </c>
    </row>
    <row r="301" ht="21" customHeight="1" spans="1:6" x14ac:dyDescent="0.25">
      <c r="A301" s="8"/>
      <c r="B301" s="8"/>
      <c r="C301" s="8"/>
      <c r="D301" s="8"/>
      <c r="E301" s="10">
        <f>IFERROR(VLOOKUP(C301,'Inventory Master'!$A$3:$L$300,4,FALSE),0)</f>
      </c>
      <c r="F301" s="10">
        <f>D301*E301</f>
      </c>
    </row>
    <row r="302" ht="21" customHeight="1" spans="1:6" x14ac:dyDescent="0.25">
      <c r="A302" s="8"/>
      <c r="B302" s="8"/>
      <c r="C302" s="8"/>
      <c r="D302" s="8"/>
      <c r="E302" s="10">
        <f>IFERROR(VLOOKUP(C302,'Inventory Master'!$A$3:$L$300,4,FALSE),0)</f>
      </c>
      <c r="F302" s="10">
        <f>D302*E302</f>
      </c>
    </row>
    <row r="303" ht="21" customHeight="1" spans="1:6" x14ac:dyDescent="0.25">
      <c r="A303" s="8"/>
      <c r="B303" s="8"/>
      <c r="C303" s="8"/>
      <c r="D303" s="8"/>
      <c r="E303" s="10">
        <f>IFERROR(VLOOKUP(C303,'Inventory Master'!$A$3:$L$300,4,FALSE),0)</f>
      </c>
      <c r="F303" s="10">
        <f>D303*E303</f>
      </c>
    </row>
    <row r="304" ht="21" customHeight="1" spans="1:6" x14ac:dyDescent="0.25">
      <c r="A304" s="8"/>
      <c r="B304" s="8"/>
      <c r="C304" s="8"/>
      <c r="D304" s="8"/>
      <c r="E304" s="10">
        <f>IFERROR(VLOOKUP(C304,'Inventory Master'!$A$3:$L$300,4,FALSE),0)</f>
      </c>
      <c r="F304" s="10">
        <f>D304*E304</f>
      </c>
    </row>
    <row r="305" ht="21" customHeight="1" spans="1:6" x14ac:dyDescent="0.25">
      <c r="A305" s="8"/>
      <c r="B305" s="8"/>
      <c r="C305" s="8"/>
      <c r="D305" s="8"/>
      <c r="E305" s="10">
        <f>IFERROR(VLOOKUP(C305,'Inventory Master'!$A$3:$L$300,4,FALSE),0)</f>
      </c>
      <c r="F305" s="10">
        <f>D305*E305</f>
      </c>
    </row>
    <row r="306" ht="21" customHeight="1" spans="1:6" x14ac:dyDescent="0.25">
      <c r="A306" s="8"/>
      <c r="B306" s="8"/>
      <c r="C306" s="8"/>
      <c r="D306" s="8"/>
      <c r="E306" s="10">
        <f>IFERROR(VLOOKUP(C306,'Inventory Master'!$A$3:$L$300,4,FALSE),0)</f>
      </c>
      <c r="F306" s="10">
        <f>D306*E306</f>
      </c>
    </row>
    <row r="307" ht="21" customHeight="1" spans="1:6" x14ac:dyDescent="0.25">
      <c r="A307" s="8"/>
      <c r="B307" s="8"/>
      <c r="C307" s="8"/>
      <c r="D307" s="8"/>
      <c r="E307" s="10">
        <f>IFERROR(VLOOKUP(C307,'Inventory Master'!$A$3:$L$300,4,FALSE),0)</f>
      </c>
      <c r="F307" s="10">
        <f>D307*E307</f>
      </c>
    </row>
    <row r="308" ht="21" customHeight="1" spans="1:6" x14ac:dyDescent="0.25">
      <c r="A308" s="8"/>
      <c r="B308" s="8"/>
      <c r="C308" s="8"/>
      <c r="D308" s="8"/>
      <c r="E308" s="10">
        <f>IFERROR(VLOOKUP(C308,'Inventory Master'!$A$3:$L$300,4,FALSE),0)</f>
      </c>
      <c r="F308" s="10">
        <f>D308*E308</f>
      </c>
    </row>
    <row r="309" ht="21" customHeight="1" spans="1:6" x14ac:dyDescent="0.25">
      <c r="A309" s="8"/>
      <c r="B309" s="8"/>
      <c r="C309" s="8"/>
      <c r="D309" s="8"/>
      <c r="E309" s="10">
        <f>IFERROR(VLOOKUP(C309,'Inventory Master'!$A$3:$L$300,4,FALSE),0)</f>
      </c>
      <c r="F309" s="10">
        <f>D309*E309</f>
      </c>
    </row>
    <row r="310" ht="21" customHeight="1" spans="1:6" x14ac:dyDescent="0.25">
      <c r="A310" s="8"/>
      <c r="B310" s="8"/>
      <c r="C310" s="8"/>
      <c r="D310" s="8"/>
      <c r="E310" s="10">
        <f>IFERROR(VLOOKUP(C310,'Inventory Master'!$A$3:$L$300,4,FALSE),0)</f>
      </c>
      <c r="F310" s="10">
        <f>D310*E310</f>
      </c>
    </row>
    <row r="311" ht="21" customHeight="1" spans="1:6" x14ac:dyDescent="0.25">
      <c r="A311" s="8"/>
      <c r="B311" s="8"/>
      <c r="C311" s="8"/>
      <c r="D311" s="8"/>
      <c r="E311" s="10">
        <f>IFERROR(VLOOKUP(C311,'Inventory Master'!$A$3:$L$300,4,FALSE),0)</f>
      </c>
      <c r="F311" s="10">
        <f>D311*E311</f>
      </c>
    </row>
    <row r="312" ht="21" customHeight="1" spans="1:6" x14ac:dyDescent="0.25">
      <c r="A312" s="8"/>
      <c r="B312" s="8"/>
      <c r="C312" s="8"/>
      <c r="D312" s="8"/>
      <c r="E312" s="10">
        <f>IFERROR(VLOOKUP(C312,'Inventory Master'!$A$3:$L$300,4,FALSE),0)</f>
      </c>
      <c r="F312" s="10">
        <f>D312*E312</f>
      </c>
    </row>
    <row r="313" ht="21" customHeight="1" spans="1:6" x14ac:dyDescent="0.25">
      <c r="A313" s="8"/>
      <c r="B313" s="8"/>
      <c r="C313" s="8"/>
      <c r="D313" s="8"/>
      <c r="E313" s="10">
        <f>IFERROR(VLOOKUP(C313,'Inventory Master'!$A$3:$L$300,4,FALSE),0)</f>
      </c>
      <c r="F313" s="10">
        <f>D313*E313</f>
      </c>
    </row>
    <row r="314" ht="21" customHeight="1" spans="1:6" x14ac:dyDescent="0.25">
      <c r="A314" s="8"/>
      <c r="B314" s="8"/>
      <c r="C314" s="8"/>
      <c r="D314" s="8"/>
      <c r="E314" s="10">
        <f>IFERROR(VLOOKUP(C314,'Inventory Master'!$A$3:$L$300,4,FALSE),0)</f>
      </c>
      <c r="F314" s="10">
        <f>D314*E314</f>
      </c>
    </row>
    <row r="315" ht="21" customHeight="1" spans="1:6" x14ac:dyDescent="0.25">
      <c r="A315" s="8"/>
      <c r="B315" s="8"/>
      <c r="C315" s="8"/>
      <c r="D315" s="8"/>
      <c r="E315" s="10">
        <f>IFERROR(VLOOKUP(C315,'Inventory Master'!$A$3:$L$300,4,FALSE),0)</f>
      </c>
      <c r="F315" s="10">
        <f>D315*E315</f>
      </c>
    </row>
    <row r="316" ht="21" customHeight="1" spans="1:6" x14ac:dyDescent="0.25">
      <c r="A316" s="8"/>
      <c r="B316" s="8"/>
      <c r="C316" s="8"/>
      <c r="D316" s="8"/>
      <c r="E316" s="10">
        <f>IFERROR(VLOOKUP(C316,'Inventory Master'!$A$3:$L$300,4,FALSE),0)</f>
      </c>
      <c r="F316" s="10">
        <f>D316*E316</f>
      </c>
    </row>
    <row r="317" ht="21" customHeight="1" spans="1:6" x14ac:dyDescent="0.25">
      <c r="A317" s="8"/>
      <c r="B317" s="8"/>
      <c r="C317" s="8"/>
      <c r="D317" s="8"/>
      <c r="E317" s="10">
        <f>IFERROR(VLOOKUP(C317,'Inventory Master'!$A$3:$L$300,4,FALSE),0)</f>
      </c>
      <c r="F317" s="10">
        <f>D317*E317</f>
      </c>
    </row>
    <row r="318" ht="21" customHeight="1" spans="1:6" x14ac:dyDescent="0.25">
      <c r="A318" s="8"/>
      <c r="B318" s="8"/>
      <c r="C318" s="8"/>
      <c r="D318" s="8"/>
      <c r="E318" s="10">
        <f>IFERROR(VLOOKUP(C318,'Inventory Master'!$A$3:$L$300,4,FALSE),0)</f>
      </c>
      <c r="F318" s="10">
        <f>D318*E318</f>
      </c>
    </row>
    <row r="319" ht="21" customHeight="1" spans="1:6" x14ac:dyDescent="0.25">
      <c r="A319" s="8"/>
      <c r="B319" s="8"/>
      <c r="C319" s="8"/>
      <c r="D319" s="8"/>
      <c r="E319" s="10">
        <f>IFERROR(VLOOKUP(C319,'Inventory Master'!$A$3:$L$300,4,FALSE),0)</f>
      </c>
      <c r="F319" s="10">
        <f>D319*E319</f>
      </c>
    </row>
    <row r="320" ht="21" customHeight="1" spans="1:6" x14ac:dyDescent="0.25">
      <c r="A320" s="8"/>
      <c r="B320" s="8"/>
      <c r="C320" s="8"/>
      <c r="D320" s="8"/>
      <c r="E320" s="10">
        <f>IFERROR(VLOOKUP(C320,'Inventory Master'!$A$3:$L$300,4,FALSE),0)</f>
      </c>
      <c r="F320" s="10">
        <f>D320*E320</f>
      </c>
    </row>
    <row r="321" ht="21" customHeight="1" spans="1:6" x14ac:dyDescent="0.25">
      <c r="A321" s="8"/>
      <c r="B321" s="8"/>
      <c r="C321" s="8"/>
      <c r="D321" s="8"/>
      <c r="E321" s="10">
        <f>IFERROR(VLOOKUP(C321,'Inventory Master'!$A$3:$L$300,4,FALSE),0)</f>
      </c>
      <c r="F321" s="10">
        <f>D321*E321</f>
      </c>
    </row>
    <row r="322" ht="21" customHeight="1" spans="1:6" x14ac:dyDescent="0.25">
      <c r="A322" s="8"/>
      <c r="B322" s="8"/>
      <c r="C322" s="8"/>
      <c r="D322" s="8"/>
      <c r="E322" s="10">
        <f>IFERROR(VLOOKUP(C322,'Inventory Master'!$A$3:$L$300,4,FALSE),0)</f>
      </c>
      <c r="F322" s="10">
        <f>D322*E322</f>
      </c>
    </row>
    <row r="323" ht="21" customHeight="1" spans="1:6" x14ac:dyDescent="0.25">
      <c r="A323" s="8"/>
      <c r="B323" s="8"/>
      <c r="C323" s="8"/>
      <c r="D323" s="8"/>
      <c r="E323" s="10">
        <f>IFERROR(VLOOKUP(C323,'Inventory Master'!$A$3:$L$300,4,FALSE),0)</f>
      </c>
      <c r="F323" s="10">
        <f>D323*E323</f>
      </c>
    </row>
    <row r="324" ht="21" customHeight="1" spans="1:6" x14ac:dyDescent="0.25">
      <c r="A324" s="8"/>
      <c r="B324" s="8"/>
      <c r="C324" s="8"/>
      <c r="D324" s="8"/>
      <c r="E324" s="10">
        <f>IFERROR(VLOOKUP(C324,'Inventory Master'!$A$3:$L$300,4,FALSE),0)</f>
      </c>
      <c r="F324" s="10">
        <f>D324*E324</f>
      </c>
    </row>
    <row r="325" ht="21" customHeight="1" spans="1:6" x14ac:dyDescent="0.25">
      <c r="A325" s="8"/>
      <c r="B325" s="8"/>
      <c r="C325" s="8"/>
      <c r="D325" s="8"/>
      <c r="E325" s="10">
        <f>IFERROR(VLOOKUP(C325,'Inventory Master'!$A$3:$L$300,4,FALSE),0)</f>
      </c>
      <c r="F325" s="10">
        <f>D325*E325</f>
      </c>
    </row>
    <row r="326" ht="21" customHeight="1" spans="1:6" x14ac:dyDescent="0.25">
      <c r="A326" s="8"/>
      <c r="B326" s="8"/>
      <c r="C326" s="8"/>
      <c r="D326" s="8"/>
      <c r="E326" s="10">
        <f>IFERROR(VLOOKUP(C326,'Inventory Master'!$A$3:$L$300,4,FALSE),0)</f>
      </c>
      <c r="F326" s="10">
        <f>D326*E326</f>
      </c>
    </row>
    <row r="327" ht="21" customHeight="1" spans="1:6" x14ac:dyDescent="0.25">
      <c r="A327" s="8"/>
      <c r="B327" s="8"/>
      <c r="C327" s="8"/>
      <c r="D327" s="8"/>
      <c r="E327" s="10">
        <f>IFERROR(VLOOKUP(C327,'Inventory Master'!$A$3:$L$300,4,FALSE),0)</f>
      </c>
      <c r="F327" s="10">
        <f>D327*E327</f>
      </c>
    </row>
    <row r="328" ht="21" customHeight="1" spans="1:6" x14ac:dyDescent="0.25">
      <c r="A328" s="8"/>
      <c r="B328" s="8"/>
      <c r="C328" s="8"/>
      <c r="D328" s="8"/>
      <c r="E328" s="10">
        <f>IFERROR(VLOOKUP(C328,'Inventory Master'!$A$3:$L$300,4,FALSE),0)</f>
      </c>
      <c r="F328" s="10">
        <f>D328*E328</f>
      </c>
    </row>
    <row r="329" ht="21" customHeight="1" spans="1:6" x14ac:dyDescent="0.25">
      <c r="A329" s="8"/>
      <c r="B329" s="8"/>
      <c r="C329" s="8"/>
      <c r="D329" s="8"/>
      <c r="E329" s="10">
        <f>IFERROR(VLOOKUP(C329,'Inventory Master'!$A$3:$L$300,4,FALSE),0)</f>
      </c>
      <c r="F329" s="10">
        <f>D329*E329</f>
      </c>
    </row>
    <row r="330" ht="21" customHeight="1" spans="1:6" x14ac:dyDescent="0.25">
      <c r="A330" s="8"/>
      <c r="B330" s="8"/>
      <c r="C330" s="8"/>
      <c r="D330" s="8"/>
      <c r="E330" s="10">
        <f>IFERROR(VLOOKUP(C330,'Inventory Master'!$A$3:$L$300,4,FALSE),0)</f>
      </c>
      <c r="F330" s="10">
        <f>D330*E330</f>
      </c>
    </row>
    <row r="331" ht="21" customHeight="1" spans="1:6" x14ac:dyDescent="0.25">
      <c r="A331" s="8"/>
      <c r="B331" s="8"/>
      <c r="C331" s="8"/>
      <c r="D331" s="8"/>
      <c r="E331" s="10">
        <f>IFERROR(VLOOKUP(C331,'Inventory Master'!$A$3:$L$300,4,FALSE),0)</f>
      </c>
      <c r="F331" s="10">
        <f>D331*E331</f>
      </c>
    </row>
    <row r="332" ht="21" customHeight="1" spans="1:6" x14ac:dyDescent="0.25">
      <c r="A332" s="8"/>
      <c r="B332" s="8"/>
      <c r="C332" s="8"/>
      <c r="D332" s="8"/>
      <c r="E332" s="10">
        <f>IFERROR(VLOOKUP(C332,'Inventory Master'!$A$3:$L$300,4,FALSE),0)</f>
      </c>
      <c r="F332" s="10">
        <f>D332*E332</f>
      </c>
    </row>
    <row r="333" ht="21" customHeight="1" spans="1:6" x14ac:dyDescent="0.25">
      <c r="A333" s="8"/>
      <c r="B333" s="8"/>
      <c r="C333" s="8"/>
      <c r="D333" s="8"/>
      <c r="E333" s="10">
        <f>IFERROR(VLOOKUP(C333,'Inventory Master'!$A$3:$L$300,4,FALSE),0)</f>
      </c>
      <c r="F333" s="10">
        <f>D333*E333</f>
      </c>
    </row>
    <row r="334" ht="21" customHeight="1" spans="1:6" x14ac:dyDescent="0.25">
      <c r="A334" s="8"/>
      <c r="B334" s="8"/>
      <c r="C334" s="8"/>
      <c r="D334" s="8"/>
      <c r="E334" s="10">
        <f>IFERROR(VLOOKUP(C334,'Inventory Master'!$A$3:$L$300,4,FALSE),0)</f>
      </c>
      <c r="F334" s="10">
        <f>D334*E334</f>
      </c>
    </row>
    <row r="335" ht="21" customHeight="1" spans="1:6" x14ac:dyDescent="0.25">
      <c r="A335" s="8"/>
      <c r="B335" s="8"/>
      <c r="C335" s="8"/>
      <c r="D335" s="8"/>
      <c r="E335" s="10">
        <f>IFERROR(VLOOKUP(C335,'Inventory Master'!$A$3:$L$300,4,FALSE),0)</f>
      </c>
      <c r="F335" s="10">
        <f>D335*E335</f>
      </c>
    </row>
    <row r="336" ht="21" customHeight="1" spans="1:6" x14ac:dyDescent="0.25">
      <c r="A336" s="8"/>
      <c r="B336" s="8"/>
      <c r="C336" s="8"/>
      <c r="D336" s="8"/>
      <c r="E336" s="10">
        <f>IFERROR(VLOOKUP(C336,'Inventory Master'!$A$3:$L$300,4,FALSE),0)</f>
      </c>
      <c r="F336" s="10">
        <f>D336*E336</f>
      </c>
    </row>
    <row r="337" ht="21" customHeight="1" spans="1:6" x14ac:dyDescent="0.25">
      <c r="A337" s="8"/>
      <c r="B337" s="8"/>
      <c r="C337" s="8"/>
      <c r="D337" s="8"/>
      <c r="E337" s="10">
        <f>IFERROR(VLOOKUP(C337,'Inventory Master'!$A$3:$L$300,4,FALSE),0)</f>
      </c>
      <c r="F337" s="10">
        <f>D337*E337</f>
      </c>
    </row>
    <row r="338" ht="21" customHeight="1" spans="1:6" x14ac:dyDescent="0.25">
      <c r="A338" s="8"/>
      <c r="B338" s="8"/>
      <c r="C338" s="8"/>
      <c r="D338" s="8"/>
      <c r="E338" s="10">
        <f>IFERROR(VLOOKUP(C338,'Inventory Master'!$A$3:$L$300,4,FALSE),0)</f>
      </c>
      <c r="F338" s="10">
        <f>D338*E338</f>
      </c>
    </row>
    <row r="339" ht="21" customHeight="1" spans="1:6" x14ac:dyDescent="0.25">
      <c r="A339" s="8"/>
      <c r="B339" s="8"/>
      <c r="C339" s="8"/>
      <c r="D339" s="8"/>
      <c r="E339" s="10">
        <f>IFERROR(VLOOKUP(C339,'Inventory Master'!$A$3:$L$300,4,FALSE),0)</f>
      </c>
      <c r="F339" s="10">
        <f>D339*E339</f>
      </c>
    </row>
    <row r="340" ht="21" customHeight="1" spans="1:6" x14ac:dyDescent="0.25">
      <c r="A340" s="8"/>
      <c r="B340" s="8"/>
      <c r="C340" s="8"/>
      <c r="D340" s="8"/>
      <c r="E340" s="10">
        <f>IFERROR(VLOOKUP(C340,'Inventory Master'!$A$3:$L$300,4,FALSE),0)</f>
      </c>
      <c r="F340" s="10">
        <f>D340*E340</f>
      </c>
    </row>
    <row r="341" ht="21" customHeight="1" spans="1:6" x14ac:dyDescent="0.25">
      <c r="A341" s="8"/>
      <c r="B341" s="8"/>
      <c r="C341" s="8"/>
      <c r="D341" s="8"/>
      <c r="E341" s="10">
        <f>IFERROR(VLOOKUP(C341,'Inventory Master'!$A$3:$L$300,4,FALSE),0)</f>
      </c>
      <c r="F341" s="10">
        <f>D341*E341</f>
      </c>
    </row>
    <row r="342" ht="21" customHeight="1" spans="1:6" x14ac:dyDescent="0.25">
      <c r="A342" s="8"/>
      <c r="B342" s="8"/>
      <c r="C342" s="8"/>
      <c r="D342" s="8"/>
      <c r="E342" s="10">
        <f>IFERROR(VLOOKUP(C342,'Inventory Master'!$A$3:$L$300,4,FALSE),0)</f>
      </c>
      <c r="F342" s="10">
        <f>D342*E342</f>
      </c>
    </row>
    <row r="343" ht="21" customHeight="1" spans="1:6" x14ac:dyDescent="0.25">
      <c r="A343" s="8"/>
      <c r="B343" s="8"/>
      <c r="C343" s="8"/>
      <c r="D343" s="8"/>
      <c r="E343" s="10">
        <f>IFERROR(VLOOKUP(C343,'Inventory Master'!$A$3:$L$300,4,FALSE),0)</f>
      </c>
      <c r="F343" s="10">
        <f>D343*E343</f>
      </c>
    </row>
    <row r="344" ht="21" customHeight="1" spans="1:6" x14ac:dyDescent="0.25">
      <c r="A344" s="8"/>
      <c r="B344" s="8"/>
      <c r="C344" s="8"/>
      <c r="D344" s="8"/>
      <c r="E344" s="10">
        <f>IFERROR(VLOOKUP(C344,'Inventory Master'!$A$3:$L$300,4,FALSE),0)</f>
      </c>
      <c r="F344" s="10">
        <f>D344*E344</f>
      </c>
    </row>
    <row r="345" ht="21" customHeight="1" spans="1:6" x14ac:dyDescent="0.25">
      <c r="A345" s="8"/>
      <c r="B345" s="8"/>
      <c r="C345" s="8"/>
      <c r="D345" s="8"/>
      <c r="E345" s="10">
        <f>IFERROR(VLOOKUP(C345,'Inventory Master'!$A$3:$L$300,4,FALSE),0)</f>
      </c>
      <c r="F345" s="10">
        <f>D345*E345</f>
      </c>
    </row>
    <row r="346" ht="21" customHeight="1" spans="1:6" x14ac:dyDescent="0.25">
      <c r="A346" s="8"/>
      <c r="B346" s="8"/>
      <c r="C346" s="8"/>
      <c r="D346" s="8"/>
      <c r="E346" s="10">
        <f>IFERROR(VLOOKUP(C346,'Inventory Master'!$A$3:$L$300,4,FALSE),0)</f>
      </c>
      <c r="F346" s="10">
        <f>D346*E346</f>
      </c>
    </row>
    <row r="347" ht="21" customHeight="1" spans="1:6" x14ac:dyDescent="0.25">
      <c r="A347" s="8"/>
      <c r="B347" s="8"/>
      <c r="C347" s="8"/>
      <c r="D347" s="8"/>
      <c r="E347" s="10">
        <f>IFERROR(VLOOKUP(C347,'Inventory Master'!$A$3:$L$300,4,FALSE),0)</f>
      </c>
      <c r="F347" s="10">
        <f>D347*E347</f>
      </c>
    </row>
    <row r="348" ht="21" customHeight="1" spans="1:6" x14ac:dyDescent="0.25">
      <c r="A348" s="8"/>
      <c r="B348" s="8"/>
      <c r="C348" s="8"/>
      <c r="D348" s="8"/>
      <c r="E348" s="10">
        <f>IFERROR(VLOOKUP(C348,'Inventory Master'!$A$3:$L$300,4,FALSE),0)</f>
      </c>
      <c r="F348" s="10">
        <f>D348*E348</f>
      </c>
    </row>
    <row r="349" ht="21" customHeight="1" spans="1:6" x14ac:dyDescent="0.25">
      <c r="A349" s="8"/>
      <c r="B349" s="8"/>
      <c r="C349" s="8"/>
      <c r="D349" s="8"/>
      <c r="E349" s="10">
        <f>IFERROR(VLOOKUP(C349,'Inventory Master'!$A$3:$L$300,4,FALSE),0)</f>
      </c>
      <c r="F349" s="10">
        <f>D349*E349</f>
      </c>
    </row>
    <row r="350" ht="21" customHeight="1" spans="1:6" x14ac:dyDescent="0.25">
      <c r="A350" s="8"/>
      <c r="B350" s="8"/>
      <c r="C350" s="8"/>
      <c r="D350" s="8"/>
      <c r="E350" s="10">
        <f>IFERROR(VLOOKUP(C350,'Inventory Master'!$A$3:$L$300,4,FALSE),0)</f>
      </c>
      <c r="F350" s="10">
        <f>D350*E350</f>
      </c>
    </row>
    <row r="351" ht="21" customHeight="1" spans="1:6" x14ac:dyDescent="0.25">
      <c r="A351" s="8"/>
      <c r="B351" s="8"/>
      <c r="C351" s="8"/>
      <c r="D351" s="8"/>
      <c r="E351" s="10">
        <f>IFERROR(VLOOKUP(C351,'Inventory Master'!$A$3:$L$300,4,FALSE),0)</f>
      </c>
      <c r="F351" s="10">
        <f>D351*E351</f>
      </c>
    </row>
    <row r="352" ht="21" customHeight="1" spans="1:6" x14ac:dyDescent="0.25">
      <c r="A352" s="8"/>
      <c r="B352" s="8"/>
      <c r="C352" s="8"/>
      <c r="D352" s="8"/>
      <c r="E352" s="10">
        <f>IFERROR(VLOOKUP(C352,'Inventory Master'!$A$3:$L$300,4,FALSE),0)</f>
      </c>
      <c r="F352" s="10">
        <f>D352*E352</f>
      </c>
    </row>
    <row r="353" ht="21" customHeight="1" spans="1:6" x14ac:dyDescent="0.25">
      <c r="A353" s="8"/>
      <c r="B353" s="8"/>
      <c r="C353" s="8"/>
      <c r="D353" s="8"/>
      <c r="E353" s="10">
        <f>IFERROR(VLOOKUP(C353,'Inventory Master'!$A$3:$L$300,4,FALSE),0)</f>
      </c>
      <c r="F353" s="10">
        <f>D353*E353</f>
      </c>
    </row>
    <row r="354" ht="21" customHeight="1" spans="1:6" x14ac:dyDescent="0.25">
      <c r="A354" s="8"/>
      <c r="B354" s="8"/>
      <c r="C354" s="8"/>
      <c r="D354" s="8"/>
      <c r="E354" s="10">
        <f>IFERROR(VLOOKUP(C354,'Inventory Master'!$A$3:$L$300,4,FALSE),0)</f>
      </c>
      <c r="F354" s="10">
        <f>D354*E354</f>
      </c>
    </row>
    <row r="355" ht="21" customHeight="1" spans="1:6" x14ac:dyDescent="0.25">
      <c r="A355" s="8"/>
      <c r="B355" s="8"/>
      <c r="C355" s="8"/>
      <c r="D355" s="8"/>
      <c r="E355" s="10">
        <f>IFERROR(VLOOKUP(C355,'Inventory Master'!$A$3:$L$300,4,FALSE),0)</f>
      </c>
      <c r="F355" s="10">
        <f>D355*E355</f>
      </c>
    </row>
    <row r="356" ht="21" customHeight="1" spans="1:6" x14ac:dyDescent="0.25">
      <c r="A356" s="8"/>
      <c r="B356" s="8"/>
      <c r="C356" s="8"/>
      <c r="D356" s="8"/>
      <c r="E356" s="10">
        <f>IFERROR(VLOOKUP(C356,'Inventory Master'!$A$3:$L$300,4,FALSE),0)</f>
      </c>
      <c r="F356" s="10">
        <f>D356*E356</f>
      </c>
    </row>
    <row r="357" ht="21" customHeight="1" spans="1:6" x14ac:dyDescent="0.25">
      <c r="A357" s="8"/>
      <c r="B357" s="8"/>
      <c r="C357" s="8"/>
      <c r="D357" s="8"/>
      <c r="E357" s="10">
        <f>IFERROR(VLOOKUP(C357,'Inventory Master'!$A$3:$L$300,4,FALSE),0)</f>
      </c>
      <c r="F357" s="10">
        <f>D357*E357</f>
      </c>
    </row>
    <row r="358" ht="21" customHeight="1" spans="1:6" x14ac:dyDescent="0.25">
      <c r="A358" s="8"/>
      <c r="B358" s="8"/>
      <c r="C358" s="8"/>
      <c r="D358" s="8"/>
      <c r="E358" s="10">
        <f>IFERROR(VLOOKUP(C358,'Inventory Master'!$A$3:$L$300,4,FALSE),0)</f>
      </c>
      <c r="F358" s="10">
        <f>D358*E358</f>
      </c>
    </row>
    <row r="359" ht="21" customHeight="1" spans="1:6" x14ac:dyDescent="0.25">
      <c r="A359" s="8"/>
      <c r="B359" s="8"/>
      <c r="C359" s="8"/>
      <c r="D359" s="8"/>
      <c r="E359" s="10">
        <f>IFERROR(VLOOKUP(C359,'Inventory Master'!$A$3:$L$300,4,FALSE),0)</f>
      </c>
      <c r="F359" s="10">
        <f>D359*E359</f>
      </c>
    </row>
    <row r="360" ht="21" customHeight="1" spans="1:6" x14ac:dyDescent="0.25">
      <c r="A360" s="8"/>
      <c r="B360" s="8"/>
      <c r="C360" s="8"/>
      <c r="D360" s="8"/>
      <c r="E360" s="10">
        <f>IFERROR(VLOOKUP(C360,'Inventory Master'!$A$3:$L$300,4,FALSE),0)</f>
      </c>
      <c r="F360" s="10">
        <f>D360*E360</f>
      </c>
    </row>
    <row r="361" ht="21" customHeight="1" spans="1:6" x14ac:dyDescent="0.25">
      <c r="A361" s="8"/>
      <c r="B361" s="8"/>
      <c r="C361" s="8"/>
      <c r="D361" s="8"/>
      <c r="E361" s="10">
        <f>IFERROR(VLOOKUP(C361,'Inventory Master'!$A$3:$L$300,4,FALSE),0)</f>
      </c>
      <c r="F361" s="10">
        <f>D361*E361</f>
      </c>
    </row>
    <row r="362" ht="21" customHeight="1" spans="1:6" x14ac:dyDescent="0.25">
      <c r="A362" s="8"/>
      <c r="B362" s="8"/>
      <c r="C362" s="8"/>
      <c r="D362" s="8"/>
      <c r="E362" s="10">
        <f>IFERROR(VLOOKUP(C362,'Inventory Master'!$A$3:$L$300,4,FALSE),0)</f>
      </c>
      <c r="F362" s="10">
        <f>D362*E362</f>
      </c>
    </row>
    <row r="363" ht="21" customHeight="1" spans="1:6" x14ac:dyDescent="0.25">
      <c r="A363" s="8"/>
      <c r="B363" s="8"/>
      <c r="C363" s="8"/>
      <c r="D363" s="8"/>
      <c r="E363" s="10">
        <f>IFERROR(VLOOKUP(C363,'Inventory Master'!$A$3:$L$300,4,FALSE),0)</f>
      </c>
      <c r="F363" s="10">
        <f>D363*E363</f>
      </c>
    </row>
    <row r="364" ht="21" customHeight="1" spans="1:6" x14ac:dyDescent="0.25">
      <c r="A364" s="8"/>
      <c r="B364" s="8"/>
      <c r="C364" s="8"/>
      <c r="D364" s="8"/>
      <c r="E364" s="10">
        <f>IFERROR(VLOOKUP(C364,'Inventory Master'!$A$3:$L$300,4,FALSE),0)</f>
      </c>
      <c r="F364" s="10">
        <f>D364*E364</f>
      </c>
    </row>
    <row r="365" ht="21" customHeight="1" spans="1:6" x14ac:dyDescent="0.25">
      <c r="A365" s="8"/>
      <c r="B365" s="8"/>
      <c r="C365" s="8"/>
      <c r="D365" s="8"/>
      <c r="E365" s="10">
        <f>IFERROR(VLOOKUP(C365,'Inventory Master'!$A$3:$L$300,4,FALSE),0)</f>
      </c>
      <c r="F365" s="10">
        <f>D365*E365</f>
      </c>
    </row>
    <row r="366" ht="21" customHeight="1" spans="1:6" x14ac:dyDescent="0.25">
      <c r="A366" s="8"/>
      <c r="B366" s="8"/>
      <c r="C366" s="8"/>
      <c r="D366" s="8"/>
      <c r="E366" s="10">
        <f>IFERROR(VLOOKUP(C366,'Inventory Master'!$A$3:$L$300,4,FALSE),0)</f>
      </c>
      <c r="F366" s="10">
        <f>D366*E366</f>
      </c>
    </row>
    <row r="367" ht="21" customHeight="1" spans="1:6" x14ac:dyDescent="0.25">
      <c r="A367" s="8"/>
      <c r="B367" s="8"/>
      <c r="C367" s="8"/>
      <c r="D367" s="8"/>
      <c r="E367" s="10">
        <f>IFERROR(VLOOKUP(C367,'Inventory Master'!$A$3:$L$300,4,FALSE),0)</f>
      </c>
      <c r="F367" s="10">
        <f>D367*E367</f>
      </c>
    </row>
    <row r="368" ht="21" customHeight="1" spans="1:6" x14ac:dyDescent="0.25">
      <c r="A368" s="8"/>
      <c r="B368" s="8"/>
      <c r="C368" s="8"/>
      <c r="D368" s="8"/>
      <c r="E368" s="10">
        <f>IFERROR(VLOOKUP(C368,'Inventory Master'!$A$3:$L$300,4,FALSE),0)</f>
      </c>
      <c r="F368" s="10">
        <f>D368*E368</f>
      </c>
    </row>
    <row r="369" ht="21" customHeight="1" spans="1:6" x14ac:dyDescent="0.25">
      <c r="A369" s="8"/>
      <c r="B369" s="8"/>
      <c r="C369" s="8"/>
      <c r="D369" s="8"/>
      <c r="E369" s="10">
        <f>IFERROR(VLOOKUP(C369,'Inventory Master'!$A$3:$L$300,4,FALSE),0)</f>
      </c>
      <c r="F369" s="10">
        <f>D369*E369</f>
      </c>
    </row>
    <row r="370" ht="21" customHeight="1" spans="1:6" x14ac:dyDescent="0.25">
      <c r="A370" s="8"/>
      <c r="B370" s="8"/>
      <c r="C370" s="8"/>
      <c r="D370" s="8"/>
      <c r="E370" s="10">
        <f>IFERROR(VLOOKUP(C370,'Inventory Master'!$A$3:$L$300,4,FALSE),0)</f>
      </c>
      <c r="F370" s="10">
        <f>D370*E370</f>
      </c>
    </row>
    <row r="371" ht="21" customHeight="1" spans="1:6" x14ac:dyDescent="0.25">
      <c r="A371" s="8"/>
      <c r="B371" s="8"/>
      <c r="C371" s="8"/>
      <c r="D371" s="8"/>
      <c r="E371" s="10">
        <f>IFERROR(VLOOKUP(C371,'Inventory Master'!$A$3:$L$300,4,FALSE),0)</f>
      </c>
      <c r="F371" s="10">
        <f>D371*E371</f>
      </c>
    </row>
    <row r="372" ht="21" customHeight="1" spans="1:6" x14ac:dyDescent="0.25">
      <c r="A372" s="8"/>
      <c r="B372" s="8"/>
      <c r="C372" s="8"/>
      <c r="D372" s="8"/>
      <c r="E372" s="10">
        <f>IFERROR(VLOOKUP(C372,'Inventory Master'!$A$3:$L$300,4,FALSE),0)</f>
      </c>
      <c r="F372" s="10">
        <f>D372*E372</f>
      </c>
    </row>
    <row r="373" ht="21" customHeight="1" spans="1:6" x14ac:dyDescent="0.25">
      <c r="A373" s="8"/>
      <c r="B373" s="8"/>
      <c r="C373" s="8"/>
      <c r="D373" s="8"/>
      <c r="E373" s="10">
        <f>IFERROR(VLOOKUP(C373,'Inventory Master'!$A$3:$L$300,4,FALSE),0)</f>
      </c>
      <c r="F373" s="10">
        <f>D373*E373</f>
      </c>
    </row>
    <row r="374" ht="21" customHeight="1" spans="1:6" x14ac:dyDescent="0.25">
      <c r="A374" s="8"/>
      <c r="B374" s="8"/>
      <c r="C374" s="8"/>
      <c r="D374" s="8"/>
      <c r="E374" s="10">
        <f>IFERROR(VLOOKUP(C374,'Inventory Master'!$A$3:$L$300,4,FALSE),0)</f>
      </c>
      <c r="F374" s="10">
        <f>D374*E374</f>
      </c>
    </row>
    <row r="375" ht="21" customHeight="1" spans="1:6" x14ac:dyDescent="0.25">
      <c r="A375" s="8"/>
      <c r="B375" s="8"/>
      <c r="C375" s="8"/>
      <c r="D375" s="8"/>
      <c r="E375" s="10">
        <f>IFERROR(VLOOKUP(C375,'Inventory Master'!$A$3:$L$300,4,FALSE),0)</f>
      </c>
      <c r="F375" s="10">
        <f>D375*E375</f>
      </c>
    </row>
    <row r="376" ht="21" customHeight="1" spans="1:6" x14ac:dyDescent="0.25">
      <c r="A376" s="8"/>
      <c r="B376" s="8"/>
      <c r="C376" s="8"/>
      <c r="D376" s="8"/>
      <c r="E376" s="10">
        <f>IFERROR(VLOOKUP(C376,'Inventory Master'!$A$3:$L$300,4,FALSE),0)</f>
      </c>
      <c r="F376" s="10">
        <f>D376*E376</f>
      </c>
    </row>
    <row r="377" ht="21" customHeight="1" spans="1:6" x14ac:dyDescent="0.25">
      <c r="A377" s="8"/>
      <c r="B377" s="8"/>
      <c r="C377" s="8"/>
      <c r="D377" s="8"/>
      <c r="E377" s="10">
        <f>IFERROR(VLOOKUP(C377,'Inventory Master'!$A$3:$L$300,4,FALSE),0)</f>
      </c>
      <c r="F377" s="10">
        <f>D377*E377</f>
      </c>
    </row>
    <row r="378" ht="21" customHeight="1" spans="1:6" x14ac:dyDescent="0.25">
      <c r="A378" s="8"/>
      <c r="B378" s="8"/>
      <c r="C378" s="8"/>
      <c r="D378" s="8"/>
      <c r="E378" s="10">
        <f>IFERROR(VLOOKUP(C378,'Inventory Master'!$A$3:$L$300,4,FALSE),0)</f>
      </c>
      <c r="F378" s="10">
        <f>D378*E378</f>
      </c>
    </row>
    <row r="379" ht="21" customHeight="1" spans="1:6" x14ac:dyDescent="0.25">
      <c r="A379" s="8"/>
      <c r="B379" s="8"/>
      <c r="C379" s="8"/>
      <c r="D379" s="8"/>
      <c r="E379" s="10">
        <f>IFERROR(VLOOKUP(C379,'Inventory Master'!$A$3:$L$300,4,FALSE),0)</f>
      </c>
      <c r="F379" s="10">
        <f>D379*E379</f>
      </c>
    </row>
    <row r="380" ht="21" customHeight="1" spans="1:6" x14ac:dyDescent="0.25">
      <c r="A380" s="8"/>
      <c r="B380" s="8"/>
      <c r="C380" s="8"/>
      <c r="D380" s="8"/>
      <c r="E380" s="10">
        <f>IFERROR(VLOOKUP(C380,'Inventory Master'!$A$3:$L$300,4,FALSE),0)</f>
      </c>
      <c r="F380" s="10">
        <f>D380*E380</f>
      </c>
    </row>
    <row r="381" ht="21" customHeight="1" spans="1:6" x14ac:dyDescent="0.25">
      <c r="A381" s="8"/>
      <c r="B381" s="8"/>
      <c r="C381" s="8"/>
      <c r="D381" s="8"/>
      <c r="E381" s="10">
        <f>IFERROR(VLOOKUP(C381,'Inventory Master'!$A$3:$L$300,4,FALSE),0)</f>
      </c>
      <c r="F381" s="10">
        <f>D381*E381</f>
      </c>
    </row>
    <row r="382" ht="21" customHeight="1" spans="1:6" x14ac:dyDescent="0.25">
      <c r="A382" s="8"/>
      <c r="B382" s="8"/>
      <c r="C382" s="8"/>
      <c r="D382" s="8"/>
      <c r="E382" s="10">
        <f>IFERROR(VLOOKUP(C382,'Inventory Master'!$A$3:$L$300,4,FALSE),0)</f>
      </c>
      <c r="F382" s="10">
        <f>D382*E382</f>
      </c>
    </row>
    <row r="383" ht="21" customHeight="1" spans="1:6" x14ac:dyDescent="0.25">
      <c r="A383" s="8"/>
      <c r="B383" s="8"/>
      <c r="C383" s="8"/>
      <c r="D383" s="8"/>
      <c r="E383" s="10">
        <f>IFERROR(VLOOKUP(C383,'Inventory Master'!$A$3:$L$300,4,FALSE),0)</f>
      </c>
      <c r="F383" s="10">
        <f>D383*E383</f>
      </c>
    </row>
    <row r="384" ht="21" customHeight="1" spans="1:6" x14ac:dyDescent="0.25">
      <c r="A384" s="8"/>
      <c r="B384" s="8"/>
      <c r="C384" s="8"/>
      <c r="D384" s="8"/>
      <c r="E384" s="10">
        <f>IFERROR(VLOOKUP(C384,'Inventory Master'!$A$3:$L$300,4,FALSE),0)</f>
      </c>
      <c r="F384" s="10">
        <f>D384*E384</f>
      </c>
    </row>
    <row r="385" ht="21" customHeight="1" spans="1:6" x14ac:dyDescent="0.25">
      <c r="A385" s="8"/>
      <c r="B385" s="8"/>
      <c r="C385" s="8"/>
      <c r="D385" s="8"/>
      <c r="E385" s="10">
        <f>IFERROR(VLOOKUP(C385,'Inventory Master'!$A$3:$L$300,4,FALSE),0)</f>
      </c>
      <c r="F385" s="10">
        <f>D385*E385</f>
      </c>
    </row>
    <row r="386" ht="21" customHeight="1" spans="1:6" x14ac:dyDescent="0.25">
      <c r="A386" s="8"/>
      <c r="B386" s="8"/>
      <c r="C386" s="8"/>
      <c r="D386" s="8"/>
      <c r="E386" s="10">
        <f>IFERROR(VLOOKUP(C386,'Inventory Master'!$A$3:$L$300,4,FALSE),0)</f>
      </c>
      <c r="F386" s="10">
        <f>D386*E386</f>
      </c>
    </row>
    <row r="387" ht="21" customHeight="1" spans="1:6" x14ac:dyDescent="0.25">
      <c r="A387" s="8"/>
      <c r="B387" s="8"/>
      <c r="C387" s="8"/>
      <c r="D387" s="8"/>
      <c r="E387" s="10">
        <f>IFERROR(VLOOKUP(C387,'Inventory Master'!$A$3:$L$300,4,FALSE),0)</f>
      </c>
      <c r="F387" s="10">
        <f>D387*E387</f>
      </c>
    </row>
    <row r="388" ht="21" customHeight="1" spans="1:6" x14ac:dyDescent="0.25">
      <c r="A388" s="8"/>
      <c r="B388" s="8"/>
      <c r="C388" s="8"/>
      <c r="D388" s="8"/>
      <c r="E388" s="10">
        <f>IFERROR(VLOOKUP(C388,'Inventory Master'!$A$3:$L$300,4,FALSE),0)</f>
      </c>
      <c r="F388" s="10">
        <f>D388*E388</f>
      </c>
    </row>
    <row r="389" ht="21" customHeight="1" spans="1:6" x14ac:dyDescent="0.25">
      <c r="A389" s="8"/>
      <c r="B389" s="8"/>
      <c r="C389" s="8"/>
      <c r="D389" s="8"/>
      <c r="E389" s="10">
        <f>IFERROR(VLOOKUP(C389,'Inventory Master'!$A$3:$L$300,4,FALSE),0)</f>
      </c>
      <c r="F389" s="10">
        <f>D389*E389</f>
      </c>
    </row>
    <row r="390" ht="21" customHeight="1" spans="1:6" x14ac:dyDescent="0.25">
      <c r="A390" s="8"/>
      <c r="B390" s="8"/>
      <c r="C390" s="8"/>
      <c r="D390" s="8"/>
      <c r="E390" s="10">
        <f>IFERROR(VLOOKUP(C390,'Inventory Master'!$A$3:$L$300,4,FALSE),0)</f>
      </c>
      <c r="F390" s="10">
        <f>D390*E390</f>
      </c>
    </row>
    <row r="391" ht="21" customHeight="1" spans="1:6" x14ac:dyDescent="0.25">
      <c r="A391" s="8"/>
      <c r="B391" s="8"/>
      <c r="C391" s="8"/>
      <c r="D391" s="8"/>
      <c r="E391" s="10">
        <f>IFERROR(VLOOKUP(C391,'Inventory Master'!$A$3:$L$300,4,FALSE),0)</f>
      </c>
      <c r="F391" s="10">
        <f>D391*E391</f>
      </c>
    </row>
    <row r="392" ht="21" customHeight="1" spans="1:6" x14ac:dyDescent="0.25">
      <c r="A392" s="8"/>
      <c r="B392" s="8"/>
      <c r="C392" s="8"/>
      <c r="D392" s="8"/>
      <c r="E392" s="10">
        <f>IFERROR(VLOOKUP(C392,'Inventory Master'!$A$3:$L$300,4,FALSE),0)</f>
      </c>
      <c r="F392" s="10">
        <f>D392*E392</f>
      </c>
    </row>
    <row r="393" ht="21" customHeight="1" spans="1:6" x14ac:dyDescent="0.25">
      <c r="A393" s="8"/>
      <c r="B393" s="8"/>
      <c r="C393" s="8"/>
      <c r="D393" s="8"/>
      <c r="E393" s="10">
        <f>IFERROR(VLOOKUP(C393,'Inventory Master'!$A$3:$L$300,4,FALSE),0)</f>
      </c>
      <c r="F393" s="10">
        <f>D393*E393</f>
      </c>
    </row>
    <row r="394" ht="21" customHeight="1" spans="1:6" x14ac:dyDescent="0.25">
      <c r="A394" s="8"/>
      <c r="B394" s="8"/>
      <c r="C394" s="8"/>
      <c r="D394" s="8"/>
      <c r="E394" s="10">
        <f>IFERROR(VLOOKUP(C394,'Inventory Master'!$A$3:$L$300,4,FALSE),0)</f>
      </c>
      <c r="F394" s="10">
        <f>D394*E394</f>
      </c>
    </row>
    <row r="395" ht="21" customHeight="1" spans="1:6" x14ac:dyDescent="0.25">
      <c r="A395" s="8"/>
      <c r="B395" s="8"/>
      <c r="C395" s="8"/>
      <c r="D395" s="8"/>
      <c r="E395" s="10">
        <f>IFERROR(VLOOKUP(C395,'Inventory Master'!$A$3:$L$300,4,FALSE),0)</f>
      </c>
      <c r="F395" s="10">
        <f>D395*E395</f>
      </c>
    </row>
    <row r="396" ht="21" customHeight="1" spans="1:6" x14ac:dyDescent="0.25">
      <c r="A396" s="8"/>
      <c r="B396" s="8"/>
      <c r="C396" s="8"/>
      <c r="D396" s="8"/>
      <c r="E396" s="10">
        <f>IFERROR(VLOOKUP(C396,'Inventory Master'!$A$3:$L$300,4,FALSE),0)</f>
      </c>
      <c r="F396" s="10">
        <f>D396*E396</f>
      </c>
    </row>
    <row r="397" ht="21" customHeight="1" spans="1:6" x14ac:dyDescent="0.25">
      <c r="A397" s="8"/>
      <c r="B397" s="8"/>
      <c r="C397" s="8"/>
      <c r="D397" s="8"/>
      <c r="E397" s="10">
        <f>IFERROR(VLOOKUP(C397,'Inventory Master'!$A$3:$L$300,4,FALSE),0)</f>
      </c>
      <c r="F397" s="10">
        <f>D397*E397</f>
      </c>
    </row>
    <row r="398" ht="21" customHeight="1" spans="1:6" x14ac:dyDescent="0.25">
      <c r="A398" s="8"/>
      <c r="B398" s="8"/>
      <c r="C398" s="8"/>
      <c r="D398" s="8"/>
      <c r="E398" s="10">
        <f>IFERROR(VLOOKUP(C398,'Inventory Master'!$A$3:$L$300,4,FALSE),0)</f>
      </c>
      <c r="F398" s="10">
        <f>D398*E398</f>
      </c>
    </row>
    <row r="399" ht="21" customHeight="1" spans="1:6" x14ac:dyDescent="0.25">
      <c r="A399" s="8"/>
      <c r="B399" s="8"/>
      <c r="C399" s="8"/>
      <c r="D399" s="8"/>
      <c r="E399" s="10">
        <f>IFERROR(VLOOKUP(C399,'Inventory Master'!$A$3:$L$300,4,FALSE),0)</f>
      </c>
      <c r="F399" s="10">
        <f>D399*E399</f>
      </c>
    </row>
    <row r="400" ht="21" customHeight="1" spans="1:6" x14ac:dyDescent="0.25">
      <c r="A400" s="8"/>
      <c r="B400" s="8"/>
      <c r="C400" s="8"/>
      <c r="D400" s="8"/>
      <c r="E400" s="10">
        <f>IFERROR(VLOOKUP(C400,'Inventory Master'!$A$3:$L$300,4,FALSE),0)</f>
      </c>
      <c r="F400" s="10">
        <f>D400*E400</f>
      </c>
    </row>
    <row r="401" ht="21" customHeight="1" spans="1:6" x14ac:dyDescent="0.25">
      <c r="A401" s="8"/>
      <c r="B401" s="8"/>
      <c r="C401" s="8"/>
      <c r="D401" s="8"/>
      <c r="E401" s="10">
        <f>IFERROR(VLOOKUP(C401,'Inventory Master'!$A$3:$L$300,4,FALSE),0)</f>
      </c>
      <c r="F401" s="10">
        <f>D401*E401</f>
      </c>
    </row>
    <row r="402" ht="21" customHeight="1" spans="1:6" x14ac:dyDescent="0.25">
      <c r="A402" s="8"/>
      <c r="B402" s="8"/>
      <c r="C402" s="8"/>
      <c r="D402" s="8"/>
      <c r="E402" s="10">
        <f>IFERROR(VLOOKUP(C402,'Inventory Master'!$A$3:$L$300,4,FALSE),0)</f>
      </c>
      <c r="F402" s="10">
        <f>D402*E402</f>
      </c>
    </row>
    <row r="403" ht="21" customHeight="1" spans="1:6" x14ac:dyDescent="0.25">
      <c r="A403" s="8"/>
      <c r="B403" s="8"/>
      <c r="C403" s="8"/>
      <c r="D403" s="8"/>
      <c r="E403" s="10">
        <f>IFERROR(VLOOKUP(C403,'Inventory Master'!$A$3:$L$300,4,FALSE),0)</f>
      </c>
      <c r="F403" s="10">
        <f>D403*E403</f>
      </c>
    </row>
    <row r="404" ht="21" customHeight="1" spans="1:6" x14ac:dyDescent="0.25">
      <c r="A404" s="8"/>
      <c r="B404" s="8"/>
      <c r="C404" s="8"/>
      <c r="D404" s="8"/>
      <c r="E404" s="10">
        <f>IFERROR(VLOOKUP(C404,'Inventory Master'!$A$3:$L$300,4,FALSE),0)</f>
      </c>
      <c r="F404" s="10">
        <f>D404*E404</f>
      </c>
    </row>
    <row r="405" ht="21" customHeight="1" spans="1:6" x14ac:dyDescent="0.25">
      <c r="A405" s="8"/>
      <c r="B405" s="8"/>
      <c r="C405" s="8"/>
      <c r="D405" s="8"/>
      <c r="E405" s="10">
        <f>IFERROR(VLOOKUP(C405,'Inventory Master'!$A$3:$L$300,4,FALSE),0)</f>
      </c>
      <c r="F405" s="10">
        <f>D405*E405</f>
      </c>
    </row>
    <row r="406" ht="21" customHeight="1" spans="1:6" x14ac:dyDescent="0.25">
      <c r="A406" s="8"/>
      <c r="B406" s="8"/>
      <c r="C406" s="8"/>
      <c r="D406" s="8"/>
      <c r="E406" s="10">
        <f>IFERROR(VLOOKUP(C406,'Inventory Master'!$A$3:$L$300,4,FALSE),0)</f>
      </c>
      <c r="F406" s="10">
        <f>D406*E406</f>
      </c>
    </row>
    <row r="407" ht="21" customHeight="1" spans="1:6" x14ac:dyDescent="0.25">
      <c r="A407" s="8"/>
      <c r="B407" s="8"/>
      <c r="C407" s="8"/>
      <c r="D407" s="8"/>
      <c r="E407" s="10">
        <f>IFERROR(VLOOKUP(C407,'Inventory Master'!$A$3:$L$300,4,FALSE),0)</f>
      </c>
      <c r="F407" s="10">
        <f>D407*E407</f>
      </c>
    </row>
    <row r="408" ht="21" customHeight="1" spans="1:6" x14ac:dyDescent="0.25">
      <c r="A408" s="8"/>
      <c r="B408" s="8"/>
      <c r="C408" s="8"/>
      <c r="D408" s="8"/>
      <c r="E408" s="10">
        <f>IFERROR(VLOOKUP(C408,'Inventory Master'!$A$3:$L$300,4,FALSE),0)</f>
      </c>
      <c r="F408" s="10">
        <f>D408*E408</f>
      </c>
    </row>
    <row r="409" ht="21" customHeight="1" spans="1:6" x14ac:dyDescent="0.25">
      <c r="A409" s="8"/>
      <c r="B409" s="8"/>
      <c r="C409" s="8"/>
      <c r="D409" s="8"/>
      <c r="E409" s="10">
        <f>IFERROR(VLOOKUP(C409,'Inventory Master'!$A$3:$L$300,4,FALSE),0)</f>
      </c>
      <c r="F409" s="10">
        <f>D409*E409</f>
      </c>
    </row>
    <row r="410" ht="21" customHeight="1" spans="1:6" x14ac:dyDescent="0.25">
      <c r="A410" s="8"/>
      <c r="B410" s="8"/>
      <c r="C410" s="8"/>
      <c r="D410" s="8"/>
      <c r="E410" s="10">
        <f>IFERROR(VLOOKUP(C410,'Inventory Master'!$A$3:$L$300,4,FALSE),0)</f>
      </c>
      <c r="F410" s="10">
        <f>D410*E410</f>
      </c>
    </row>
    <row r="411" ht="21" customHeight="1" spans="1:6" x14ac:dyDescent="0.25">
      <c r="A411" s="8"/>
      <c r="B411" s="8"/>
      <c r="C411" s="8"/>
      <c r="D411" s="8"/>
      <c r="E411" s="10">
        <f>IFERROR(VLOOKUP(C411,'Inventory Master'!$A$3:$L$300,4,FALSE),0)</f>
      </c>
      <c r="F411" s="10">
        <f>D411*E411</f>
      </c>
    </row>
    <row r="412" ht="21" customHeight="1" spans="1:6" x14ac:dyDescent="0.25">
      <c r="A412" s="8"/>
      <c r="B412" s="8"/>
      <c r="C412" s="8"/>
      <c r="D412" s="8"/>
      <c r="E412" s="10">
        <f>IFERROR(VLOOKUP(C412,'Inventory Master'!$A$3:$L$300,4,FALSE),0)</f>
      </c>
      <c r="F412" s="10">
        <f>D412*E412</f>
      </c>
    </row>
    <row r="413" ht="21" customHeight="1" spans="1:6" x14ac:dyDescent="0.25">
      <c r="A413" s="8"/>
      <c r="B413" s="8"/>
      <c r="C413" s="8"/>
      <c r="D413" s="8"/>
      <c r="E413" s="10">
        <f>IFERROR(VLOOKUP(C413,'Inventory Master'!$A$3:$L$300,4,FALSE),0)</f>
      </c>
      <c r="F413" s="10">
        <f>D413*E413</f>
      </c>
    </row>
    <row r="414" ht="21" customHeight="1" spans="1:6" x14ac:dyDescent="0.25">
      <c r="A414" s="8"/>
      <c r="B414" s="8"/>
      <c r="C414" s="8"/>
      <c r="D414" s="8"/>
      <c r="E414" s="10">
        <f>IFERROR(VLOOKUP(C414,'Inventory Master'!$A$3:$L$300,4,FALSE),0)</f>
      </c>
      <c r="F414" s="10">
        <f>D414*E414</f>
      </c>
    </row>
    <row r="415" ht="21" customHeight="1" spans="1:6" x14ac:dyDescent="0.25">
      <c r="A415" s="8"/>
      <c r="B415" s="8"/>
      <c r="C415" s="8"/>
      <c r="D415" s="8"/>
      <c r="E415" s="10">
        <f>IFERROR(VLOOKUP(C415,'Inventory Master'!$A$3:$L$300,4,FALSE),0)</f>
      </c>
      <c r="F415" s="10">
        <f>D415*E415</f>
      </c>
    </row>
    <row r="416" ht="21" customHeight="1" spans="1:6" x14ac:dyDescent="0.25">
      <c r="A416" s="8"/>
      <c r="B416" s="8"/>
      <c r="C416" s="8"/>
      <c r="D416" s="8"/>
      <c r="E416" s="10">
        <f>IFERROR(VLOOKUP(C416,'Inventory Master'!$A$3:$L$300,4,FALSE),0)</f>
      </c>
      <c r="F416" s="10">
        <f>D416*E416</f>
      </c>
    </row>
    <row r="417" ht="21" customHeight="1" spans="1:6" x14ac:dyDescent="0.25">
      <c r="A417" s="8"/>
      <c r="B417" s="8"/>
      <c r="C417" s="8"/>
      <c r="D417" s="8"/>
      <c r="E417" s="10">
        <f>IFERROR(VLOOKUP(C417,'Inventory Master'!$A$3:$L$300,4,FALSE),0)</f>
      </c>
      <c r="F417" s="10">
        <f>D417*E417</f>
      </c>
    </row>
    <row r="418" ht="21" customHeight="1" spans="1:6" x14ac:dyDescent="0.25">
      <c r="A418" s="8"/>
      <c r="B418" s="8"/>
      <c r="C418" s="8"/>
      <c r="D418" s="8"/>
      <c r="E418" s="10">
        <f>IFERROR(VLOOKUP(C418,'Inventory Master'!$A$3:$L$300,4,FALSE),0)</f>
      </c>
      <c r="F418" s="10">
        <f>D418*E418</f>
      </c>
    </row>
    <row r="419" ht="21" customHeight="1" spans="1:6" x14ac:dyDescent="0.25">
      <c r="A419" s="8"/>
      <c r="B419" s="8"/>
      <c r="C419" s="8"/>
      <c r="D419" s="8"/>
      <c r="E419" s="10">
        <f>IFERROR(VLOOKUP(C419,'Inventory Master'!$A$3:$L$300,4,FALSE),0)</f>
      </c>
      <c r="F419" s="10">
        <f>D419*E419</f>
      </c>
    </row>
    <row r="420" ht="21" customHeight="1" spans="1:6" x14ac:dyDescent="0.25">
      <c r="A420" s="8"/>
      <c r="B420" s="8"/>
      <c r="C420" s="8"/>
      <c r="D420" s="8"/>
      <c r="E420" s="10">
        <f>IFERROR(VLOOKUP(C420,'Inventory Master'!$A$3:$L$300,4,FALSE),0)</f>
      </c>
      <c r="F420" s="10">
        <f>D420*E420</f>
      </c>
    </row>
    <row r="421" ht="21" customHeight="1" spans="1:6" x14ac:dyDescent="0.25">
      <c r="A421" s="8"/>
      <c r="B421" s="8"/>
      <c r="C421" s="8"/>
      <c r="D421" s="8"/>
      <c r="E421" s="10">
        <f>IFERROR(VLOOKUP(C421,'Inventory Master'!$A$3:$L$300,4,FALSE),0)</f>
      </c>
      <c r="F421" s="10">
        <f>D421*E421</f>
      </c>
    </row>
    <row r="422" ht="21" customHeight="1" spans="1:6" x14ac:dyDescent="0.25">
      <c r="A422" s="8"/>
      <c r="B422" s="8"/>
      <c r="C422" s="8"/>
      <c r="D422" s="8"/>
      <c r="E422" s="10">
        <f>IFERROR(VLOOKUP(C422,'Inventory Master'!$A$3:$L$300,4,FALSE),0)</f>
      </c>
      <c r="F422" s="10">
        <f>D422*E422</f>
      </c>
    </row>
    <row r="423" ht="21" customHeight="1" spans="1:6" x14ac:dyDescent="0.25">
      <c r="A423" s="8"/>
      <c r="B423" s="8"/>
      <c r="C423" s="8"/>
      <c r="D423" s="8"/>
      <c r="E423" s="10">
        <f>IFERROR(VLOOKUP(C423,'Inventory Master'!$A$3:$L$300,4,FALSE),0)</f>
      </c>
      <c r="F423" s="10">
        <f>D423*E423</f>
      </c>
    </row>
    <row r="424" ht="21" customHeight="1" spans="1:6" x14ac:dyDescent="0.25">
      <c r="A424" s="8"/>
      <c r="B424" s="8"/>
      <c r="C424" s="8"/>
      <c r="D424" s="8"/>
      <c r="E424" s="10">
        <f>IFERROR(VLOOKUP(C424,'Inventory Master'!$A$3:$L$300,4,FALSE),0)</f>
      </c>
      <c r="F424" s="10">
        <f>D424*E424</f>
      </c>
    </row>
    <row r="425" ht="21" customHeight="1" spans="1:6" x14ac:dyDescent="0.25">
      <c r="A425" s="8"/>
      <c r="B425" s="8"/>
      <c r="C425" s="8"/>
      <c r="D425" s="8"/>
      <c r="E425" s="10">
        <f>IFERROR(VLOOKUP(C425,'Inventory Master'!$A$3:$L$300,4,FALSE),0)</f>
      </c>
      <c r="F425" s="10">
        <f>D425*E425</f>
      </c>
    </row>
    <row r="426" ht="21" customHeight="1" spans="1:6" x14ac:dyDescent="0.25">
      <c r="A426" s="8"/>
      <c r="B426" s="8"/>
      <c r="C426" s="8"/>
      <c r="D426" s="8"/>
      <c r="E426" s="10">
        <f>IFERROR(VLOOKUP(C426,'Inventory Master'!$A$3:$L$300,4,FALSE),0)</f>
      </c>
      <c r="F426" s="10">
        <f>D426*E426</f>
      </c>
    </row>
    <row r="427" ht="21" customHeight="1" spans="1:6" x14ac:dyDescent="0.25">
      <c r="A427" s="8"/>
      <c r="B427" s="8"/>
      <c r="C427" s="8"/>
      <c r="D427" s="8"/>
      <c r="E427" s="10">
        <f>IFERROR(VLOOKUP(C427,'Inventory Master'!$A$3:$L$300,4,FALSE),0)</f>
      </c>
      <c r="F427" s="10">
        <f>D427*E427</f>
      </c>
    </row>
    <row r="428" ht="21" customHeight="1" spans="1:6" x14ac:dyDescent="0.25">
      <c r="A428" s="8"/>
      <c r="B428" s="8"/>
      <c r="C428" s="8"/>
      <c r="D428" s="8"/>
      <c r="E428" s="10">
        <f>IFERROR(VLOOKUP(C428,'Inventory Master'!$A$3:$L$300,4,FALSE),0)</f>
      </c>
      <c r="F428" s="10">
        <f>D428*E428</f>
      </c>
    </row>
    <row r="429" ht="21" customHeight="1" spans="1:6" x14ac:dyDescent="0.25">
      <c r="A429" s="8"/>
      <c r="B429" s="8"/>
      <c r="C429" s="8"/>
      <c r="D429" s="8"/>
      <c r="E429" s="10">
        <f>IFERROR(VLOOKUP(C429,'Inventory Master'!$A$3:$L$300,4,FALSE),0)</f>
      </c>
      <c r="F429" s="10">
        <f>D429*E429</f>
      </c>
    </row>
    <row r="430" ht="21" customHeight="1" spans="1:6" x14ac:dyDescent="0.25">
      <c r="A430" s="8"/>
      <c r="B430" s="8"/>
      <c r="C430" s="8"/>
      <c r="D430" s="8"/>
      <c r="E430" s="10">
        <f>IFERROR(VLOOKUP(C430,'Inventory Master'!$A$3:$L$300,4,FALSE),0)</f>
      </c>
      <c r="F430" s="10">
        <f>D430*E430</f>
      </c>
    </row>
    <row r="431" ht="21" customHeight="1" spans="1:6" x14ac:dyDescent="0.25">
      <c r="A431" s="8"/>
      <c r="B431" s="8"/>
      <c r="C431" s="8"/>
      <c r="D431" s="8"/>
      <c r="E431" s="10">
        <f>IFERROR(VLOOKUP(C431,'Inventory Master'!$A$3:$L$300,4,FALSE),0)</f>
      </c>
      <c r="F431" s="10">
        <f>D431*E431</f>
      </c>
    </row>
    <row r="432" ht="21" customHeight="1" spans="1:6" x14ac:dyDescent="0.25">
      <c r="A432" s="8"/>
      <c r="B432" s="8"/>
      <c r="C432" s="8"/>
      <c r="D432" s="8"/>
      <c r="E432" s="10">
        <f>IFERROR(VLOOKUP(C432,'Inventory Master'!$A$3:$L$300,4,FALSE),0)</f>
      </c>
      <c r="F432" s="10">
        <f>D432*E432</f>
      </c>
    </row>
    <row r="433" ht="21" customHeight="1" spans="1:6" x14ac:dyDescent="0.25">
      <c r="A433" s="8"/>
      <c r="B433" s="8"/>
      <c r="C433" s="8"/>
      <c r="D433" s="8"/>
      <c r="E433" s="10">
        <f>IFERROR(VLOOKUP(C433,'Inventory Master'!$A$3:$L$300,4,FALSE),0)</f>
      </c>
      <c r="F433" s="10">
        <f>D433*E433</f>
      </c>
    </row>
    <row r="434" ht="21" customHeight="1" spans="1:6" x14ac:dyDescent="0.25">
      <c r="A434" s="8"/>
      <c r="B434" s="8"/>
      <c r="C434" s="8"/>
      <c r="D434" s="8"/>
      <c r="E434" s="10">
        <f>IFERROR(VLOOKUP(C434,'Inventory Master'!$A$3:$L$300,4,FALSE),0)</f>
      </c>
      <c r="F434" s="10">
        <f>D434*E434</f>
      </c>
    </row>
    <row r="435" ht="21" customHeight="1" spans="1:6" x14ac:dyDescent="0.25">
      <c r="A435" s="8"/>
      <c r="B435" s="8"/>
      <c r="C435" s="8"/>
      <c r="D435" s="8"/>
      <c r="E435" s="10">
        <f>IFERROR(VLOOKUP(C435,'Inventory Master'!$A$3:$L$300,4,FALSE),0)</f>
      </c>
      <c r="F435" s="10">
        <f>D435*E435</f>
      </c>
    </row>
    <row r="436" ht="21" customHeight="1" spans="1:6" x14ac:dyDescent="0.25">
      <c r="A436" s="8"/>
      <c r="B436" s="8"/>
      <c r="C436" s="8"/>
      <c r="D436" s="8"/>
      <c r="E436" s="10">
        <f>IFERROR(VLOOKUP(C436,'Inventory Master'!$A$3:$L$300,4,FALSE),0)</f>
      </c>
      <c r="F436" s="10">
        <f>D436*E436</f>
      </c>
    </row>
    <row r="437" ht="21" customHeight="1" spans="1:6" x14ac:dyDescent="0.25">
      <c r="A437" s="8"/>
      <c r="B437" s="8"/>
      <c r="C437" s="8"/>
      <c r="D437" s="8"/>
      <c r="E437" s="10">
        <f>IFERROR(VLOOKUP(C437,'Inventory Master'!$A$3:$L$300,4,FALSE),0)</f>
      </c>
      <c r="F437" s="10">
        <f>D437*E437</f>
      </c>
    </row>
    <row r="438" ht="21" customHeight="1" spans="1:6" x14ac:dyDescent="0.25">
      <c r="A438" s="8"/>
      <c r="B438" s="8"/>
      <c r="C438" s="8"/>
      <c r="D438" s="8"/>
      <c r="E438" s="10">
        <f>IFERROR(VLOOKUP(C438,'Inventory Master'!$A$3:$L$300,4,FALSE),0)</f>
      </c>
      <c r="F438" s="10">
        <f>D438*E438</f>
      </c>
    </row>
    <row r="439" ht="21" customHeight="1" spans="1:6" x14ac:dyDescent="0.25">
      <c r="A439" s="8"/>
      <c r="B439" s="8"/>
      <c r="C439" s="8"/>
      <c r="D439" s="8"/>
      <c r="E439" s="10">
        <f>IFERROR(VLOOKUP(C439,'Inventory Master'!$A$3:$L$300,4,FALSE),0)</f>
      </c>
      <c r="F439" s="10">
        <f>D439*E439</f>
      </c>
    </row>
    <row r="440" ht="21" customHeight="1" spans="1:6" x14ac:dyDescent="0.25">
      <c r="A440" s="8"/>
      <c r="B440" s="8"/>
      <c r="C440" s="8"/>
      <c r="D440" s="8"/>
      <c r="E440" s="10">
        <f>IFERROR(VLOOKUP(C440,'Inventory Master'!$A$3:$L$300,4,FALSE),0)</f>
      </c>
      <c r="F440" s="10">
        <f>D440*E440</f>
      </c>
    </row>
    <row r="441" ht="21" customHeight="1" spans="1:6" x14ac:dyDescent="0.25">
      <c r="A441" s="8"/>
      <c r="B441" s="8"/>
      <c r="C441" s="8"/>
      <c r="D441" s="8"/>
      <c r="E441" s="10">
        <f>IFERROR(VLOOKUP(C441,'Inventory Master'!$A$3:$L$300,4,FALSE),0)</f>
      </c>
      <c r="F441" s="10">
        <f>D441*E441</f>
      </c>
    </row>
    <row r="442" ht="21" customHeight="1" spans="1:6" x14ac:dyDescent="0.25">
      <c r="A442" s="8"/>
      <c r="B442" s="8"/>
      <c r="C442" s="8"/>
      <c r="D442" s="8"/>
      <c r="E442" s="10">
        <f>IFERROR(VLOOKUP(C442,'Inventory Master'!$A$3:$L$300,4,FALSE),0)</f>
      </c>
      <c r="F442" s="10">
        <f>D442*E442</f>
      </c>
    </row>
    <row r="443" ht="21" customHeight="1" spans="1:6" x14ac:dyDescent="0.25">
      <c r="A443" s="8"/>
      <c r="B443" s="8"/>
      <c r="C443" s="8"/>
      <c r="D443" s="8"/>
      <c r="E443" s="10">
        <f>IFERROR(VLOOKUP(C443,'Inventory Master'!$A$3:$L$300,4,FALSE),0)</f>
      </c>
      <c r="F443" s="10">
        <f>D443*E443</f>
      </c>
    </row>
    <row r="444" ht="21" customHeight="1" spans="1:6" x14ac:dyDescent="0.25">
      <c r="A444" s="8"/>
      <c r="B444" s="8"/>
      <c r="C444" s="8"/>
      <c r="D444" s="8"/>
      <c r="E444" s="10">
        <f>IFERROR(VLOOKUP(C444,'Inventory Master'!$A$3:$L$300,4,FALSE),0)</f>
      </c>
      <c r="F444" s="10">
        <f>D444*E444</f>
      </c>
    </row>
    <row r="445" ht="21" customHeight="1" spans="1:6" x14ac:dyDescent="0.25">
      <c r="A445" s="8"/>
      <c r="B445" s="8"/>
      <c r="C445" s="8"/>
      <c r="D445" s="8"/>
      <c r="E445" s="10">
        <f>IFERROR(VLOOKUP(C445,'Inventory Master'!$A$3:$L$300,4,FALSE),0)</f>
      </c>
      <c r="F445" s="10">
        <f>D445*E445</f>
      </c>
    </row>
    <row r="446" ht="21" customHeight="1" spans="1:6" x14ac:dyDescent="0.25">
      <c r="A446" s="8"/>
      <c r="B446" s="8"/>
      <c r="C446" s="8"/>
      <c r="D446" s="8"/>
      <c r="E446" s="10">
        <f>IFERROR(VLOOKUP(C446,'Inventory Master'!$A$3:$L$300,4,FALSE),0)</f>
      </c>
      <c r="F446" s="10">
        <f>D446*E446</f>
      </c>
    </row>
    <row r="447" ht="21" customHeight="1" spans="1:6" x14ac:dyDescent="0.25">
      <c r="A447" s="8"/>
      <c r="B447" s="8"/>
      <c r="C447" s="8"/>
      <c r="D447" s="8"/>
      <c r="E447" s="10">
        <f>IFERROR(VLOOKUP(C447,'Inventory Master'!$A$3:$L$300,4,FALSE),0)</f>
      </c>
      <c r="F447" s="10">
        <f>D447*E447</f>
      </c>
    </row>
    <row r="448" ht="21" customHeight="1" spans="1:6" x14ac:dyDescent="0.25">
      <c r="A448" s="8"/>
      <c r="B448" s="8"/>
      <c r="C448" s="8"/>
      <c r="D448" s="8"/>
      <c r="E448" s="10">
        <f>IFERROR(VLOOKUP(C448,'Inventory Master'!$A$3:$L$300,4,FALSE),0)</f>
      </c>
      <c r="F448" s="10">
        <f>D448*E448</f>
      </c>
    </row>
    <row r="449" ht="21" customHeight="1" spans="1:6" x14ac:dyDescent="0.25">
      <c r="A449" s="8"/>
      <c r="B449" s="8"/>
      <c r="C449" s="8"/>
      <c r="D449" s="8"/>
      <c r="E449" s="10">
        <f>IFERROR(VLOOKUP(C449,'Inventory Master'!$A$3:$L$300,4,FALSE),0)</f>
      </c>
      <c r="F449" s="10">
        <f>D449*E449</f>
      </c>
    </row>
    <row r="450" ht="21" customHeight="1" spans="1:6" x14ac:dyDescent="0.25">
      <c r="A450" s="8"/>
      <c r="B450" s="8"/>
      <c r="C450" s="8"/>
      <c r="D450" s="8"/>
      <c r="E450" s="10">
        <f>IFERROR(VLOOKUP(C450,'Inventory Master'!$A$3:$L$300,4,FALSE),0)</f>
      </c>
      <c r="F450" s="10">
        <f>D450*E450</f>
      </c>
    </row>
    <row r="451" ht="21" customHeight="1" spans="1:6" x14ac:dyDescent="0.25">
      <c r="A451" s="8"/>
      <c r="B451" s="8"/>
      <c r="C451" s="8"/>
      <c r="D451" s="8"/>
      <c r="E451" s="10">
        <f>IFERROR(VLOOKUP(C451,'Inventory Master'!$A$3:$L$300,4,FALSE),0)</f>
      </c>
      <c r="F451" s="10">
        <f>D451*E451</f>
      </c>
    </row>
    <row r="452" ht="21" customHeight="1" spans="1:6" x14ac:dyDescent="0.25">
      <c r="A452" s="8"/>
      <c r="B452" s="8"/>
      <c r="C452" s="8"/>
      <c r="D452" s="8"/>
      <c r="E452" s="10">
        <f>IFERROR(VLOOKUP(C452,'Inventory Master'!$A$3:$L$300,4,FALSE),0)</f>
      </c>
      <c r="F452" s="10">
        <f>D452*E452</f>
      </c>
    </row>
    <row r="453" ht="21" customHeight="1" spans="1:6" x14ac:dyDescent="0.25">
      <c r="A453" s="8"/>
      <c r="B453" s="8"/>
      <c r="C453" s="8"/>
      <c r="D453" s="8"/>
      <c r="E453" s="10">
        <f>IFERROR(VLOOKUP(C453,'Inventory Master'!$A$3:$L$300,4,FALSE),0)</f>
      </c>
      <c r="F453" s="10">
        <f>D453*E453</f>
      </c>
    </row>
    <row r="454" ht="21" customHeight="1" spans="1:6" x14ac:dyDescent="0.25">
      <c r="A454" s="8"/>
      <c r="B454" s="8"/>
      <c r="C454" s="8"/>
      <c r="D454" s="8"/>
      <c r="E454" s="10">
        <f>IFERROR(VLOOKUP(C454,'Inventory Master'!$A$3:$L$300,4,FALSE),0)</f>
      </c>
      <c r="F454" s="10">
        <f>D454*E454</f>
      </c>
    </row>
    <row r="455" ht="21" customHeight="1" spans="1:6" x14ac:dyDescent="0.25">
      <c r="A455" s="8"/>
      <c r="B455" s="8"/>
      <c r="C455" s="8"/>
      <c r="D455" s="8"/>
      <c r="E455" s="10">
        <f>IFERROR(VLOOKUP(C455,'Inventory Master'!$A$3:$L$300,4,FALSE),0)</f>
      </c>
      <c r="F455" s="10">
        <f>D455*E455</f>
      </c>
    </row>
    <row r="456" ht="21" customHeight="1" spans="1:6" x14ac:dyDescent="0.25">
      <c r="A456" s="8"/>
      <c r="B456" s="8"/>
      <c r="C456" s="8"/>
      <c r="D456" s="8"/>
      <c r="E456" s="10">
        <f>IFERROR(VLOOKUP(C456,'Inventory Master'!$A$3:$L$300,4,FALSE),0)</f>
      </c>
      <c r="F456" s="10">
        <f>D456*E456</f>
      </c>
    </row>
    <row r="457" ht="21" customHeight="1" spans="1:6" x14ac:dyDescent="0.25">
      <c r="A457" s="8"/>
      <c r="B457" s="8"/>
      <c r="C457" s="8"/>
      <c r="D457" s="8"/>
      <c r="E457" s="10">
        <f>IFERROR(VLOOKUP(C457,'Inventory Master'!$A$3:$L$300,4,FALSE),0)</f>
      </c>
      <c r="F457" s="10">
        <f>D457*E457</f>
      </c>
    </row>
    <row r="458" ht="21" customHeight="1" spans="1:6" x14ac:dyDescent="0.25">
      <c r="A458" s="8"/>
      <c r="B458" s="8"/>
      <c r="C458" s="8"/>
      <c r="D458" s="8"/>
      <c r="E458" s="10">
        <f>IFERROR(VLOOKUP(C458,'Inventory Master'!$A$3:$L$300,4,FALSE),0)</f>
      </c>
      <c r="F458" s="10">
        <f>D458*E458</f>
      </c>
    </row>
    <row r="459" ht="21" customHeight="1" spans="1:6" x14ac:dyDescent="0.25">
      <c r="A459" s="8"/>
      <c r="B459" s="8"/>
      <c r="C459" s="8"/>
      <c r="D459" s="8"/>
      <c r="E459" s="10">
        <f>IFERROR(VLOOKUP(C459,'Inventory Master'!$A$3:$L$300,4,FALSE),0)</f>
      </c>
      <c r="F459" s="10">
        <f>D459*E459</f>
      </c>
    </row>
    <row r="460" ht="21" customHeight="1" spans="1:6" x14ac:dyDescent="0.25">
      <c r="A460" s="8"/>
      <c r="B460" s="8"/>
      <c r="C460" s="8"/>
      <c r="D460" s="8"/>
      <c r="E460" s="10">
        <f>IFERROR(VLOOKUP(C460,'Inventory Master'!$A$3:$L$300,4,FALSE),0)</f>
      </c>
      <c r="F460" s="10">
        <f>D460*E460</f>
      </c>
    </row>
    <row r="461" ht="21" customHeight="1" spans="1:6" x14ac:dyDescent="0.25">
      <c r="A461" s="8"/>
      <c r="B461" s="8"/>
      <c r="C461" s="8"/>
      <c r="D461" s="8"/>
      <c r="E461" s="10">
        <f>IFERROR(VLOOKUP(C461,'Inventory Master'!$A$3:$L$300,4,FALSE),0)</f>
      </c>
      <c r="F461" s="10">
        <f>D461*E461</f>
      </c>
    </row>
    <row r="462" ht="21" customHeight="1" spans="1:6" x14ac:dyDescent="0.25">
      <c r="A462" s="8"/>
      <c r="B462" s="8"/>
      <c r="C462" s="8"/>
      <c r="D462" s="8"/>
      <c r="E462" s="10">
        <f>IFERROR(VLOOKUP(C462,'Inventory Master'!$A$3:$L$300,4,FALSE),0)</f>
      </c>
      <c r="F462" s="10">
        <f>D462*E462</f>
      </c>
    </row>
    <row r="463" ht="21" customHeight="1" spans="1:6" x14ac:dyDescent="0.25">
      <c r="A463" s="8"/>
      <c r="B463" s="8"/>
      <c r="C463" s="8"/>
      <c r="D463" s="8"/>
      <c r="E463" s="10">
        <f>IFERROR(VLOOKUP(C463,'Inventory Master'!$A$3:$L$300,4,FALSE),0)</f>
      </c>
      <c r="F463" s="10">
        <f>D463*E463</f>
      </c>
    </row>
    <row r="464" ht="21" customHeight="1" spans="1:6" x14ac:dyDescent="0.25">
      <c r="A464" s="8"/>
      <c r="B464" s="8"/>
      <c r="C464" s="8"/>
      <c r="D464" s="8"/>
      <c r="E464" s="10">
        <f>IFERROR(VLOOKUP(C464,'Inventory Master'!$A$3:$L$300,4,FALSE),0)</f>
      </c>
      <c r="F464" s="10">
        <f>D464*E464</f>
      </c>
    </row>
    <row r="465" ht="21" customHeight="1" spans="1:6" x14ac:dyDescent="0.25">
      <c r="A465" s="8"/>
      <c r="B465" s="8"/>
      <c r="C465" s="8"/>
      <c r="D465" s="8"/>
      <c r="E465" s="10">
        <f>IFERROR(VLOOKUP(C465,'Inventory Master'!$A$3:$L$300,4,FALSE),0)</f>
      </c>
      <c r="F465" s="10">
        <f>D465*E465</f>
      </c>
    </row>
    <row r="466" ht="21" customHeight="1" spans="1:6" x14ac:dyDescent="0.25">
      <c r="A466" s="8"/>
      <c r="B466" s="8"/>
      <c r="C466" s="8"/>
      <c r="D466" s="8"/>
      <c r="E466" s="10">
        <f>IFERROR(VLOOKUP(C466,'Inventory Master'!$A$3:$L$300,4,FALSE),0)</f>
      </c>
      <c r="F466" s="10">
        <f>D466*E466</f>
      </c>
    </row>
    <row r="467" ht="21" customHeight="1" spans="1:6" x14ac:dyDescent="0.25">
      <c r="A467" s="8"/>
      <c r="B467" s="8"/>
      <c r="C467" s="8"/>
      <c r="D467" s="8"/>
      <c r="E467" s="10">
        <f>IFERROR(VLOOKUP(C467,'Inventory Master'!$A$3:$L$300,4,FALSE),0)</f>
      </c>
      <c r="F467" s="10">
        <f>D467*E467</f>
      </c>
    </row>
    <row r="468" ht="21" customHeight="1" spans="1:6" x14ac:dyDescent="0.25">
      <c r="A468" s="8"/>
      <c r="B468" s="8"/>
      <c r="C468" s="8"/>
      <c r="D468" s="8"/>
      <c r="E468" s="10">
        <f>IFERROR(VLOOKUP(C468,'Inventory Master'!$A$3:$L$300,4,FALSE),0)</f>
      </c>
      <c r="F468" s="10">
        <f>D468*E468</f>
      </c>
    </row>
    <row r="469" ht="21" customHeight="1" spans="1:6" x14ac:dyDescent="0.25">
      <c r="A469" s="8"/>
      <c r="B469" s="8"/>
      <c r="C469" s="8"/>
      <c r="D469" s="8"/>
      <c r="E469" s="10">
        <f>IFERROR(VLOOKUP(C469,'Inventory Master'!$A$3:$L$300,4,FALSE),0)</f>
      </c>
      <c r="F469" s="10">
        <f>D469*E469</f>
      </c>
    </row>
    <row r="470" ht="21" customHeight="1" spans="1:6" x14ac:dyDescent="0.25">
      <c r="A470" s="8"/>
      <c r="B470" s="8"/>
      <c r="C470" s="8"/>
      <c r="D470" s="8"/>
      <c r="E470" s="10">
        <f>IFERROR(VLOOKUP(C470,'Inventory Master'!$A$3:$L$300,4,FALSE),0)</f>
      </c>
      <c r="F470" s="10">
        <f>D470*E470</f>
      </c>
    </row>
    <row r="471" ht="21" customHeight="1" spans="1:6" x14ac:dyDescent="0.25">
      <c r="A471" s="8"/>
      <c r="B471" s="8"/>
      <c r="C471" s="8"/>
      <c r="D471" s="8"/>
      <c r="E471" s="10">
        <f>IFERROR(VLOOKUP(C471,'Inventory Master'!$A$3:$L$300,4,FALSE),0)</f>
      </c>
      <c r="F471" s="10">
        <f>D471*E471</f>
      </c>
    </row>
    <row r="472" ht="21" customHeight="1" spans="1:6" x14ac:dyDescent="0.25">
      <c r="A472" s="8"/>
      <c r="B472" s="8"/>
      <c r="C472" s="8"/>
      <c r="D472" s="8"/>
      <c r="E472" s="10">
        <f>IFERROR(VLOOKUP(C472,'Inventory Master'!$A$3:$L$300,4,FALSE),0)</f>
      </c>
      <c r="F472" s="10">
        <f>D472*E472</f>
      </c>
    </row>
    <row r="473" ht="21" customHeight="1" spans="1:6" x14ac:dyDescent="0.25">
      <c r="A473" s="8"/>
      <c r="B473" s="8"/>
      <c r="C473" s="8"/>
      <c r="D473" s="8"/>
      <c r="E473" s="10">
        <f>IFERROR(VLOOKUP(C473,'Inventory Master'!$A$3:$L$300,4,FALSE),0)</f>
      </c>
      <c r="F473" s="10">
        <f>D473*E473</f>
      </c>
    </row>
    <row r="474" ht="21" customHeight="1" spans="1:6" x14ac:dyDescent="0.25">
      <c r="A474" s="8"/>
      <c r="B474" s="8"/>
      <c r="C474" s="8"/>
      <c r="D474" s="8"/>
      <c r="E474" s="10">
        <f>IFERROR(VLOOKUP(C474,'Inventory Master'!$A$3:$L$300,4,FALSE),0)</f>
      </c>
      <c r="F474" s="10">
        <f>D474*E474</f>
      </c>
    </row>
    <row r="475" ht="21" customHeight="1" spans="1:6" x14ac:dyDescent="0.25">
      <c r="A475" s="8"/>
      <c r="B475" s="8"/>
      <c r="C475" s="8"/>
      <c r="D475" s="8"/>
      <c r="E475" s="10">
        <f>IFERROR(VLOOKUP(C475,'Inventory Master'!$A$3:$L$300,4,FALSE),0)</f>
      </c>
      <c r="F475" s="10">
        <f>D475*E475</f>
      </c>
    </row>
    <row r="476" ht="21" customHeight="1" spans="1:6" x14ac:dyDescent="0.25">
      <c r="A476" s="8"/>
      <c r="B476" s="8"/>
      <c r="C476" s="8"/>
      <c r="D476" s="8"/>
      <c r="E476" s="10">
        <f>IFERROR(VLOOKUP(C476,'Inventory Master'!$A$3:$L$300,4,FALSE),0)</f>
      </c>
      <c r="F476" s="10">
        <f>D476*E476</f>
      </c>
    </row>
    <row r="477" ht="21" customHeight="1" spans="1:6" x14ac:dyDescent="0.25">
      <c r="A477" s="8"/>
      <c r="B477" s="8"/>
      <c r="C477" s="8"/>
      <c r="D477" s="8"/>
      <c r="E477" s="10">
        <f>IFERROR(VLOOKUP(C477,'Inventory Master'!$A$3:$L$300,4,FALSE),0)</f>
      </c>
      <c r="F477" s="10">
        <f>D477*E477</f>
      </c>
    </row>
    <row r="478" ht="21" customHeight="1" spans="1:6" x14ac:dyDescent="0.25">
      <c r="A478" s="8"/>
      <c r="B478" s="8"/>
      <c r="C478" s="8"/>
      <c r="D478" s="8"/>
      <c r="E478" s="10">
        <f>IFERROR(VLOOKUP(C478,'Inventory Master'!$A$3:$L$300,4,FALSE),0)</f>
      </c>
      <c r="F478" s="10">
        <f>D478*E478</f>
      </c>
    </row>
    <row r="479" ht="21" customHeight="1" spans="1:6" x14ac:dyDescent="0.25">
      <c r="A479" s="8"/>
      <c r="B479" s="8"/>
      <c r="C479" s="8"/>
      <c r="D479" s="8"/>
      <c r="E479" s="10">
        <f>IFERROR(VLOOKUP(C479,'Inventory Master'!$A$3:$L$300,4,FALSE),0)</f>
      </c>
      <c r="F479" s="10">
        <f>D479*E479</f>
      </c>
    </row>
    <row r="480" ht="21" customHeight="1" spans="1:6" x14ac:dyDescent="0.25">
      <c r="A480" s="8"/>
      <c r="B480" s="8"/>
      <c r="C480" s="8"/>
      <c r="D480" s="8"/>
      <c r="E480" s="10">
        <f>IFERROR(VLOOKUP(C480,'Inventory Master'!$A$3:$L$300,4,FALSE),0)</f>
      </c>
      <c r="F480" s="10">
        <f>D480*E480</f>
      </c>
    </row>
    <row r="481" ht="21" customHeight="1" spans="1:6" x14ac:dyDescent="0.25">
      <c r="A481" s="8"/>
      <c r="B481" s="8"/>
      <c r="C481" s="8"/>
      <c r="D481" s="8"/>
      <c r="E481" s="10">
        <f>IFERROR(VLOOKUP(C481,'Inventory Master'!$A$3:$L$300,4,FALSE),0)</f>
      </c>
      <c r="F481" s="10">
        <f>D481*E481</f>
      </c>
    </row>
    <row r="482" ht="21" customHeight="1" spans="1:6" x14ac:dyDescent="0.25">
      <c r="A482" s="8"/>
      <c r="B482" s="8"/>
      <c r="C482" s="8"/>
      <c r="D482" s="8"/>
      <c r="E482" s="10">
        <f>IFERROR(VLOOKUP(C482,'Inventory Master'!$A$3:$L$300,4,FALSE),0)</f>
      </c>
      <c r="F482" s="10">
        <f>D482*E482</f>
      </c>
    </row>
    <row r="483" ht="21" customHeight="1" spans="1:6" x14ac:dyDescent="0.25">
      <c r="A483" s="8"/>
      <c r="B483" s="8"/>
      <c r="C483" s="8"/>
      <c r="D483" s="8"/>
      <c r="E483" s="10">
        <f>IFERROR(VLOOKUP(C483,'Inventory Master'!$A$3:$L$300,4,FALSE),0)</f>
      </c>
      <c r="F483" s="10">
        <f>D483*E483</f>
      </c>
    </row>
    <row r="484" ht="21" customHeight="1" spans="1:6" x14ac:dyDescent="0.25">
      <c r="A484" s="8"/>
      <c r="B484" s="8"/>
      <c r="C484" s="8"/>
      <c r="D484" s="8"/>
      <c r="E484" s="10">
        <f>IFERROR(VLOOKUP(C484,'Inventory Master'!$A$3:$L$300,4,FALSE),0)</f>
      </c>
      <c r="F484" s="10">
        <f>D484*E484</f>
      </c>
    </row>
    <row r="485" ht="21" customHeight="1" spans="1:6" x14ac:dyDescent="0.25">
      <c r="A485" s="8"/>
      <c r="B485" s="8"/>
      <c r="C485" s="8"/>
      <c r="D485" s="8"/>
      <c r="E485" s="10">
        <f>IFERROR(VLOOKUP(C485,'Inventory Master'!$A$3:$L$300,4,FALSE),0)</f>
      </c>
      <c r="F485" s="10">
        <f>D485*E485</f>
      </c>
    </row>
    <row r="486" ht="21" customHeight="1" spans="1:6" x14ac:dyDescent="0.25">
      <c r="A486" s="8"/>
      <c r="B486" s="8"/>
      <c r="C486" s="8"/>
      <c r="D486" s="8"/>
      <c r="E486" s="10">
        <f>IFERROR(VLOOKUP(C486,'Inventory Master'!$A$3:$L$300,4,FALSE),0)</f>
      </c>
      <c r="F486" s="10">
        <f>D486*E486</f>
      </c>
    </row>
    <row r="487" ht="21" customHeight="1" spans="1:6" x14ac:dyDescent="0.25">
      <c r="A487" s="8"/>
      <c r="B487" s="8"/>
      <c r="C487" s="8"/>
      <c r="D487" s="8"/>
      <c r="E487" s="10">
        <f>IFERROR(VLOOKUP(C487,'Inventory Master'!$A$3:$L$300,4,FALSE),0)</f>
      </c>
      <c r="F487" s="10">
        <f>D487*E487</f>
      </c>
    </row>
    <row r="488" ht="21" customHeight="1" spans="1:6" x14ac:dyDescent="0.25">
      <c r="A488" s="8"/>
      <c r="B488" s="8"/>
      <c r="C488" s="8"/>
      <c r="D488" s="8"/>
      <c r="E488" s="10">
        <f>IFERROR(VLOOKUP(C488,'Inventory Master'!$A$3:$L$300,4,FALSE),0)</f>
      </c>
      <c r="F488" s="10">
        <f>D488*E488</f>
      </c>
    </row>
    <row r="489" ht="21" customHeight="1" spans="1:6" x14ac:dyDescent="0.25">
      <c r="A489" s="8"/>
      <c r="B489" s="8"/>
      <c r="C489" s="8"/>
      <c r="D489" s="8"/>
      <c r="E489" s="10">
        <f>IFERROR(VLOOKUP(C489,'Inventory Master'!$A$3:$L$300,4,FALSE),0)</f>
      </c>
      <c r="F489" s="10">
        <f>D489*E489</f>
      </c>
    </row>
    <row r="490" ht="21" customHeight="1" spans="1:6" x14ac:dyDescent="0.25">
      <c r="A490" s="8"/>
      <c r="B490" s="8"/>
      <c r="C490" s="8"/>
      <c r="D490" s="8"/>
      <c r="E490" s="10">
        <f>IFERROR(VLOOKUP(C490,'Inventory Master'!$A$3:$L$300,4,FALSE),0)</f>
      </c>
      <c r="F490" s="10">
        <f>D490*E490</f>
      </c>
    </row>
    <row r="491" ht="21" customHeight="1" spans="1:6" x14ac:dyDescent="0.25">
      <c r="A491" s="8"/>
      <c r="B491" s="8"/>
      <c r="C491" s="8"/>
      <c r="D491" s="8"/>
      <c r="E491" s="10">
        <f>IFERROR(VLOOKUP(C491,'Inventory Master'!$A$3:$L$300,4,FALSE),0)</f>
      </c>
      <c r="F491" s="10">
        <f>D491*E491</f>
      </c>
    </row>
    <row r="492" ht="21" customHeight="1" spans="1:6" x14ac:dyDescent="0.25">
      <c r="A492" s="8"/>
      <c r="B492" s="8"/>
      <c r="C492" s="8"/>
      <c r="D492" s="8"/>
      <c r="E492" s="10">
        <f>IFERROR(VLOOKUP(C492,'Inventory Master'!$A$3:$L$300,4,FALSE),0)</f>
      </c>
      <c r="F492" s="10">
        <f>D492*E492</f>
      </c>
    </row>
    <row r="493" ht="21" customHeight="1" spans="1:6" x14ac:dyDescent="0.25">
      <c r="A493" s="8"/>
      <c r="B493" s="8"/>
      <c r="C493" s="8"/>
      <c r="D493" s="8"/>
      <c r="E493" s="10">
        <f>IFERROR(VLOOKUP(C493,'Inventory Master'!$A$3:$L$300,4,FALSE),0)</f>
      </c>
      <c r="F493" s="10">
        <f>D493*E493</f>
      </c>
    </row>
    <row r="494" ht="21" customHeight="1" spans="1:6" x14ac:dyDescent="0.25">
      <c r="A494" s="8"/>
      <c r="B494" s="8"/>
      <c r="C494" s="8"/>
      <c r="D494" s="8"/>
      <c r="E494" s="10">
        <f>IFERROR(VLOOKUP(C494,'Inventory Master'!$A$3:$L$300,4,FALSE),0)</f>
      </c>
      <c r="F494" s="10">
        <f>D494*E494</f>
      </c>
    </row>
    <row r="495" ht="21" customHeight="1" spans="1:6" x14ac:dyDescent="0.25">
      <c r="A495" s="8"/>
      <c r="B495" s="8"/>
      <c r="C495" s="8"/>
      <c r="D495" s="8"/>
      <c r="E495" s="10">
        <f>IFERROR(VLOOKUP(C495,'Inventory Master'!$A$3:$L$300,4,FALSE),0)</f>
      </c>
      <c r="F495" s="10">
        <f>D495*E495</f>
      </c>
    </row>
    <row r="496" ht="21" customHeight="1" spans="1:6" x14ac:dyDescent="0.25">
      <c r="A496" s="8"/>
      <c r="B496" s="8"/>
      <c r="C496" s="8"/>
      <c r="D496" s="8"/>
      <c r="E496" s="10">
        <f>IFERROR(VLOOKUP(C496,'Inventory Master'!$A$3:$L$300,4,FALSE),0)</f>
      </c>
      <c r="F496" s="10">
        <f>D496*E496</f>
      </c>
    </row>
    <row r="497" ht="21" customHeight="1" spans="1:6" x14ac:dyDescent="0.25">
      <c r="A497" s="8"/>
      <c r="B497" s="8"/>
      <c r="C497" s="8"/>
      <c r="D497" s="8"/>
      <c r="E497" s="10">
        <f>IFERROR(VLOOKUP(C497,'Inventory Master'!$A$3:$L$300,4,FALSE),0)</f>
      </c>
      <c r="F497" s="10">
        <f>D497*E497</f>
      </c>
    </row>
    <row r="498" ht="21" customHeight="1" spans="1:6" x14ac:dyDescent="0.25">
      <c r="A498" s="8"/>
      <c r="B498" s="8"/>
      <c r="C498" s="8"/>
      <c r="D498" s="8"/>
      <c r="E498" s="10">
        <f>IFERROR(VLOOKUP(C498,'Inventory Master'!$A$3:$L$300,4,FALSE),0)</f>
      </c>
      <c r="F498" s="10">
        <f>D498*E498</f>
      </c>
    </row>
    <row r="499" ht="21" customHeight="1" spans="1:6" x14ac:dyDescent="0.25">
      <c r="A499" s="8"/>
      <c r="B499" s="8"/>
      <c r="C499" s="8"/>
      <c r="D499" s="8"/>
      <c r="E499" s="10">
        <f>IFERROR(VLOOKUP(C499,'Inventory Master'!$A$3:$L$300,4,FALSE),0)</f>
      </c>
      <c r="F499" s="10">
        <f>D499*E499</f>
      </c>
    </row>
    <row r="500" ht="21" customHeight="1" spans="1:6" x14ac:dyDescent="0.25">
      <c r="A500" s="8"/>
      <c r="B500" s="8"/>
      <c r="C500" s="8"/>
      <c r="D500" s="8"/>
      <c r="E500" s="10">
        <f>IFERROR(VLOOKUP(C500,'Inventory Master'!$A$3:$L$300,4,FALSE),0)</f>
      </c>
      <c r="F500" s="10">
        <f>D500*E500</f>
      </c>
    </row>
    <row r="501" ht="21" customHeight="1" spans="1:6" x14ac:dyDescent="0.25">
      <c r="A501" s="8"/>
      <c r="B501" s="8"/>
      <c r="C501" s="8"/>
      <c r="D501" s="8"/>
      <c r="E501" s="10">
        <f>IFERROR(VLOOKUP(C501,'Inventory Master'!$A$3:$L$300,4,FALSE),0)</f>
      </c>
      <c r="F501" s="10">
        <f>D501*E501</f>
      </c>
    </row>
    <row r="502" ht="21" customHeight="1" spans="1:6" x14ac:dyDescent="0.25">
      <c r="A502" s="8"/>
      <c r="B502" s="8"/>
      <c r="C502" s="8"/>
      <c r="D502" s="8"/>
      <c r="E502" s="10">
        <f>IFERROR(VLOOKUP(C502,'Inventory Master'!$A$3:$L$300,4,FALSE),0)</f>
      </c>
      <c r="F502" s="10">
        <f>D502*E502</f>
      </c>
    </row>
    <row r="503" ht="21" customHeight="1" spans="1:6" x14ac:dyDescent="0.25">
      <c r="A503" s="8"/>
      <c r="B503" s="8"/>
      <c r="C503" s="8"/>
      <c r="D503" s="8"/>
      <c r="E503" s="10">
        <f>IFERROR(VLOOKUP(C503,'Inventory Master'!$A$3:$L$300,4,FALSE),0)</f>
      </c>
      <c r="F503" s="10">
        <f>D503*E503</f>
      </c>
    </row>
    <row r="504" ht="21" customHeight="1" spans="1:6" x14ac:dyDescent="0.25">
      <c r="A504" s="8"/>
      <c r="B504" s="8"/>
      <c r="C504" s="8"/>
      <c r="D504" s="8"/>
      <c r="E504" s="10">
        <f>IFERROR(VLOOKUP(C504,'Inventory Master'!$A$3:$L$300,4,FALSE),0)</f>
      </c>
      <c r="F504" s="10">
        <f>D504*E504</f>
      </c>
    </row>
    <row r="505" ht="21" customHeight="1" spans="1:6" x14ac:dyDescent="0.25">
      <c r="A505" s="8"/>
      <c r="B505" s="8"/>
      <c r="C505" s="8"/>
      <c r="D505" s="8"/>
      <c r="E505" s="10">
        <f>IFERROR(VLOOKUP(C505,'Inventory Master'!$A$3:$L$300,4,FALSE),0)</f>
      </c>
      <c r="F505" s="10">
        <f>D505*E505</f>
      </c>
    </row>
    <row r="506" ht="21" customHeight="1" spans="1:6" x14ac:dyDescent="0.25">
      <c r="A506" s="8"/>
      <c r="B506" s="8"/>
      <c r="C506" s="8"/>
      <c r="D506" s="8"/>
      <c r="E506" s="10">
        <f>IFERROR(VLOOKUP(C506,'Inventory Master'!$A$3:$L$300,4,FALSE),0)</f>
      </c>
      <c r="F506" s="10">
        <f>D506*E506</f>
      </c>
    </row>
    <row r="507" ht="21" customHeight="1" spans="1:6" x14ac:dyDescent="0.25">
      <c r="A507" s="8"/>
      <c r="B507" s="8"/>
      <c r="C507" s="8"/>
      <c r="D507" s="8"/>
      <c r="E507" s="10">
        <f>IFERROR(VLOOKUP(C507,'Inventory Master'!$A$3:$L$300,4,FALSE),0)</f>
      </c>
      <c r="F507" s="10">
        <f>D507*E507</f>
      </c>
    </row>
    <row r="508" ht="21" customHeight="1" spans="1:6" x14ac:dyDescent="0.25">
      <c r="A508" s="8"/>
      <c r="B508" s="8"/>
      <c r="C508" s="8"/>
      <c r="D508" s="8"/>
      <c r="E508" s="10">
        <f>IFERROR(VLOOKUP(C508,'Inventory Master'!$A$3:$L$300,4,FALSE),0)</f>
      </c>
      <c r="F508" s="10">
        <f>D508*E508</f>
      </c>
    </row>
    <row r="509" ht="21" customHeight="1" spans="1:6" x14ac:dyDescent="0.25">
      <c r="A509" s="8"/>
      <c r="B509" s="8"/>
      <c r="C509" s="8"/>
      <c r="D509" s="8"/>
      <c r="E509" s="10">
        <f>IFERROR(VLOOKUP(C509,'Inventory Master'!$A$3:$L$300,4,FALSE),0)</f>
      </c>
      <c r="F509" s="10">
        <f>D509*E509</f>
      </c>
    </row>
    <row r="510" ht="21" customHeight="1" spans="1:6" x14ac:dyDescent="0.25">
      <c r="A510" s="8"/>
      <c r="B510" s="8"/>
      <c r="C510" s="8"/>
      <c r="D510" s="8"/>
      <c r="E510" s="10">
        <f>IFERROR(VLOOKUP(C510,'Inventory Master'!$A$3:$L$300,4,FALSE),0)</f>
      </c>
      <c r="F510" s="10">
        <f>D510*E510</f>
      </c>
    </row>
    <row r="511" ht="21" customHeight="1" spans="1:6" x14ac:dyDescent="0.25">
      <c r="A511" s="8"/>
      <c r="B511" s="8"/>
      <c r="C511" s="8"/>
      <c r="D511" s="8"/>
      <c r="E511" s="10">
        <f>IFERROR(VLOOKUP(C511,'Inventory Master'!$A$3:$L$300,4,FALSE),0)</f>
      </c>
      <c r="F511" s="10">
        <f>D511*E511</f>
      </c>
    </row>
    <row r="512" ht="21" customHeight="1" spans="1:6" x14ac:dyDescent="0.25">
      <c r="A512" s="8"/>
      <c r="B512" s="8"/>
      <c r="C512" s="8"/>
      <c r="D512" s="8"/>
      <c r="E512" s="10">
        <f>IFERROR(VLOOKUP(C512,'Inventory Master'!$A$3:$L$300,4,FALSE),0)</f>
      </c>
      <c r="F512" s="10">
        <f>D512*E512</f>
      </c>
    </row>
    <row r="513" ht="21" customHeight="1" spans="1:6" x14ac:dyDescent="0.25">
      <c r="A513" s="8"/>
      <c r="B513" s="8"/>
      <c r="C513" s="8"/>
      <c r="D513" s="8"/>
      <c r="E513" s="10">
        <f>IFERROR(VLOOKUP(C513,'Inventory Master'!$A$3:$L$300,4,FALSE),0)</f>
      </c>
      <c r="F513" s="10">
        <f>D513*E513</f>
      </c>
    </row>
    <row r="514" ht="21" customHeight="1" spans="1:6" x14ac:dyDescent="0.25">
      <c r="A514" s="8"/>
      <c r="B514" s="8"/>
      <c r="C514" s="8"/>
      <c r="D514" s="8"/>
      <c r="E514" s="10">
        <f>IFERROR(VLOOKUP(C514,'Inventory Master'!$A$3:$L$300,4,FALSE),0)</f>
      </c>
      <c r="F514" s="10">
        <f>D514*E514</f>
      </c>
    </row>
    <row r="515" ht="21" customHeight="1" spans="1:6" x14ac:dyDescent="0.25">
      <c r="A515" s="8"/>
      <c r="B515" s="8"/>
      <c r="C515" s="8"/>
      <c r="D515" s="8"/>
      <c r="E515" s="10">
        <f>IFERROR(VLOOKUP(C515,'Inventory Master'!$A$3:$L$300,4,FALSE),0)</f>
      </c>
      <c r="F515" s="10">
        <f>D515*E515</f>
      </c>
    </row>
    <row r="516" ht="21" customHeight="1" spans="1:6" x14ac:dyDescent="0.25">
      <c r="A516" s="8"/>
      <c r="B516" s="8"/>
      <c r="C516" s="8"/>
      <c r="D516" s="8"/>
      <c r="E516" s="10">
        <f>IFERROR(VLOOKUP(C516,'Inventory Master'!$A$3:$L$300,4,FALSE),0)</f>
      </c>
      <c r="F516" s="10">
        <f>D516*E516</f>
      </c>
    </row>
    <row r="517" ht="21" customHeight="1" spans="1:6" x14ac:dyDescent="0.25">
      <c r="A517" s="8"/>
      <c r="B517" s="8"/>
      <c r="C517" s="8"/>
      <c r="D517" s="8"/>
      <c r="E517" s="10">
        <f>IFERROR(VLOOKUP(C517,'Inventory Master'!$A$3:$L$300,4,FALSE),0)</f>
      </c>
      <c r="F517" s="10">
        <f>D517*E517</f>
      </c>
    </row>
    <row r="518" ht="21" customHeight="1" spans="1:6" x14ac:dyDescent="0.25">
      <c r="A518" s="8"/>
      <c r="B518" s="8"/>
      <c r="C518" s="8"/>
      <c r="D518" s="8"/>
      <c r="E518" s="10">
        <f>IFERROR(VLOOKUP(C518,'Inventory Master'!$A$3:$L$300,4,FALSE),0)</f>
      </c>
      <c r="F518" s="10">
        <f>D518*E518</f>
      </c>
    </row>
    <row r="519" ht="21" customHeight="1" spans="1:6" x14ac:dyDescent="0.25">
      <c r="A519" s="8"/>
      <c r="B519" s="8"/>
      <c r="C519" s="8"/>
      <c r="D519" s="8"/>
      <c r="E519" s="10">
        <f>IFERROR(VLOOKUP(C519,'Inventory Master'!$A$3:$L$300,4,FALSE),0)</f>
      </c>
      <c r="F519" s="10">
        <f>D519*E519</f>
      </c>
    </row>
    <row r="520" ht="21" customHeight="1" spans="1:6" x14ac:dyDescent="0.25">
      <c r="A520" s="8"/>
      <c r="B520" s="8"/>
      <c r="C520" s="8"/>
      <c r="D520" s="8"/>
      <c r="E520" s="10">
        <f>IFERROR(VLOOKUP(C520,'Inventory Master'!$A$3:$L$300,4,FALSE),0)</f>
      </c>
      <c r="F520" s="10">
        <f>D520*E520</f>
      </c>
    </row>
    <row r="521" ht="21" customHeight="1" spans="1:6" x14ac:dyDescent="0.25">
      <c r="A521" s="8"/>
      <c r="B521" s="8"/>
      <c r="C521" s="8"/>
      <c r="D521" s="8"/>
      <c r="E521" s="10">
        <f>IFERROR(VLOOKUP(C521,'Inventory Master'!$A$3:$L$300,4,FALSE),0)</f>
      </c>
      <c r="F521" s="10">
        <f>D521*E521</f>
      </c>
    </row>
    <row r="522" ht="21" customHeight="1" spans="1:6" x14ac:dyDescent="0.25">
      <c r="A522" s="8"/>
      <c r="B522" s="8"/>
      <c r="C522" s="8"/>
      <c r="D522" s="8"/>
      <c r="E522" s="10">
        <f>IFERROR(VLOOKUP(C522,'Inventory Master'!$A$3:$L$300,4,FALSE),0)</f>
      </c>
      <c r="F522" s="10">
        <f>D522*E522</f>
      </c>
    </row>
    <row r="523" ht="21" customHeight="1" spans="1:6" x14ac:dyDescent="0.25">
      <c r="A523" s="8"/>
      <c r="B523" s="8"/>
      <c r="C523" s="8"/>
      <c r="D523" s="8"/>
      <c r="E523" s="10">
        <f>IFERROR(VLOOKUP(C523,'Inventory Master'!$A$3:$L$300,4,FALSE),0)</f>
      </c>
      <c r="F523" s="10">
        <f>D523*E523</f>
      </c>
    </row>
    <row r="524" ht="21" customHeight="1" spans="1:6" x14ac:dyDescent="0.25">
      <c r="A524" s="8"/>
      <c r="B524" s="8"/>
      <c r="C524" s="8"/>
      <c r="D524" s="8"/>
      <c r="E524" s="10">
        <f>IFERROR(VLOOKUP(C524,'Inventory Master'!$A$3:$L$300,4,FALSE),0)</f>
      </c>
      <c r="F524" s="10">
        <f>D524*E524</f>
      </c>
    </row>
    <row r="525" ht="21" customHeight="1" spans="1:6" x14ac:dyDescent="0.25">
      <c r="A525" s="8"/>
      <c r="B525" s="8"/>
      <c r="C525" s="8"/>
      <c r="D525" s="8"/>
      <c r="E525" s="10">
        <f>IFERROR(VLOOKUP(C525,'Inventory Master'!$A$3:$L$300,4,FALSE),0)</f>
      </c>
      <c r="F525" s="10">
        <f>D525*E525</f>
      </c>
    </row>
    <row r="526" ht="21" customHeight="1" spans="1:6" x14ac:dyDescent="0.25">
      <c r="A526" s="8"/>
      <c r="B526" s="8"/>
      <c r="C526" s="8"/>
      <c r="D526" s="8"/>
      <c r="E526" s="10">
        <f>IFERROR(VLOOKUP(C526,'Inventory Master'!$A$3:$L$300,4,FALSE),0)</f>
      </c>
      <c r="F526" s="10">
        <f>D526*E526</f>
      </c>
    </row>
    <row r="527" ht="21" customHeight="1" spans="1:6" x14ac:dyDescent="0.25">
      <c r="A527" s="8"/>
      <c r="B527" s="8"/>
      <c r="C527" s="8"/>
      <c r="D527" s="8"/>
      <c r="E527" s="10">
        <f>IFERROR(VLOOKUP(C527,'Inventory Master'!$A$3:$L$300,4,FALSE),0)</f>
      </c>
      <c r="F527" s="10">
        <f>D527*E527</f>
      </c>
    </row>
    <row r="528" ht="21" customHeight="1" spans="1:6" x14ac:dyDescent="0.25">
      <c r="A528" s="8"/>
      <c r="B528" s="8"/>
      <c r="C528" s="8"/>
      <c r="D528" s="8"/>
      <c r="E528" s="10">
        <f>IFERROR(VLOOKUP(C528,'Inventory Master'!$A$3:$L$300,4,FALSE),0)</f>
      </c>
      <c r="F528" s="10">
        <f>D528*E528</f>
      </c>
    </row>
    <row r="529" ht="21" customHeight="1" spans="1:6" x14ac:dyDescent="0.25">
      <c r="A529" s="8"/>
      <c r="B529" s="8"/>
      <c r="C529" s="8"/>
      <c r="D529" s="8"/>
      <c r="E529" s="10">
        <f>IFERROR(VLOOKUP(C529,'Inventory Master'!$A$3:$L$300,4,FALSE),0)</f>
      </c>
      <c r="F529" s="10">
        <f>D529*E529</f>
      </c>
    </row>
    <row r="530" ht="21" customHeight="1" spans="1:6" x14ac:dyDescent="0.25">
      <c r="A530" s="8"/>
      <c r="B530" s="8"/>
      <c r="C530" s="8"/>
      <c r="D530" s="8"/>
      <c r="E530" s="10">
        <f>IFERROR(VLOOKUP(C530,'Inventory Master'!$A$3:$L$300,4,FALSE),0)</f>
      </c>
      <c r="F530" s="10">
        <f>D530*E530</f>
      </c>
    </row>
    <row r="531" ht="21" customHeight="1" spans="1:6" x14ac:dyDescent="0.25">
      <c r="A531" s="8"/>
      <c r="B531" s="8"/>
      <c r="C531" s="8"/>
      <c r="D531" s="8"/>
      <c r="E531" s="10">
        <f>IFERROR(VLOOKUP(C531,'Inventory Master'!$A$3:$L$300,4,FALSE),0)</f>
      </c>
      <c r="F531" s="10">
        <f>D531*E531</f>
      </c>
    </row>
    <row r="532" ht="21" customHeight="1" spans="1:6" x14ac:dyDescent="0.25">
      <c r="A532" s="8"/>
      <c r="B532" s="8"/>
      <c r="C532" s="8"/>
      <c r="D532" s="8"/>
      <c r="E532" s="10">
        <f>IFERROR(VLOOKUP(C532,'Inventory Master'!$A$3:$L$300,4,FALSE),0)</f>
      </c>
      <c r="F532" s="10">
        <f>D532*E532</f>
      </c>
    </row>
    <row r="533" ht="21" customHeight="1" spans="1:6" x14ac:dyDescent="0.25">
      <c r="A533" s="8"/>
      <c r="B533" s="8"/>
      <c r="C533" s="8"/>
      <c r="D533" s="8"/>
      <c r="E533" s="10">
        <f>IFERROR(VLOOKUP(C533,'Inventory Master'!$A$3:$L$300,4,FALSE),0)</f>
      </c>
      <c r="F533" s="10">
        <f>D533*E533</f>
      </c>
    </row>
    <row r="534" ht="21" customHeight="1" spans="1:6" x14ac:dyDescent="0.25">
      <c r="A534" s="8"/>
      <c r="B534" s="8"/>
      <c r="C534" s="8"/>
      <c r="D534" s="8"/>
      <c r="E534" s="10">
        <f>IFERROR(VLOOKUP(C534,'Inventory Master'!$A$3:$L$300,4,FALSE),0)</f>
      </c>
      <c r="F534" s="10">
        <f>D534*E534</f>
      </c>
    </row>
    <row r="535" ht="21" customHeight="1" spans="1:6" x14ac:dyDescent="0.25">
      <c r="A535" s="8"/>
      <c r="B535" s="8"/>
      <c r="C535" s="8"/>
      <c r="D535" s="8"/>
      <c r="E535" s="10">
        <f>IFERROR(VLOOKUP(C535,'Inventory Master'!$A$3:$L$300,4,FALSE),0)</f>
      </c>
      <c r="F535" s="10">
        <f>D535*E535</f>
      </c>
    </row>
    <row r="536" ht="21" customHeight="1" spans="1:6" x14ac:dyDescent="0.25">
      <c r="A536" s="8"/>
      <c r="B536" s="8"/>
      <c r="C536" s="8"/>
      <c r="D536" s="8"/>
      <c r="E536" s="10">
        <f>IFERROR(VLOOKUP(C536,'Inventory Master'!$A$3:$L$300,4,FALSE),0)</f>
      </c>
      <c r="F536" s="10">
        <f>D536*E536</f>
      </c>
    </row>
    <row r="537" ht="21" customHeight="1" spans="1:6" x14ac:dyDescent="0.25">
      <c r="A537" s="8"/>
      <c r="B537" s="8"/>
      <c r="C537" s="8"/>
      <c r="D537" s="8"/>
      <c r="E537" s="10">
        <f>IFERROR(VLOOKUP(C537,'Inventory Master'!$A$3:$L$300,4,FALSE),0)</f>
      </c>
      <c r="F537" s="10">
        <f>D537*E537</f>
      </c>
    </row>
    <row r="538" ht="21" customHeight="1" spans="1:6" x14ac:dyDescent="0.25">
      <c r="A538" s="8"/>
      <c r="B538" s="8"/>
      <c r="C538" s="8"/>
      <c r="D538" s="8"/>
      <c r="E538" s="10">
        <f>IFERROR(VLOOKUP(C538,'Inventory Master'!$A$3:$L$300,4,FALSE),0)</f>
      </c>
      <c r="F538" s="10">
        <f>D538*E538</f>
      </c>
    </row>
    <row r="539" ht="21" customHeight="1" spans="1:6" x14ac:dyDescent="0.25">
      <c r="A539" s="8"/>
      <c r="B539" s="8"/>
      <c r="C539" s="8"/>
      <c r="D539" s="8"/>
      <c r="E539" s="10">
        <f>IFERROR(VLOOKUP(C539,'Inventory Master'!$A$3:$L$300,4,FALSE),0)</f>
      </c>
      <c r="F539" s="10">
        <f>D539*E539</f>
      </c>
    </row>
    <row r="540" ht="21" customHeight="1" spans="1:6" x14ac:dyDescent="0.25">
      <c r="A540" s="8"/>
      <c r="B540" s="8"/>
      <c r="C540" s="8"/>
      <c r="D540" s="8"/>
      <c r="E540" s="10">
        <f>IFERROR(VLOOKUP(C540,'Inventory Master'!$A$3:$L$300,4,FALSE),0)</f>
      </c>
      <c r="F540" s="10">
        <f>D540*E540</f>
      </c>
    </row>
    <row r="541" ht="21" customHeight="1" spans="1:6" x14ac:dyDescent="0.25">
      <c r="A541" s="8"/>
      <c r="B541" s="8"/>
      <c r="C541" s="8"/>
      <c r="D541" s="8"/>
      <c r="E541" s="10">
        <f>IFERROR(VLOOKUP(C541,'Inventory Master'!$A$3:$L$300,4,FALSE),0)</f>
      </c>
      <c r="F541" s="10">
        <f>D541*E541</f>
      </c>
    </row>
    <row r="542" ht="21" customHeight="1" spans="1:6" x14ac:dyDescent="0.25">
      <c r="A542" s="8"/>
      <c r="B542" s="8"/>
      <c r="C542" s="8"/>
      <c r="D542" s="8"/>
      <c r="E542" s="10">
        <f>IFERROR(VLOOKUP(C542,'Inventory Master'!$A$3:$L$300,4,FALSE),0)</f>
      </c>
      <c r="F542" s="10">
        <f>D542*E542</f>
      </c>
    </row>
    <row r="543" ht="21" customHeight="1" spans="1:6" x14ac:dyDescent="0.25">
      <c r="A543" s="8"/>
      <c r="B543" s="8"/>
      <c r="C543" s="8"/>
      <c r="D543" s="8"/>
      <c r="E543" s="10">
        <f>IFERROR(VLOOKUP(C543,'Inventory Master'!$A$3:$L$300,4,FALSE),0)</f>
      </c>
      <c r="F543" s="10">
        <f>D543*E543</f>
      </c>
    </row>
    <row r="544" ht="21" customHeight="1" spans="1:6" x14ac:dyDescent="0.25">
      <c r="A544" s="8"/>
      <c r="B544" s="8"/>
      <c r="C544" s="8"/>
      <c r="D544" s="8"/>
      <c r="E544" s="10">
        <f>IFERROR(VLOOKUP(C544,'Inventory Master'!$A$3:$L$300,4,FALSE),0)</f>
      </c>
      <c r="F544" s="10">
        <f>D544*E544</f>
      </c>
    </row>
    <row r="545" ht="21" customHeight="1" spans="1:6" x14ac:dyDescent="0.25">
      <c r="A545" s="8"/>
      <c r="B545" s="8"/>
      <c r="C545" s="8"/>
      <c r="D545" s="8"/>
      <c r="E545" s="10">
        <f>IFERROR(VLOOKUP(C545,'Inventory Master'!$A$3:$L$300,4,FALSE),0)</f>
      </c>
      <c r="F545" s="10">
        <f>D545*E545</f>
      </c>
    </row>
    <row r="546" ht="21" customHeight="1" spans="1:6" x14ac:dyDescent="0.25">
      <c r="A546" s="8"/>
      <c r="B546" s="8"/>
      <c r="C546" s="8"/>
      <c r="D546" s="8"/>
      <c r="E546" s="10">
        <f>IFERROR(VLOOKUP(C546,'Inventory Master'!$A$3:$L$300,4,FALSE),0)</f>
      </c>
      <c r="F546" s="10">
        <f>D546*E546</f>
      </c>
    </row>
    <row r="547" ht="21" customHeight="1" spans="1:6" x14ac:dyDescent="0.25">
      <c r="A547" s="8"/>
      <c r="B547" s="8"/>
      <c r="C547" s="8"/>
      <c r="D547" s="8"/>
      <c r="E547" s="10">
        <f>IFERROR(VLOOKUP(C547,'Inventory Master'!$A$3:$L$300,4,FALSE),0)</f>
      </c>
      <c r="F547" s="10">
        <f>D547*E547</f>
      </c>
    </row>
    <row r="548" ht="21" customHeight="1" spans="1:6" x14ac:dyDescent="0.25">
      <c r="A548" s="8"/>
      <c r="B548" s="8"/>
      <c r="C548" s="8"/>
      <c r="D548" s="8"/>
      <c r="E548" s="10">
        <f>IFERROR(VLOOKUP(C548,'Inventory Master'!$A$3:$L$300,4,FALSE),0)</f>
      </c>
      <c r="F548" s="10">
        <f>D548*E548</f>
      </c>
    </row>
    <row r="549" ht="21" customHeight="1" spans="1:6" x14ac:dyDescent="0.25">
      <c r="A549" s="8"/>
      <c r="B549" s="8"/>
      <c r="C549" s="8"/>
      <c r="D549" s="8"/>
      <c r="E549" s="10">
        <f>IFERROR(VLOOKUP(C549,'Inventory Master'!$A$3:$L$300,4,FALSE),0)</f>
      </c>
      <c r="F549" s="10">
        <f>D549*E549</f>
      </c>
    </row>
    <row r="550" ht="21" customHeight="1" spans="1:6" x14ac:dyDescent="0.25">
      <c r="A550" s="8"/>
      <c r="B550" s="8"/>
      <c r="C550" s="8"/>
      <c r="D550" s="8"/>
      <c r="E550" s="10">
        <f>IFERROR(VLOOKUP(C550,'Inventory Master'!$A$3:$L$300,4,FALSE),0)</f>
      </c>
      <c r="F550" s="10">
        <f>D550*E550</f>
      </c>
    </row>
    <row r="551" ht="21" customHeight="1" spans="1:6" x14ac:dyDescent="0.25">
      <c r="A551" s="8"/>
      <c r="B551" s="8"/>
      <c r="C551" s="8"/>
      <c r="D551" s="8"/>
      <c r="E551" s="10">
        <f>IFERROR(VLOOKUP(C551,'Inventory Master'!$A$3:$L$300,4,FALSE),0)</f>
      </c>
      <c r="F551" s="10">
        <f>D551*E551</f>
      </c>
    </row>
    <row r="552" ht="21" customHeight="1" spans="1:6" x14ac:dyDescent="0.25">
      <c r="A552" s="8"/>
      <c r="B552" s="8"/>
      <c r="C552" s="8"/>
      <c r="D552" s="8"/>
      <c r="E552" s="10">
        <f>IFERROR(VLOOKUP(C552,'Inventory Master'!$A$3:$L$300,4,FALSE),0)</f>
      </c>
      <c r="F552" s="10">
        <f>D552*E552</f>
      </c>
    </row>
    <row r="553" ht="21" customHeight="1" spans="1:6" x14ac:dyDescent="0.25">
      <c r="A553" s="8"/>
      <c r="B553" s="8"/>
      <c r="C553" s="8"/>
      <c r="D553" s="8"/>
      <c r="E553" s="10">
        <f>IFERROR(VLOOKUP(C553,'Inventory Master'!$A$3:$L$300,4,FALSE),0)</f>
      </c>
      <c r="F553" s="10">
        <f>D553*E553</f>
      </c>
    </row>
    <row r="554" ht="21" customHeight="1" spans="1:6" x14ac:dyDescent="0.25">
      <c r="A554" s="8"/>
      <c r="B554" s="8"/>
      <c r="C554" s="8"/>
      <c r="D554" s="8"/>
      <c r="E554" s="10">
        <f>IFERROR(VLOOKUP(C554,'Inventory Master'!$A$3:$L$300,4,FALSE),0)</f>
      </c>
      <c r="F554" s="10">
        <f>D554*E554</f>
      </c>
    </row>
    <row r="555" ht="21" customHeight="1" spans="1:6" x14ac:dyDescent="0.25">
      <c r="A555" s="8"/>
      <c r="B555" s="8"/>
      <c r="C555" s="8"/>
      <c r="D555" s="8"/>
      <c r="E555" s="10">
        <f>IFERROR(VLOOKUP(C555,'Inventory Master'!$A$3:$L$300,4,FALSE),0)</f>
      </c>
      <c r="F555" s="10">
        <f>D555*E555</f>
      </c>
    </row>
    <row r="556" ht="21" customHeight="1" spans="1:6" x14ac:dyDescent="0.25">
      <c r="A556" s="8"/>
      <c r="B556" s="8"/>
      <c r="C556" s="8"/>
      <c r="D556" s="8"/>
      <c r="E556" s="10">
        <f>IFERROR(VLOOKUP(C556,'Inventory Master'!$A$3:$L$300,4,FALSE),0)</f>
      </c>
      <c r="F556" s="10">
        <f>D556*E556</f>
      </c>
    </row>
    <row r="557" ht="21" customHeight="1" spans="1:6" x14ac:dyDescent="0.25">
      <c r="A557" s="8"/>
      <c r="B557" s="8"/>
      <c r="C557" s="8"/>
      <c r="D557" s="8"/>
      <c r="E557" s="10">
        <f>IFERROR(VLOOKUP(C557,'Inventory Master'!$A$3:$L$300,4,FALSE),0)</f>
      </c>
      <c r="F557" s="10">
        <f>D557*E557</f>
      </c>
    </row>
    <row r="558" ht="21" customHeight="1" spans="1:6" x14ac:dyDescent="0.25">
      <c r="A558" s="8"/>
      <c r="B558" s="8"/>
      <c r="C558" s="8"/>
      <c r="D558" s="8"/>
      <c r="E558" s="10">
        <f>IFERROR(VLOOKUP(C558,'Inventory Master'!$A$3:$L$300,4,FALSE),0)</f>
      </c>
      <c r="F558" s="10">
        <f>D558*E558</f>
      </c>
    </row>
    <row r="559" ht="21" customHeight="1" spans="1:6" x14ac:dyDescent="0.25">
      <c r="A559" s="8"/>
      <c r="B559" s="8"/>
      <c r="C559" s="8"/>
      <c r="D559" s="8"/>
      <c r="E559" s="10">
        <f>IFERROR(VLOOKUP(C559,'Inventory Master'!$A$3:$L$300,4,FALSE),0)</f>
      </c>
      <c r="F559" s="10">
        <f>D559*E559</f>
      </c>
    </row>
    <row r="560" ht="21" customHeight="1" spans="1:6" x14ac:dyDescent="0.25">
      <c r="A560" s="8"/>
      <c r="B560" s="8"/>
      <c r="C560" s="8"/>
      <c r="D560" s="8"/>
      <c r="E560" s="10">
        <f>IFERROR(VLOOKUP(C560,'Inventory Master'!$A$3:$L$300,4,FALSE),0)</f>
      </c>
      <c r="F560" s="10">
        <f>D560*E560</f>
      </c>
    </row>
    <row r="561" ht="21" customHeight="1" spans="1:6" x14ac:dyDescent="0.25">
      <c r="A561" s="8"/>
      <c r="B561" s="8"/>
      <c r="C561" s="8"/>
      <c r="D561" s="8"/>
      <c r="E561" s="10">
        <f>IFERROR(VLOOKUP(C561,'Inventory Master'!$A$3:$L$300,4,FALSE),0)</f>
      </c>
      <c r="F561" s="10">
        <f>D561*E561</f>
      </c>
    </row>
    <row r="562" ht="21" customHeight="1" spans="1:6" x14ac:dyDescent="0.25">
      <c r="A562" s="8"/>
      <c r="B562" s="8"/>
      <c r="C562" s="8"/>
      <c r="D562" s="8"/>
      <c r="E562" s="10">
        <f>IFERROR(VLOOKUP(C562,'Inventory Master'!$A$3:$L$300,4,FALSE),0)</f>
      </c>
      <c r="F562" s="10">
        <f>D562*E562</f>
      </c>
    </row>
    <row r="563" ht="21" customHeight="1" spans="1:6" x14ac:dyDescent="0.25">
      <c r="A563" s="8"/>
      <c r="B563" s="8"/>
      <c r="C563" s="8"/>
      <c r="D563" s="8"/>
      <c r="E563" s="10">
        <f>IFERROR(VLOOKUP(C563,'Inventory Master'!$A$3:$L$300,4,FALSE),0)</f>
      </c>
      <c r="F563" s="10">
        <f>D563*E563</f>
      </c>
    </row>
    <row r="564" ht="21" customHeight="1" spans="1:6" x14ac:dyDescent="0.25">
      <c r="A564" s="8"/>
      <c r="B564" s="8"/>
      <c r="C564" s="8"/>
      <c r="D564" s="8"/>
      <c r="E564" s="10">
        <f>IFERROR(VLOOKUP(C564,'Inventory Master'!$A$3:$L$300,4,FALSE),0)</f>
      </c>
      <c r="F564" s="10">
        <f>D564*E564</f>
      </c>
    </row>
    <row r="565" ht="21" customHeight="1" spans="1:6" x14ac:dyDescent="0.25">
      <c r="A565" s="8"/>
      <c r="B565" s="8"/>
      <c r="C565" s="8"/>
      <c r="D565" s="8"/>
      <c r="E565" s="10">
        <f>IFERROR(VLOOKUP(C565,'Inventory Master'!$A$3:$L$300,4,FALSE),0)</f>
      </c>
      <c r="F565" s="10">
        <f>D565*E565</f>
      </c>
    </row>
    <row r="566" ht="21" customHeight="1" spans="1:6" x14ac:dyDescent="0.25">
      <c r="A566" s="8"/>
      <c r="B566" s="8"/>
      <c r="C566" s="8"/>
      <c r="D566" s="8"/>
      <c r="E566" s="10">
        <f>IFERROR(VLOOKUP(C566,'Inventory Master'!$A$3:$L$300,4,FALSE),0)</f>
      </c>
      <c r="F566" s="10">
        <f>D566*E566</f>
      </c>
    </row>
    <row r="567" ht="21" customHeight="1" spans="1:6" x14ac:dyDescent="0.25">
      <c r="A567" s="8"/>
      <c r="B567" s="8"/>
      <c r="C567" s="8"/>
      <c r="D567" s="8"/>
      <c r="E567" s="10">
        <f>IFERROR(VLOOKUP(C567,'Inventory Master'!$A$3:$L$300,4,FALSE),0)</f>
      </c>
      <c r="F567" s="10">
        <f>D567*E567</f>
      </c>
    </row>
    <row r="568" ht="21" customHeight="1" spans="1:6" x14ac:dyDescent="0.25">
      <c r="A568" s="8"/>
      <c r="B568" s="8"/>
      <c r="C568" s="8"/>
      <c r="D568" s="8"/>
      <c r="E568" s="10">
        <f>IFERROR(VLOOKUP(C568,'Inventory Master'!$A$3:$L$300,4,FALSE),0)</f>
      </c>
      <c r="F568" s="10">
        <f>D568*E568</f>
      </c>
    </row>
    <row r="569" ht="21" customHeight="1" spans="1:6" x14ac:dyDescent="0.25">
      <c r="A569" s="8"/>
      <c r="B569" s="8"/>
      <c r="C569" s="8"/>
      <c r="D569" s="8"/>
      <c r="E569" s="10">
        <f>IFERROR(VLOOKUP(C569,'Inventory Master'!$A$3:$L$300,4,FALSE),0)</f>
      </c>
      <c r="F569" s="10">
        <f>D569*E569</f>
      </c>
    </row>
    <row r="570" ht="21" customHeight="1" spans="1:6" x14ac:dyDescent="0.25">
      <c r="A570" s="8"/>
      <c r="B570" s="8"/>
      <c r="C570" s="8"/>
      <c r="D570" s="8"/>
      <c r="E570" s="10">
        <f>IFERROR(VLOOKUP(C570,'Inventory Master'!$A$3:$L$300,4,FALSE),0)</f>
      </c>
      <c r="F570" s="10">
        <f>D570*E570</f>
      </c>
    </row>
    <row r="571" ht="21" customHeight="1" spans="1:6" x14ac:dyDescent="0.25">
      <c r="A571" s="8"/>
      <c r="B571" s="8"/>
      <c r="C571" s="8"/>
      <c r="D571" s="8"/>
      <c r="E571" s="10">
        <f>IFERROR(VLOOKUP(C571,'Inventory Master'!$A$3:$L$300,4,FALSE),0)</f>
      </c>
      <c r="F571" s="10">
        <f>D571*E571</f>
      </c>
    </row>
    <row r="572" ht="21" customHeight="1" spans="1:6" x14ac:dyDescent="0.25">
      <c r="A572" s="8"/>
      <c r="B572" s="8"/>
      <c r="C572" s="8"/>
      <c r="D572" s="8"/>
      <c r="E572" s="10">
        <f>IFERROR(VLOOKUP(C572,'Inventory Master'!$A$3:$L$300,4,FALSE),0)</f>
      </c>
      <c r="F572" s="10">
        <f>D572*E572</f>
      </c>
    </row>
    <row r="573" ht="21" customHeight="1" spans="1:6" x14ac:dyDescent="0.25">
      <c r="A573" s="8"/>
      <c r="B573" s="8"/>
      <c r="C573" s="8"/>
      <c r="D573" s="8"/>
      <c r="E573" s="10">
        <f>IFERROR(VLOOKUP(C573,'Inventory Master'!$A$3:$L$300,4,FALSE),0)</f>
      </c>
      <c r="F573" s="10">
        <f>D573*E573</f>
      </c>
    </row>
    <row r="574" ht="21" customHeight="1" spans="1:6" x14ac:dyDescent="0.25">
      <c r="A574" s="8"/>
      <c r="B574" s="8"/>
      <c r="C574" s="8"/>
      <c r="D574" s="8"/>
      <c r="E574" s="10">
        <f>IFERROR(VLOOKUP(C574,'Inventory Master'!$A$3:$L$300,4,FALSE),0)</f>
      </c>
      <c r="F574" s="10">
        <f>D574*E574</f>
      </c>
    </row>
    <row r="575" ht="21" customHeight="1" spans="1:6" x14ac:dyDescent="0.25">
      <c r="A575" s="8"/>
      <c r="B575" s="8"/>
      <c r="C575" s="8"/>
      <c r="D575" s="8"/>
      <c r="E575" s="10">
        <f>IFERROR(VLOOKUP(C575,'Inventory Master'!$A$3:$L$300,4,FALSE),0)</f>
      </c>
      <c r="F575" s="10">
        <f>D575*E575</f>
      </c>
    </row>
    <row r="576" ht="21" customHeight="1" spans="1:6" x14ac:dyDescent="0.25">
      <c r="A576" s="8"/>
      <c r="B576" s="8"/>
      <c r="C576" s="8"/>
      <c r="D576" s="8"/>
      <c r="E576" s="10">
        <f>IFERROR(VLOOKUP(C576,'Inventory Master'!$A$3:$L$300,4,FALSE),0)</f>
      </c>
      <c r="F576" s="10">
        <f>D576*E576</f>
      </c>
    </row>
    <row r="577" ht="21" customHeight="1" spans="1:6" x14ac:dyDescent="0.25">
      <c r="A577" s="8"/>
      <c r="B577" s="8"/>
      <c r="C577" s="8"/>
      <c r="D577" s="8"/>
      <c r="E577" s="10">
        <f>IFERROR(VLOOKUP(C577,'Inventory Master'!$A$3:$L$300,4,FALSE),0)</f>
      </c>
      <c r="F577" s="10">
        <f>D577*E577</f>
      </c>
    </row>
    <row r="578" ht="21" customHeight="1" spans="1:6" x14ac:dyDescent="0.25">
      <c r="A578" s="8"/>
      <c r="B578" s="8"/>
      <c r="C578" s="8"/>
      <c r="D578" s="8"/>
      <c r="E578" s="10">
        <f>IFERROR(VLOOKUP(C578,'Inventory Master'!$A$3:$L$300,4,FALSE),0)</f>
      </c>
      <c r="F578" s="10">
        <f>D578*E578</f>
      </c>
    </row>
    <row r="579" ht="21" customHeight="1" spans="1:6" x14ac:dyDescent="0.25">
      <c r="A579" s="8"/>
      <c r="B579" s="8"/>
      <c r="C579" s="8"/>
      <c r="D579" s="8"/>
      <c r="E579" s="10">
        <f>IFERROR(VLOOKUP(C579,'Inventory Master'!$A$3:$L$300,4,FALSE),0)</f>
      </c>
      <c r="F579" s="10">
        <f>D579*E579</f>
      </c>
    </row>
    <row r="580" ht="21" customHeight="1" spans="1:6" x14ac:dyDescent="0.25">
      <c r="A580" s="8"/>
      <c r="B580" s="8"/>
      <c r="C580" s="8"/>
      <c r="D580" s="8"/>
      <c r="E580" s="10">
        <f>IFERROR(VLOOKUP(C580,'Inventory Master'!$A$3:$L$300,4,FALSE),0)</f>
      </c>
      <c r="F580" s="10">
        <f>D580*E580</f>
      </c>
    </row>
    <row r="581" ht="21" customHeight="1" spans="1:6" x14ac:dyDescent="0.25">
      <c r="A581" s="8"/>
      <c r="B581" s="8"/>
      <c r="C581" s="8"/>
      <c r="D581" s="8"/>
      <c r="E581" s="10">
        <f>IFERROR(VLOOKUP(C581,'Inventory Master'!$A$3:$L$300,4,FALSE),0)</f>
      </c>
      <c r="F581" s="10">
        <f>D581*E581</f>
      </c>
    </row>
    <row r="582" ht="21" customHeight="1" spans="1:6" x14ac:dyDescent="0.25">
      <c r="A582" s="8"/>
      <c r="B582" s="8"/>
      <c r="C582" s="8"/>
      <c r="D582" s="8"/>
      <c r="E582" s="10">
        <f>IFERROR(VLOOKUP(C582,'Inventory Master'!$A$3:$L$300,4,FALSE),0)</f>
      </c>
      <c r="F582" s="10">
        <f>D582*E582</f>
      </c>
    </row>
    <row r="583" ht="21" customHeight="1" spans="1:6" x14ac:dyDescent="0.25">
      <c r="A583" s="8"/>
      <c r="B583" s="8"/>
      <c r="C583" s="8"/>
      <c r="D583" s="8"/>
      <c r="E583" s="10">
        <f>IFERROR(VLOOKUP(C583,'Inventory Master'!$A$3:$L$300,4,FALSE),0)</f>
      </c>
      <c r="F583" s="10">
        <f>D583*E583</f>
      </c>
    </row>
    <row r="584" ht="21" customHeight="1" spans="1:6" x14ac:dyDescent="0.25">
      <c r="A584" s="8"/>
      <c r="B584" s="8"/>
      <c r="C584" s="8"/>
      <c r="D584" s="8"/>
      <c r="E584" s="10">
        <f>IFERROR(VLOOKUP(C584,'Inventory Master'!$A$3:$L$300,4,FALSE),0)</f>
      </c>
      <c r="F584" s="10">
        <f>D584*E584</f>
      </c>
    </row>
    <row r="585" ht="21" customHeight="1" spans="1:6" x14ac:dyDescent="0.25">
      <c r="A585" s="8"/>
      <c r="B585" s="8"/>
      <c r="C585" s="8"/>
      <c r="D585" s="8"/>
      <c r="E585" s="10">
        <f>IFERROR(VLOOKUP(C585,'Inventory Master'!$A$3:$L$300,4,FALSE),0)</f>
      </c>
      <c r="F585" s="10">
        <f>D585*E585</f>
      </c>
    </row>
    <row r="586" ht="21" customHeight="1" spans="1:6" x14ac:dyDescent="0.25">
      <c r="A586" s="8"/>
      <c r="B586" s="8"/>
      <c r="C586" s="8"/>
      <c r="D586" s="8"/>
      <c r="E586" s="10">
        <f>IFERROR(VLOOKUP(C586,'Inventory Master'!$A$3:$L$300,4,FALSE),0)</f>
      </c>
      <c r="F586" s="10">
        <f>D586*E586</f>
      </c>
    </row>
    <row r="587" ht="21" customHeight="1" spans="1:6" x14ac:dyDescent="0.25">
      <c r="A587" s="8"/>
      <c r="B587" s="8"/>
      <c r="C587" s="8"/>
      <c r="D587" s="8"/>
      <c r="E587" s="10">
        <f>IFERROR(VLOOKUP(C587,'Inventory Master'!$A$3:$L$300,4,FALSE),0)</f>
      </c>
      <c r="F587" s="10">
        <f>D587*E587</f>
      </c>
    </row>
    <row r="588" ht="21" customHeight="1" spans="1:6" x14ac:dyDescent="0.25">
      <c r="A588" s="8"/>
      <c r="B588" s="8"/>
      <c r="C588" s="8"/>
      <c r="D588" s="8"/>
      <c r="E588" s="10">
        <f>IFERROR(VLOOKUP(C588,'Inventory Master'!$A$3:$L$300,4,FALSE),0)</f>
      </c>
      <c r="F588" s="10">
        <f>D588*E588</f>
      </c>
    </row>
    <row r="589" ht="21" customHeight="1" spans="1:6" x14ac:dyDescent="0.25">
      <c r="A589" s="8"/>
      <c r="B589" s="8"/>
      <c r="C589" s="8"/>
      <c r="D589" s="8"/>
      <c r="E589" s="10">
        <f>IFERROR(VLOOKUP(C589,'Inventory Master'!$A$3:$L$300,4,FALSE),0)</f>
      </c>
      <c r="F589" s="10">
        <f>D589*E589</f>
      </c>
    </row>
    <row r="590" ht="21" customHeight="1" spans="1:6" x14ac:dyDescent="0.25">
      <c r="A590" s="8"/>
      <c r="B590" s="8"/>
      <c r="C590" s="8"/>
      <c r="D590" s="8"/>
      <c r="E590" s="10">
        <f>IFERROR(VLOOKUP(C590,'Inventory Master'!$A$3:$L$300,4,FALSE),0)</f>
      </c>
      <c r="F590" s="10">
        <f>D590*E590</f>
      </c>
    </row>
    <row r="591" ht="21" customHeight="1" spans="1:6" x14ac:dyDescent="0.25">
      <c r="A591" s="8"/>
      <c r="B591" s="8"/>
      <c r="C591" s="8"/>
      <c r="D591" s="8"/>
      <c r="E591" s="10">
        <f>IFERROR(VLOOKUP(C591,'Inventory Master'!$A$3:$L$300,4,FALSE),0)</f>
      </c>
      <c r="F591" s="10">
        <f>D591*E591</f>
      </c>
    </row>
    <row r="592" ht="21" customHeight="1" spans="1:6" x14ac:dyDescent="0.25">
      <c r="A592" s="8"/>
      <c r="B592" s="8"/>
      <c r="C592" s="8"/>
      <c r="D592" s="8"/>
      <c r="E592" s="10">
        <f>IFERROR(VLOOKUP(C592,'Inventory Master'!$A$3:$L$300,4,FALSE),0)</f>
      </c>
      <c r="F592" s="10">
        <f>D592*E592</f>
      </c>
    </row>
    <row r="593" ht="21" customHeight="1" spans="1:6" x14ac:dyDescent="0.25">
      <c r="A593" s="8"/>
      <c r="B593" s="8"/>
      <c r="C593" s="8"/>
      <c r="D593" s="8"/>
      <c r="E593" s="10">
        <f>IFERROR(VLOOKUP(C593,'Inventory Master'!$A$3:$L$300,4,FALSE),0)</f>
      </c>
      <c r="F593" s="10">
        <f>D593*E593</f>
      </c>
    </row>
    <row r="594" ht="21" customHeight="1" spans="1:6" x14ac:dyDescent="0.25">
      <c r="A594" s="8"/>
      <c r="B594" s="8"/>
      <c r="C594" s="8"/>
      <c r="D594" s="8"/>
      <c r="E594" s="10">
        <f>IFERROR(VLOOKUP(C594,'Inventory Master'!$A$3:$L$300,4,FALSE),0)</f>
      </c>
      <c r="F594" s="10">
        <f>D594*E594</f>
      </c>
    </row>
    <row r="595" ht="21" customHeight="1" spans="1:6" x14ac:dyDescent="0.25">
      <c r="A595" s="8"/>
      <c r="B595" s="8"/>
      <c r="C595" s="8"/>
      <c r="D595" s="8"/>
      <c r="E595" s="10">
        <f>IFERROR(VLOOKUP(C595,'Inventory Master'!$A$3:$L$300,4,FALSE),0)</f>
      </c>
      <c r="F595" s="10">
        <f>D595*E595</f>
      </c>
    </row>
    <row r="596" ht="21" customHeight="1" spans="1:6" x14ac:dyDescent="0.25">
      <c r="A596" s="8"/>
      <c r="B596" s="8"/>
      <c r="C596" s="8"/>
      <c r="D596" s="8"/>
      <c r="E596" s="10">
        <f>IFERROR(VLOOKUP(C596,'Inventory Master'!$A$3:$L$300,4,FALSE),0)</f>
      </c>
      <c r="F596" s="10">
        <f>D596*E596</f>
      </c>
    </row>
    <row r="597" ht="21" customHeight="1" spans="1:6" x14ac:dyDescent="0.25">
      <c r="A597" s="8"/>
      <c r="B597" s="8"/>
      <c r="C597" s="8"/>
      <c r="D597" s="8"/>
      <c r="E597" s="10">
        <f>IFERROR(VLOOKUP(C597,'Inventory Master'!$A$3:$L$300,4,FALSE),0)</f>
      </c>
      <c r="F597" s="10">
        <f>D597*E597</f>
      </c>
    </row>
    <row r="598" ht="21" customHeight="1" spans="1:6" x14ac:dyDescent="0.25">
      <c r="A598" s="8"/>
      <c r="B598" s="8"/>
      <c r="C598" s="8"/>
      <c r="D598" s="8"/>
      <c r="E598" s="10">
        <f>IFERROR(VLOOKUP(C598,'Inventory Master'!$A$3:$L$300,4,FALSE),0)</f>
      </c>
      <c r="F598" s="10">
        <f>D598*E598</f>
      </c>
    </row>
    <row r="599" ht="21" customHeight="1" spans="1:6" x14ac:dyDescent="0.25">
      <c r="A599" s="8"/>
      <c r="B599" s="8"/>
      <c r="C599" s="8"/>
      <c r="D599" s="8"/>
      <c r="E599" s="10">
        <f>IFERROR(VLOOKUP(C599,'Inventory Master'!$A$3:$L$300,4,FALSE),0)</f>
      </c>
      <c r="F599" s="10">
        <f>D599*E599</f>
      </c>
    </row>
    <row r="600" ht="21" customHeight="1" spans="1:6" x14ac:dyDescent="0.25">
      <c r="A600" s="8"/>
      <c r="B600" s="8"/>
      <c r="C600" s="8"/>
      <c r="D600" s="8"/>
      <c r="E600" s="10">
        <f>IFERROR(VLOOKUP(C600,'Inventory Master'!$A$3:$L$300,4,FALSE),0)</f>
      </c>
      <c r="F600" s="10">
        <f>D600*E600</f>
      </c>
    </row>
    <row r="601" ht="21" customHeight="1" spans="1:6" x14ac:dyDescent="0.25">
      <c r="A601" s="8"/>
      <c r="B601" s="8"/>
      <c r="C601" s="8"/>
      <c r="D601" s="8"/>
      <c r="E601" s="10">
        <f>IFERROR(VLOOKUP(C601,'Inventory Master'!$A$3:$L$300,4,FALSE),0)</f>
      </c>
      <c r="F601" s="10">
        <f>D601*E601</f>
      </c>
    </row>
    <row r="602" ht="21" customHeight="1" spans="1:6" x14ac:dyDescent="0.25">
      <c r="A602" s="8"/>
      <c r="B602" s="8"/>
      <c r="C602" s="8"/>
      <c r="D602" s="8"/>
      <c r="E602" s="10">
        <f>IFERROR(VLOOKUP(C602,'Inventory Master'!$A$3:$L$300,4,FALSE),0)</f>
      </c>
      <c r="F602" s="10">
        <f>D602*E602</f>
      </c>
    </row>
    <row r="603" ht="21" customHeight="1" spans="1:6" x14ac:dyDescent="0.25">
      <c r="A603" s="8"/>
      <c r="B603" s="8"/>
      <c r="C603" s="8"/>
      <c r="D603" s="8"/>
      <c r="E603" s="10">
        <f>IFERROR(VLOOKUP(C603,'Inventory Master'!$A$3:$L$300,4,FALSE),0)</f>
      </c>
      <c r="F603" s="10">
        <f>D603*E603</f>
      </c>
    </row>
    <row r="604" ht="21" customHeight="1" spans="1:6" x14ac:dyDescent="0.25">
      <c r="A604" s="8"/>
      <c r="B604" s="8"/>
      <c r="C604" s="8"/>
      <c r="D604" s="8"/>
      <c r="E604" s="10">
        <f>IFERROR(VLOOKUP(C604,'Inventory Master'!$A$3:$L$300,4,FALSE),0)</f>
      </c>
      <c r="F604" s="10">
        <f>D604*E604</f>
      </c>
    </row>
    <row r="605" ht="21" customHeight="1" spans="1:6" x14ac:dyDescent="0.25">
      <c r="A605" s="8"/>
      <c r="B605" s="8"/>
      <c r="C605" s="8"/>
      <c r="D605" s="8"/>
      <c r="E605" s="10">
        <f>IFERROR(VLOOKUP(C605,'Inventory Master'!$A$3:$L$300,4,FALSE),0)</f>
      </c>
      <c r="F605" s="10">
        <f>D605*E605</f>
      </c>
    </row>
    <row r="606" ht="21" customHeight="1" spans="1:6" x14ac:dyDescent="0.25">
      <c r="A606" s="8"/>
      <c r="B606" s="8"/>
      <c r="C606" s="8"/>
      <c r="D606" s="8"/>
      <c r="E606" s="10">
        <f>IFERROR(VLOOKUP(C606,'Inventory Master'!$A$3:$L$300,4,FALSE),0)</f>
      </c>
      <c r="F606" s="10">
        <f>D606*E606</f>
      </c>
    </row>
    <row r="607" ht="21" customHeight="1" spans="1:6" x14ac:dyDescent="0.25">
      <c r="A607" s="8"/>
      <c r="B607" s="8"/>
      <c r="C607" s="8"/>
      <c r="D607" s="8"/>
      <c r="E607" s="10">
        <f>IFERROR(VLOOKUP(C607,'Inventory Master'!$A$3:$L$300,4,FALSE),0)</f>
      </c>
      <c r="F607" s="10">
        <f>D607*E607</f>
      </c>
    </row>
    <row r="608" ht="21" customHeight="1" spans="1:6" x14ac:dyDescent="0.25">
      <c r="A608" s="8"/>
      <c r="B608" s="8"/>
      <c r="C608" s="8"/>
      <c r="D608" s="8"/>
      <c r="E608" s="10">
        <f>IFERROR(VLOOKUP(C608,'Inventory Master'!$A$3:$L$300,4,FALSE),0)</f>
      </c>
      <c r="F608" s="10">
        <f>D608*E608</f>
      </c>
    </row>
    <row r="609" ht="21" customHeight="1" spans="1:6" x14ac:dyDescent="0.25">
      <c r="A609" s="8"/>
      <c r="B609" s="8"/>
      <c r="C609" s="8"/>
      <c r="D609" s="8"/>
      <c r="E609" s="10">
        <f>IFERROR(VLOOKUP(C609,'Inventory Master'!$A$3:$L$300,4,FALSE),0)</f>
      </c>
      <c r="F609" s="10">
        <f>D609*E609</f>
      </c>
    </row>
    <row r="610" ht="21" customHeight="1" spans="1:6" x14ac:dyDescent="0.25">
      <c r="A610" s="8"/>
      <c r="B610" s="8"/>
      <c r="C610" s="8"/>
      <c r="D610" s="8"/>
      <c r="E610" s="10">
        <f>IFERROR(VLOOKUP(C610,'Inventory Master'!$A$3:$L$300,4,FALSE),0)</f>
      </c>
      <c r="F610" s="10">
        <f>D610*E610</f>
      </c>
    </row>
    <row r="611" ht="21" customHeight="1" spans="1:6" x14ac:dyDescent="0.25">
      <c r="A611" s="8"/>
      <c r="B611" s="8"/>
      <c r="C611" s="8"/>
      <c r="D611" s="8"/>
      <c r="E611" s="10">
        <f>IFERROR(VLOOKUP(C611,'Inventory Master'!$A$3:$L$300,4,FALSE),0)</f>
      </c>
      <c r="F611" s="10">
        <f>D611*E611</f>
      </c>
    </row>
    <row r="612" ht="21" customHeight="1" spans="1:6" x14ac:dyDescent="0.25">
      <c r="A612" s="8"/>
      <c r="B612" s="8"/>
      <c r="C612" s="8"/>
      <c r="D612" s="8"/>
      <c r="E612" s="10">
        <f>IFERROR(VLOOKUP(C612,'Inventory Master'!$A$3:$L$300,4,FALSE),0)</f>
      </c>
      <c r="F612" s="10">
        <f>D612*E612</f>
      </c>
    </row>
    <row r="613" ht="21" customHeight="1" spans="1:6" x14ac:dyDescent="0.25">
      <c r="A613" s="8"/>
      <c r="B613" s="8"/>
      <c r="C613" s="8"/>
      <c r="D613" s="8"/>
      <c r="E613" s="10">
        <f>IFERROR(VLOOKUP(C613,'Inventory Master'!$A$3:$L$300,4,FALSE),0)</f>
      </c>
      <c r="F613" s="10">
        <f>D613*E613</f>
      </c>
    </row>
    <row r="614" ht="21" customHeight="1" spans="1:6" x14ac:dyDescent="0.25">
      <c r="A614" s="8"/>
      <c r="B614" s="8"/>
      <c r="C614" s="8"/>
      <c r="D614" s="8"/>
      <c r="E614" s="10">
        <f>IFERROR(VLOOKUP(C614,'Inventory Master'!$A$3:$L$300,4,FALSE),0)</f>
      </c>
      <c r="F614" s="10">
        <f>D614*E614</f>
      </c>
    </row>
    <row r="615" ht="21" customHeight="1" spans="1:6" x14ac:dyDescent="0.25">
      <c r="A615" s="8"/>
      <c r="B615" s="8"/>
      <c r="C615" s="8"/>
      <c r="D615" s="8"/>
      <c r="E615" s="10">
        <f>IFERROR(VLOOKUP(C615,'Inventory Master'!$A$3:$L$300,4,FALSE),0)</f>
      </c>
      <c r="F615" s="10">
        <f>D615*E615</f>
      </c>
    </row>
    <row r="616" ht="21" customHeight="1" spans="1:6" x14ac:dyDescent="0.25">
      <c r="A616" s="8"/>
      <c r="B616" s="8"/>
      <c r="C616" s="8"/>
      <c r="D616" s="8"/>
      <c r="E616" s="10">
        <f>IFERROR(VLOOKUP(C616,'Inventory Master'!$A$3:$L$300,4,FALSE),0)</f>
      </c>
      <c r="F616" s="10">
        <f>D616*E616</f>
      </c>
    </row>
    <row r="617" ht="21" customHeight="1" spans="1:6" x14ac:dyDescent="0.25">
      <c r="A617" s="8"/>
      <c r="B617" s="8"/>
      <c r="C617" s="8"/>
      <c r="D617" s="8"/>
      <c r="E617" s="10">
        <f>IFERROR(VLOOKUP(C617,'Inventory Master'!$A$3:$L$300,4,FALSE),0)</f>
      </c>
      <c r="F617" s="10">
        <f>D617*E617</f>
      </c>
    </row>
    <row r="618" ht="21" customHeight="1" spans="1:6" x14ac:dyDescent="0.25">
      <c r="A618" s="8"/>
      <c r="B618" s="8"/>
      <c r="C618" s="8"/>
      <c r="D618" s="8"/>
      <c r="E618" s="10">
        <f>IFERROR(VLOOKUP(C618,'Inventory Master'!$A$3:$L$300,4,FALSE),0)</f>
      </c>
      <c r="F618" s="10">
        <f>D618*E618</f>
      </c>
    </row>
    <row r="619" ht="21" customHeight="1" spans="1:6" x14ac:dyDescent="0.25">
      <c r="A619" s="8"/>
      <c r="B619" s="8"/>
      <c r="C619" s="8"/>
      <c r="D619" s="8"/>
      <c r="E619" s="10">
        <f>IFERROR(VLOOKUP(C619,'Inventory Master'!$A$3:$L$300,4,FALSE),0)</f>
      </c>
      <c r="F619" s="10">
        <f>D619*E619</f>
      </c>
    </row>
    <row r="620" ht="21" customHeight="1" spans="1:6" x14ac:dyDescent="0.25">
      <c r="A620" s="8"/>
      <c r="B620" s="8"/>
      <c r="C620" s="8"/>
      <c r="D620" s="8"/>
      <c r="E620" s="10">
        <f>IFERROR(VLOOKUP(C620,'Inventory Master'!$A$3:$L$300,4,FALSE),0)</f>
      </c>
      <c r="F620" s="10">
        <f>D620*E620</f>
      </c>
    </row>
    <row r="621" ht="21" customHeight="1" spans="1:6" x14ac:dyDescent="0.25">
      <c r="A621" s="8"/>
      <c r="B621" s="8"/>
      <c r="C621" s="8"/>
      <c r="D621" s="8"/>
      <c r="E621" s="10">
        <f>IFERROR(VLOOKUP(C621,'Inventory Master'!$A$3:$L$300,4,FALSE),0)</f>
      </c>
      <c r="F621" s="10">
        <f>D621*E621</f>
      </c>
    </row>
    <row r="622" ht="21" customHeight="1" spans="1:6" x14ac:dyDescent="0.25">
      <c r="A622" s="8"/>
      <c r="B622" s="8"/>
      <c r="C622" s="8"/>
      <c r="D622" s="8"/>
      <c r="E622" s="10">
        <f>IFERROR(VLOOKUP(C622,'Inventory Master'!$A$3:$L$300,4,FALSE),0)</f>
      </c>
      <c r="F622" s="10">
        <f>D622*E622</f>
      </c>
    </row>
    <row r="623" ht="21" customHeight="1" spans="1:6" x14ac:dyDescent="0.25">
      <c r="A623" s="8"/>
      <c r="B623" s="8"/>
      <c r="C623" s="8"/>
      <c r="D623" s="8"/>
      <c r="E623" s="10">
        <f>IFERROR(VLOOKUP(C623,'Inventory Master'!$A$3:$L$300,4,FALSE),0)</f>
      </c>
      <c r="F623" s="10">
        <f>D623*E623</f>
      </c>
    </row>
    <row r="624" ht="21" customHeight="1" spans="1:6" x14ac:dyDescent="0.25">
      <c r="A624" s="8"/>
      <c r="B624" s="8"/>
      <c r="C624" s="8"/>
      <c r="D624" s="8"/>
      <c r="E624" s="10">
        <f>IFERROR(VLOOKUP(C624,'Inventory Master'!$A$3:$L$300,4,FALSE),0)</f>
      </c>
      <c r="F624" s="10">
        <f>D624*E624</f>
      </c>
    </row>
    <row r="625" ht="21" customHeight="1" spans="1:6" x14ac:dyDescent="0.25">
      <c r="A625" s="8"/>
      <c r="B625" s="8"/>
      <c r="C625" s="8"/>
      <c r="D625" s="8"/>
      <c r="E625" s="10">
        <f>IFERROR(VLOOKUP(C625,'Inventory Master'!$A$3:$L$300,4,FALSE),0)</f>
      </c>
      <c r="F625" s="10">
        <f>D625*E625</f>
      </c>
    </row>
    <row r="626" ht="21" customHeight="1" spans="1:6" x14ac:dyDescent="0.25">
      <c r="A626" s="8"/>
      <c r="B626" s="8"/>
      <c r="C626" s="8"/>
      <c r="D626" s="8"/>
      <c r="E626" s="10">
        <f>IFERROR(VLOOKUP(C626,'Inventory Master'!$A$3:$L$300,4,FALSE),0)</f>
      </c>
      <c r="F626" s="10">
        <f>D626*E626</f>
      </c>
    </row>
    <row r="627" ht="21" customHeight="1" spans="1:6" x14ac:dyDescent="0.25">
      <c r="A627" s="8"/>
      <c r="B627" s="8"/>
      <c r="C627" s="8"/>
      <c r="D627" s="8"/>
      <c r="E627" s="10">
        <f>IFERROR(VLOOKUP(C627,'Inventory Master'!$A$3:$L$300,4,FALSE),0)</f>
      </c>
      <c r="F627" s="10">
        <f>D627*E627</f>
      </c>
    </row>
    <row r="628" ht="21" customHeight="1" spans="1:6" x14ac:dyDescent="0.25">
      <c r="A628" s="8"/>
      <c r="B628" s="8"/>
      <c r="C628" s="8"/>
      <c r="D628" s="8"/>
      <c r="E628" s="10">
        <f>IFERROR(VLOOKUP(C628,'Inventory Master'!$A$3:$L$300,4,FALSE),0)</f>
      </c>
      <c r="F628" s="10">
        <f>D628*E628</f>
      </c>
    </row>
    <row r="629" ht="21" customHeight="1" spans="1:6" x14ac:dyDescent="0.25">
      <c r="A629" s="8"/>
      <c r="B629" s="8"/>
      <c r="C629" s="8"/>
      <c r="D629" s="8"/>
      <c r="E629" s="10">
        <f>IFERROR(VLOOKUP(C629,'Inventory Master'!$A$3:$L$300,4,FALSE),0)</f>
      </c>
      <c r="F629" s="10">
        <f>D629*E629</f>
      </c>
    </row>
    <row r="630" ht="21" customHeight="1" spans="1:6" x14ac:dyDescent="0.25">
      <c r="A630" s="8"/>
      <c r="B630" s="8"/>
      <c r="C630" s="8"/>
      <c r="D630" s="8"/>
      <c r="E630" s="10">
        <f>IFERROR(VLOOKUP(C630,'Inventory Master'!$A$3:$L$300,4,FALSE),0)</f>
      </c>
      <c r="F630" s="10">
        <f>D630*E630</f>
      </c>
    </row>
    <row r="631" ht="21" customHeight="1" spans="1:6" x14ac:dyDescent="0.25">
      <c r="A631" s="8"/>
      <c r="B631" s="8"/>
      <c r="C631" s="8"/>
      <c r="D631" s="8"/>
      <c r="E631" s="10">
        <f>IFERROR(VLOOKUP(C631,'Inventory Master'!$A$3:$L$300,4,FALSE),0)</f>
      </c>
      <c r="F631" s="10">
        <f>D631*E631</f>
      </c>
    </row>
    <row r="632" ht="21" customHeight="1" spans="1:6" x14ac:dyDescent="0.25">
      <c r="A632" s="8"/>
      <c r="B632" s="8"/>
      <c r="C632" s="8"/>
      <c r="D632" s="8"/>
      <c r="E632" s="10">
        <f>IFERROR(VLOOKUP(C632,'Inventory Master'!$A$3:$L$300,4,FALSE),0)</f>
      </c>
      <c r="F632" s="10">
        <f>D632*E632</f>
      </c>
    </row>
    <row r="633" ht="21" customHeight="1" spans="1:6" x14ac:dyDescent="0.25">
      <c r="A633" s="8"/>
      <c r="B633" s="8"/>
      <c r="C633" s="8"/>
      <c r="D633" s="8"/>
      <c r="E633" s="10">
        <f>IFERROR(VLOOKUP(C633,'Inventory Master'!$A$3:$L$300,4,FALSE),0)</f>
      </c>
      <c r="F633" s="10">
        <f>D633*E633</f>
      </c>
    </row>
    <row r="634" ht="21" customHeight="1" spans="1:6" x14ac:dyDescent="0.25">
      <c r="A634" s="8"/>
      <c r="B634" s="8"/>
      <c r="C634" s="8"/>
      <c r="D634" s="8"/>
      <c r="E634" s="10">
        <f>IFERROR(VLOOKUP(C634,'Inventory Master'!$A$3:$L$300,4,FALSE),0)</f>
      </c>
      <c r="F634" s="10">
        <f>D634*E634</f>
      </c>
    </row>
    <row r="635" ht="21" customHeight="1" spans="1:6" x14ac:dyDescent="0.25">
      <c r="A635" s="8"/>
      <c r="B635" s="8"/>
      <c r="C635" s="8"/>
      <c r="D635" s="8"/>
      <c r="E635" s="10">
        <f>IFERROR(VLOOKUP(C635,'Inventory Master'!$A$3:$L$300,4,FALSE),0)</f>
      </c>
      <c r="F635" s="10">
        <f>D635*E635</f>
      </c>
    </row>
    <row r="636" ht="21" customHeight="1" spans="1:6" x14ac:dyDescent="0.25">
      <c r="A636" s="8"/>
      <c r="B636" s="8"/>
      <c r="C636" s="8"/>
      <c r="D636" s="8"/>
      <c r="E636" s="10">
        <f>IFERROR(VLOOKUP(C636,'Inventory Master'!$A$3:$L$300,4,FALSE),0)</f>
      </c>
      <c r="F636" s="10">
        <f>D636*E636</f>
      </c>
    </row>
    <row r="637" ht="21" customHeight="1" spans="1:6" x14ac:dyDescent="0.25">
      <c r="A637" s="8"/>
      <c r="B637" s="8"/>
      <c r="C637" s="8"/>
      <c r="D637" s="8"/>
      <c r="E637" s="10">
        <f>IFERROR(VLOOKUP(C637,'Inventory Master'!$A$3:$L$300,4,FALSE),0)</f>
      </c>
      <c r="F637" s="10">
        <f>D637*E637</f>
      </c>
    </row>
    <row r="638" ht="21" customHeight="1" spans="1:6" x14ac:dyDescent="0.25">
      <c r="A638" s="8"/>
      <c r="B638" s="8"/>
      <c r="C638" s="8"/>
      <c r="D638" s="8"/>
      <c r="E638" s="10">
        <f>IFERROR(VLOOKUP(C638,'Inventory Master'!$A$3:$L$300,4,FALSE),0)</f>
      </c>
      <c r="F638" s="10">
        <f>D638*E638</f>
      </c>
    </row>
    <row r="639" ht="21" customHeight="1" spans="1:6" x14ac:dyDescent="0.25">
      <c r="A639" s="8"/>
      <c r="B639" s="8"/>
      <c r="C639" s="8"/>
      <c r="D639" s="8"/>
      <c r="E639" s="10">
        <f>IFERROR(VLOOKUP(C639,'Inventory Master'!$A$3:$L$300,4,FALSE),0)</f>
      </c>
      <c r="F639" s="10">
        <f>D639*E639</f>
      </c>
    </row>
    <row r="640" ht="21" customHeight="1" spans="1:6" x14ac:dyDescent="0.25">
      <c r="A640" s="8"/>
      <c r="B640" s="8"/>
      <c r="C640" s="8"/>
      <c r="D640" s="8"/>
      <c r="E640" s="10">
        <f>IFERROR(VLOOKUP(C640,'Inventory Master'!$A$3:$L$300,4,FALSE),0)</f>
      </c>
      <c r="F640" s="10">
        <f>D640*E640</f>
      </c>
    </row>
    <row r="641" ht="21" customHeight="1" spans="1:6" x14ac:dyDescent="0.25">
      <c r="A641" s="8"/>
      <c r="B641" s="8"/>
      <c r="C641" s="8"/>
      <c r="D641" s="8"/>
      <c r="E641" s="10">
        <f>IFERROR(VLOOKUP(C641,'Inventory Master'!$A$3:$L$300,4,FALSE),0)</f>
      </c>
      <c r="F641" s="10">
        <f>D641*E641</f>
      </c>
    </row>
    <row r="642" ht="21" customHeight="1" spans="1:6" x14ac:dyDescent="0.25">
      <c r="A642" s="8"/>
      <c r="B642" s="8"/>
      <c r="C642" s="8"/>
      <c r="D642" s="8"/>
      <c r="E642" s="10">
        <f>IFERROR(VLOOKUP(C642,'Inventory Master'!$A$3:$L$300,4,FALSE),0)</f>
      </c>
      <c r="F642" s="10">
        <f>D642*E642</f>
      </c>
    </row>
    <row r="643" ht="21" customHeight="1" spans="1:6" x14ac:dyDescent="0.25">
      <c r="A643" s="8"/>
      <c r="B643" s="8"/>
      <c r="C643" s="8"/>
      <c r="D643" s="8"/>
      <c r="E643" s="10">
        <f>IFERROR(VLOOKUP(C643,'Inventory Master'!$A$3:$L$300,4,FALSE),0)</f>
      </c>
      <c r="F643" s="10">
        <f>D643*E643</f>
      </c>
    </row>
    <row r="644" ht="21" customHeight="1" spans="1:6" x14ac:dyDescent="0.25">
      <c r="A644" s="8"/>
      <c r="B644" s="8"/>
      <c r="C644" s="8"/>
      <c r="D644" s="8"/>
      <c r="E644" s="10">
        <f>IFERROR(VLOOKUP(C644,'Inventory Master'!$A$3:$L$300,4,FALSE),0)</f>
      </c>
      <c r="F644" s="10">
        <f>D644*E644</f>
      </c>
    </row>
    <row r="645" ht="21" customHeight="1" spans="1:6" x14ac:dyDescent="0.25">
      <c r="A645" s="8"/>
      <c r="B645" s="8"/>
      <c r="C645" s="8"/>
      <c r="D645" s="8"/>
      <c r="E645" s="10">
        <f>IFERROR(VLOOKUP(C645,'Inventory Master'!$A$3:$L$300,4,FALSE),0)</f>
      </c>
      <c r="F645" s="10">
        <f>D645*E645</f>
      </c>
    </row>
    <row r="646" ht="21" customHeight="1" spans="1:6" x14ac:dyDescent="0.25">
      <c r="A646" s="8"/>
      <c r="B646" s="8"/>
      <c r="C646" s="8"/>
      <c r="D646" s="8"/>
      <c r="E646" s="10">
        <f>IFERROR(VLOOKUP(C646,'Inventory Master'!$A$3:$L$300,4,FALSE),0)</f>
      </c>
      <c r="F646" s="10">
        <f>D646*E646</f>
      </c>
    </row>
    <row r="647" ht="21" customHeight="1" spans="1:6" x14ac:dyDescent="0.25">
      <c r="A647" s="8"/>
      <c r="B647" s="8"/>
      <c r="C647" s="8"/>
      <c r="D647" s="8"/>
      <c r="E647" s="10">
        <f>IFERROR(VLOOKUP(C647,'Inventory Master'!$A$3:$L$300,4,FALSE),0)</f>
      </c>
      <c r="F647" s="10">
        <f>D647*E647</f>
      </c>
    </row>
    <row r="648" ht="21" customHeight="1" spans="1:6" x14ac:dyDescent="0.25">
      <c r="A648" s="8"/>
      <c r="B648" s="8"/>
      <c r="C648" s="8"/>
      <c r="D648" s="8"/>
      <c r="E648" s="10">
        <f>IFERROR(VLOOKUP(C648,'Inventory Master'!$A$3:$L$300,4,FALSE),0)</f>
      </c>
      <c r="F648" s="10">
        <f>D648*E648</f>
      </c>
    </row>
    <row r="649" ht="21" customHeight="1" spans="1:6" x14ac:dyDescent="0.25">
      <c r="A649" s="8"/>
      <c r="B649" s="8"/>
      <c r="C649" s="8"/>
      <c r="D649" s="8"/>
      <c r="E649" s="10">
        <f>IFERROR(VLOOKUP(C649,'Inventory Master'!$A$3:$L$300,4,FALSE),0)</f>
      </c>
      <c r="F649" s="10">
        <f>D649*E649</f>
      </c>
    </row>
    <row r="650" ht="21" customHeight="1" spans="1:6" x14ac:dyDescent="0.25">
      <c r="A650" s="8"/>
      <c r="B650" s="8"/>
      <c r="C650" s="8"/>
      <c r="D650" s="8"/>
      <c r="E650" s="10">
        <f>IFERROR(VLOOKUP(C650,'Inventory Master'!$A$3:$L$300,4,FALSE),0)</f>
      </c>
      <c r="F650" s="10">
        <f>D650*E650</f>
      </c>
    </row>
    <row r="651" ht="21" customHeight="1" spans="1:6" x14ac:dyDescent="0.25">
      <c r="A651" s="8"/>
      <c r="B651" s="8"/>
      <c r="C651" s="8"/>
      <c r="D651" s="8"/>
      <c r="E651" s="10">
        <f>IFERROR(VLOOKUP(C651,'Inventory Master'!$A$3:$L$300,4,FALSE),0)</f>
      </c>
      <c r="F651" s="10">
        <f>D651*E651</f>
      </c>
    </row>
    <row r="652" ht="21" customHeight="1" spans="1:6" x14ac:dyDescent="0.25">
      <c r="A652" s="8"/>
      <c r="B652" s="8"/>
      <c r="C652" s="8"/>
      <c r="D652" s="8"/>
      <c r="E652" s="10">
        <f>IFERROR(VLOOKUP(C652,'Inventory Master'!$A$3:$L$300,4,FALSE),0)</f>
      </c>
      <c r="F652" s="10">
        <f>D652*E652</f>
      </c>
    </row>
    <row r="653" ht="21" customHeight="1" spans="1:6" x14ac:dyDescent="0.25">
      <c r="A653" s="8"/>
      <c r="B653" s="8"/>
      <c r="C653" s="8"/>
      <c r="D653" s="8"/>
      <c r="E653" s="10">
        <f>IFERROR(VLOOKUP(C653,'Inventory Master'!$A$3:$L$300,4,FALSE),0)</f>
      </c>
      <c r="F653" s="10">
        <f>D653*E653</f>
      </c>
    </row>
    <row r="654" ht="21" customHeight="1" spans="1:6" x14ac:dyDescent="0.25">
      <c r="A654" s="8"/>
      <c r="B654" s="8"/>
      <c r="C654" s="8"/>
      <c r="D654" s="8"/>
      <c r="E654" s="10">
        <f>IFERROR(VLOOKUP(C654,'Inventory Master'!$A$3:$L$300,4,FALSE),0)</f>
      </c>
      <c r="F654" s="10">
        <f>D654*E654</f>
      </c>
    </row>
    <row r="655" ht="21" customHeight="1" spans="1:6" x14ac:dyDescent="0.25">
      <c r="A655" s="8"/>
      <c r="B655" s="8"/>
      <c r="C655" s="8"/>
      <c r="D655" s="8"/>
      <c r="E655" s="10">
        <f>IFERROR(VLOOKUP(C655,'Inventory Master'!$A$3:$L$300,4,FALSE),0)</f>
      </c>
      <c r="F655" s="10">
        <f>D655*E655</f>
      </c>
    </row>
    <row r="656" ht="21" customHeight="1" spans="1:6" x14ac:dyDescent="0.25">
      <c r="A656" s="8"/>
      <c r="B656" s="8"/>
      <c r="C656" s="8"/>
      <c r="D656" s="8"/>
      <c r="E656" s="10">
        <f>IFERROR(VLOOKUP(C656,'Inventory Master'!$A$3:$L$300,4,FALSE),0)</f>
      </c>
      <c r="F656" s="10">
        <f>D656*E656</f>
      </c>
    </row>
    <row r="657" ht="21" customHeight="1" spans="1:6" x14ac:dyDescent="0.25">
      <c r="A657" s="8"/>
      <c r="B657" s="8"/>
      <c r="C657" s="8"/>
      <c r="D657" s="8"/>
      <c r="E657" s="10">
        <f>IFERROR(VLOOKUP(C657,'Inventory Master'!$A$3:$L$300,4,FALSE),0)</f>
      </c>
      <c r="F657" s="10">
        <f>D657*E657</f>
      </c>
    </row>
    <row r="658" ht="21" customHeight="1" spans="1:6" x14ac:dyDescent="0.25">
      <c r="A658" s="8"/>
      <c r="B658" s="8"/>
      <c r="C658" s="8"/>
      <c r="D658" s="8"/>
      <c r="E658" s="10">
        <f>IFERROR(VLOOKUP(C658,'Inventory Master'!$A$3:$L$300,4,FALSE),0)</f>
      </c>
      <c r="F658" s="10">
        <f>D658*E658</f>
      </c>
    </row>
    <row r="659" ht="21" customHeight="1" spans="1:6" x14ac:dyDescent="0.25">
      <c r="A659" s="8"/>
      <c r="B659" s="8"/>
      <c r="C659" s="8"/>
      <c r="D659" s="8"/>
      <c r="E659" s="10">
        <f>IFERROR(VLOOKUP(C659,'Inventory Master'!$A$3:$L$300,4,FALSE),0)</f>
      </c>
      <c r="F659" s="10">
        <f>D659*E659</f>
      </c>
    </row>
    <row r="660" ht="21" customHeight="1" spans="1:6" x14ac:dyDescent="0.25">
      <c r="A660" s="8"/>
      <c r="B660" s="8"/>
      <c r="C660" s="8"/>
      <c r="D660" s="8"/>
      <c r="E660" s="10">
        <f>IFERROR(VLOOKUP(C660,'Inventory Master'!$A$3:$L$300,4,FALSE),0)</f>
      </c>
      <c r="F660" s="10">
        <f>D660*E660</f>
      </c>
    </row>
    <row r="661" ht="21" customHeight="1" spans="1:6" x14ac:dyDescent="0.25">
      <c r="A661" s="8"/>
      <c r="B661" s="8"/>
      <c r="C661" s="8"/>
      <c r="D661" s="8"/>
      <c r="E661" s="10">
        <f>IFERROR(VLOOKUP(C661,'Inventory Master'!$A$3:$L$300,4,FALSE),0)</f>
      </c>
      <c r="F661" s="10">
        <f>D661*E661</f>
      </c>
    </row>
    <row r="662" ht="21" customHeight="1" spans="1:6" x14ac:dyDescent="0.25">
      <c r="A662" s="8"/>
      <c r="B662" s="8"/>
      <c r="C662" s="8"/>
      <c r="D662" s="8"/>
      <c r="E662" s="10">
        <f>IFERROR(VLOOKUP(C662,'Inventory Master'!$A$3:$L$300,4,FALSE),0)</f>
      </c>
      <c r="F662" s="10">
        <f>D662*E662</f>
      </c>
    </row>
    <row r="663" ht="21" customHeight="1" spans="1:6" x14ac:dyDescent="0.25">
      <c r="A663" s="8"/>
      <c r="B663" s="8"/>
      <c r="C663" s="8"/>
      <c r="D663" s="8"/>
      <c r="E663" s="10">
        <f>IFERROR(VLOOKUP(C663,'Inventory Master'!$A$3:$L$300,4,FALSE),0)</f>
      </c>
      <c r="F663" s="10">
        <f>D663*E663</f>
      </c>
    </row>
    <row r="664" ht="21" customHeight="1" spans="1:6" x14ac:dyDescent="0.25">
      <c r="A664" s="8"/>
      <c r="B664" s="8"/>
      <c r="C664" s="8"/>
      <c r="D664" s="8"/>
      <c r="E664" s="10">
        <f>IFERROR(VLOOKUP(C664,'Inventory Master'!$A$3:$L$300,4,FALSE),0)</f>
      </c>
      <c r="F664" s="10">
        <f>D664*E664</f>
      </c>
    </row>
    <row r="665" ht="21" customHeight="1" spans="1:6" x14ac:dyDescent="0.25">
      <c r="A665" s="8"/>
      <c r="B665" s="8"/>
      <c r="C665" s="8"/>
      <c r="D665" s="8"/>
      <c r="E665" s="10">
        <f>IFERROR(VLOOKUP(C665,'Inventory Master'!$A$3:$L$300,4,FALSE),0)</f>
      </c>
      <c r="F665" s="10">
        <f>D665*E665</f>
      </c>
    </row>
    <row r="666" ht="21" customHeight="1" spans="1:6" x14ac:dyDescent="0.25">
      <c r="A666" s="8"/>
      <c r="B666" s="8"/>
      <c r="C666" s="8"/>
      <c r="D666" s="8"/>
      <c r="E666" s="10">
        <f>IFERROR(VLOOKUP(C666,'Inventory Master'!$A$3:$L$300,4,FALSE),0)</f>
      </c>
      <c r="F666" s="10">
        <f>D666*E666</f>
      </c>
    </row>
    <row r="667" ht="21" customHeight="1" spans="1:6" x14ac:dyDescent="0.25">
      <c r="A667" s="8"/>
      <c r="B667" s="8"/>
      <c r="C667" s="8"/>
      <c r="D667" s="8"/>
      <c r="E667" s="10">
        <f>IFERROR(VLOOKUP(C667,'Inventory Master'!$A$3:$L$300,4,FALSE),0)</f>
      </c>
      <c r="F667" s="10">
        <f>D667*E667</f>
      </c>
    </row>
    <row r="668" ht="21" customHeight="1" spans="1:6" x14ac:dyDescent="0.25">
      <c r="A668" s="8"/>
      <c r="B668" s="8"/>
      <c r="C668" s="8"/>
      <c r="D668" s="8"/>
      <c r="E668" s="10">
        <f>IFERROR(VLOOKUP(C668,'Inventory Master'!$A$3:$L$300,4,FALSE),0)</f>
      </c>
      <c r="F668" s="10">
        <f>D668*E668</f>
      </c>
    </row>
    <row r="669" ht="21" customHeight="1" spans="1:6" x14ac:dyDescent="0.25">
      <c r="A669" s="8"/>
      <c r="B669" s="8"/>
      <c r="C669" s="8"/>
      <c r="D669" s="8"/>
      <c r="E669" s="10">
        <f>IFERROR(VLOOKUP(C669,'Inventory Master'!$A$3:$L$300,4,FALSE),0)</f>
      </c>
      <c r="F669" s="10">
        <f>D669*E669</f>
      </c>
    </row>
    <row r="670" ht="21" customHeight="1" spans="1:6" x14ac:dyDescent="0.25">
      <c r="A670" s="8"/>
      <c r="B670" s="8"/>
      <c r="C670" s="8"/>
      <c r="D670" s="8"/>
      <c r="E670" s="10">
        <f>IFERROR(VLOOKUP(C670,'Inventory Master'!$A$3:$L$300,4,FALSE),0)</f>
      </c>
      <c r="F670" s="10">
        <f>D670*E670</f>
      </c>
    </row>
    <row r="671" ht="21" customHeight="1" spans="1:6" x14ac:dyDescent="0.25">
      <c r="A671" s="8"/>
      <c r="B671" s="8"/>
      <c r="C671" s="8"/>
      <c r="D671" s="8"/>
      <c r="E671" s="10">
        <f>IFERROR(VLOOKUP(C671,'Inventory Master'!$A$3:$L$300,4,FALSE),0)</f>
      </c>
      <c r="F671" s="10">
        <f>D671*E671</f>
      </c>
    </row>
    <row r="672" ht="21" customHeight="1" spans="1:6" x14ac:dyDescent="0.25">
      <c r="A672" s="8"/>
      <c r="B672" s="8"/>
      <c r="C672" s="8"/>
      <c r="D672" s="8"/>
      <c r="E672" s="10">
        <f>IFERROR(VLOOKUP(C672,'Inventory Master'!$A$3:$L$300,4,FALSE),0)</f>
      </c>
      <c r="F672" s="10">
        <f>D672*E672</f>
      </c>
    </row>
    <row r="673" ht="21" customHeight="1" spans="1:6" x14ac:dyDescent="0.25">
      <c r="A673" s="8"/>
      <c r="B673" s="8"/>
      <c r="C673" s="8"/>
      <c r="D673" s="8"/>
      <c r="E673" s="10">
        <f>IFERROR(VLOOKUP(C673,'Inventory Master'!$A$3:$L$300,4,FALSE),0)</f>
      </c>
      <c r="F673" s="10">
        <f>D673*E673</f>
      </c>
    </row>
    <row r="674" ht="21" customHeight="1" spans="1:6" x14ac:dyDescent="0.25">
      <c r="A674" s="8"/>
      <c r="B674" s="8"/>
      <c r="C674" s="8"/>
      <c r="D674" s="8"/>
      <c r="E674" s="10">
        <f>IFERROR(VLOOKUP(C674,'Inventory Master'!$A$3:$L$300,4,FALSE),0)</f>
      </c>
      <c r="F674" s="10">
        <f>D674*E674</f>
      </c>
    </row>
    <row r="675" ht="21" customHeight="1" spans="1:6" x14ac:dyDescent="0.25">
      <c r="A675" s="8"/>
      <c r="B675" s="8"/>
      <c r="C675" s="8"/>
      <c r="D675" s="8"/>
      <c r="E675" s="10">
        <f>IFERROR(VLOOKUP(C675,'Inventory Master'!$A$3:$L$300,4,FALSE),0)</f>
      </c>
      <c r="F675" s="10">
        <f>D675*E675</f>
      </c>
    </row>
    <row r="676" ht="21" customHeight="1" spans="1:6" x14ac:dyDescent="0.25">
      <c r="A676" s="8"/>
      <c r="B676" s="8"/>
      <c r="C676" s="8"/>
      <c r="D676" s="8"/>
      <c r="E676" s="10">
        <f>IFERROR(VLOOKUP(C676,'Inventory Master'!$A$3:$L$300,4,FALSE),0)</f>
      </c>
      <c r="F676" s="10">
        <f>D676*E676</f>
      </c>
    </row>
    <row r="677" ht="21" customHeight="1" spans="1:6" x14ac:dyDescent="0.25">
      <c r="A677" s="8"/>
      <c r="B677" s="8"/>
      <c r="C677" s="8"/>
      <c r="D677" s="8"/>
      <c r="E677" s="10">
        <f>IFERROR(VLOOKUP(C677,'Inventory Master'!$A$3:$L$300,4,FALSE),0)</f>
      </c>
      <c r="F677" s="10">
        <f>D677*E677</f>
      </c>
    </row>
    <row r="678" ht="21" customHeight="1" spans="1:6" x14ac:dyDescent="0.25">
      <c r="A678" s="8"/>
      <c r="B678" s="8"/>
      <c r="C678" s="8"/>
      <c r="D678" s="8"/>
      <c r="E678" s="10">
        <f>IFERROR(VLOOKUP(C678,'Inventory Master'!$A$3:$L$300,4,FALSE),0)</f>
      </c>
      <c r="F678" s="10">
        <f>D678*E678</f>
      </c>
    </row>
    <row r="679" ht="21" customHeight="1" spans="1:6" x14ac:dyDescent="0.25">
      <c r="A679" s="8"/>
      <c r="B679" s="8"/>
      <c r="C679" s="8"/>
      <c r="D679" s="8"/>
      <c r="E679" s="10">
        <f>IFERROR(VLOOKUP(C679,'Inventory Master'!$A$3:$L$300,4,FALSE),0)</f>
      </c>
      <c r="F679" s="10">
        <f>D679*E679</f>
      </c>
    </row>
    <row r="680" ht="21" customHeight="1" spans="1:6" x14ac:dyDescent="0.25">
      <c r="A680" s="8"/>
      <c r="B680" s="8"/>
      <c r="C680" s="8"/>
      <c r="D680" s="8"/>
      <c r="E680" s="10">
        <f>IFERROR(VLOOKUP(C680,'Inventory Master'!$A$3:$L$300,4,FALSE),0)</f>
      </c>
      <c r="F680" s="10">
        <f>D680*E680</f>
      </c>
    </row>
    <row r="681" ht="21" customHeight="1" spans="1:6" x14ac:dyDescent="0.25">
      <c r="A681" s="8"/>
      <c r="B681" s="8"/>
      <c r="C681" s="8"/>
      <c r="D681" s="8"/>
      <c r="E681" s="10">
        <f>IFERROR(VLOOKUP(C681,'Inventory Master'!$A$3:$L$300,4,FALSE),0)</f>
      </c>
      <c r="F681" s="10">
        <f>D681*E681</f>
      </c>
    </row>
    <row r="682" ht="21" customHeight="1" spans="1:6" x14ac:dyDescent="0.25">
      <c r="A682" s="8"/>
      <c r="B682" s="8"/>
      <c r="C682" s="8"/>
      <c r="D682" s="8"/>
      <c r="E682" s="10">
        <f>IFERROR(VLOOKUP(C682,'Inventory Master'!$A$3:$L$300,4,FALSE),0)</f>
      </c>
      <c r="F682" s="10">
        <f>D682*E682</f>
      </c>
    </row>
    <row r="683" ht="21" customHeight="1" spans="1:6" x14ac:dyDescent="0.25">
      <c r="A683" s="8"/>
      <c r="B683" s="8"/>
      <c r="C683" s="8"/>
      <c r="D683" s="8"/>
      <c r="E683" s="10">
        <f>IFERROR(VLOOKUP(C683,'Inventory Master'!$A$3:$L$300,4,FALSE),0)</f>
      </c>
      <c r="F683" s="10">
        <f>D683*E683</f>
      </c>
    </row>
    <row r="684" ht="21" customHeight="1" spans="1:6" x14ac:dyDescent="0.25">
      <c r="A684" s="8"/>
      <c r="B684" s="8"/>
      <c r="C684" s="8"/>
      <c r="D684" s="8"/>
      <c r="E684" s="10">
        <f>IFERROR(VLOOKUP(C684,'Inventory Master'!$A$3:$L$300,4,FALSE),0)</f>
      </c>
      <c r="F684" s="10">
        <f>D684*E684</f>
      </c>
    </row>
    <row r="685" ht="21" customHeight="1" spans="1:6" x14ac:dyDescent="0.25">
      <c r="A685" s="8"/>
      <c r="B685" s="8"/>
      <c r="C685" s="8"/>
      <c r="D685" s="8"/>
      <c r="E685" s="10">
        <f>IFERROR(VLOOKUP(C685,'Inventory Master'!$A$3:$L$300,4,FALSE),0)</f>
      </c>
      <c r="F685" s="10">
        <f>D685*E685</f>
      </c>
    </row>
    <row r="686" ht="21" customHeight="1" spans="1:6" x14ac:dyDescent="0.25">
      <c r="A686" s="8"/>
      <c r="B686" s="8"/>
      <c r="C686" s="8"/>
      <c r="D686" s="8"/>
      <c r="E686" s="10">
        <f>IFERROR(VLOOKUP(C686,'Inventory Master'!$A$3:$L$300,4,FALSE),0)</f>
      </c>
      <c r="F686" s="10">
        <f>D686*E686</f>
      </c>
    </row>
    <row r="687" ht="21" customHeight="1" spans="1:6" x14ac:dyDescent="0.25">
      <c r="A687" s="8"/>
      <c r="B687" s="8"/>
      <c r="C687" s="8"/>
      <c r="D687" s="8"/>
      <c r="E687" s="10">
        <f>IFERROR(VLOOKUP(C687,'Inventory Master'!$A$3:$L$300,4,FALSE),0)</f>
      </c>
      <c r="F687" s="10">
        <f>D687*E687</f>
      </c>
    </row>
    <row r="688" ht="21" customHeight="1" spans="1:6" x14ac:dyDescent="0.25">
      <c r="A688" s="8"/>
      <c r="B688" s="8"/>
      <c r="C688" s="8"/>
      <c r="D688" s="8"/>
      <c r="E688" s="10">
        <f>IFERROR(VLOOKUP(C688,'Inventory Master'!$A$3:$L$300,4,FALSE),0)</f>
      </c>
      <c r="F688" s="10">
        <f>D688*E688</f>
      </c>
    </row>
    <row r="689" ht="21" customHeight="1" spans="1:6" x14ac:dyDescent="0.25">
      <c r="A689" s="8"/>
      <c r="B689" s="8"/>
      <c r="C689" s="8"/>
      <c r="D689" s="8"/>
      <c r="E689" s="10">
        <f>IFERROR(VLOOKUP(C689,'Inventory Master'!$A$3:$L$300,4,FALSE),0)</f>
      </c>
      <c r="F689" s="10">
        <f>D689*E689</f>
      </c>
    </row>
    <row r="690" ht="21" customHeight="1" spans="1:6" x14ac:dyDescent="0.25">
      <c r="A690" s="8"/>
      <c r="B690" s="8"/>
      <c r="C690" s="8"/>
      <c r="D690" s="8"/>
      <c r="E690" s="10">
        <f>IFERROR(VLOOKUP(C690,'Inventory Master'!$A$3:$L$300,4,FALSE),0)</f>
      </c>
      <c r="F690" s="10">
        <f>D690*E690</f>
      </c>
    </row>
    <row r="691" ht="21" customHeight="1" spans="1:6" x14ac:dyDescent="0.25">
      <c r="A691" s="8"/>
      <c r="B691" s="8"/>
      <c r="C691" s="8"/>
      <c r="D691" s="8"/>
      <c r="E691" s="10">
        <f>IFERROR(VLOOKUP(C691,'Inventory Master'!$A$3:$L$300,4,FALSE),0)</f>
      </c>
      <c r="F691" s="10">
        <f>D691*E691</f>
      </c>
    </row>
    <row r="692" ht="21" customHeight="1" spans="1:6" x14ac:dyDescent="0.25">
      <c r="A692" s="8"/>
      <c r="B692" s="8"/>
      <c r="C692" s="8"/>
      <c r="D692" s="8"/>
      <c r="E692" s="10">
        <f>IFERROR(VLOOKUP(C692,'Inventory Master'!$A$3:$L$300,4,FALSE),0)</f>
      </c>
      <c r="F692" s="10">
        <f>D692*E692</f>
      </c>
    </row>
    <row r="693" ht="21" customHeight="1" spans="1:6" x14ac:dyDescent="0.25">
      <c r="A693" s="8"/>
      <c r="B693" s="8"/>
      <c r="C693" s="8"/>
      <c r="D693" s="8"/>
      <c r="E693" s="10">
        <f>IFERROR(VLOOKUP(C693,'Inventory Master'!$A$3:$L$300,4,FALSE),0)</f>
      </c>
      <c r="F693" s="10">
        <f>D693*E693</f>
      </c>
    </row>
    <row r="694" ht="21" customHeight="1" spans="1:6" x14ac:dyDescent="0.25">
      <c r="A694" s="8"/>
      <c r="B694" s="8"/>
      <c r="C694" s="8"/>
      <c r="D694" s="8"/>
      <c r="E694" s="10">
        <f>IFERROR(VLOOKUP(C694,'Inventory Master'!$A$3:$L$300,4,FALSE),0)</f>
      </c>
      <c r="F694" s="10">
        <f>D694*E694</f>
      </c>
    </row>
    <row r="695" ht="21" customHeight="1" spans="1:6" x14ac:dyDescent="0.25">
      <c r="A695" s="8"/>
      <c r="B695" s="8"/>
      <c r="C695" s="8"/>
      <c r="D695" s="8"/>
      <c r="E695" s="10">
        <f>IFERROR(VLOOKUP(C695,'Inventory Master'!$A$3:$L$300,4,FALSE),0)</f>
      </c>
      <c r="F695" s="10">
        <f>D695*E695</f>
      </c>
    </row>
    <row r="696" ht="21" customHeight="1" spans="1:6" x14ac:dyDescent="0.25">
      <c r="A696" s="8"/>
      <c r="B696" s="8"/>
      <c r="C696" s="8"/>
      <c r="D696" s="8"/>
      <c r="E696" s="10">
        <f>IFERROR(VLOOKUP(C696,'Inventory Master'!$A$3:$L$300,4,FALSE),0)</f>
      </c>
      <c r="F696" s="10">
        <f>D696*E696</f>
      </c>
    </row>
    <row r="697" ht="21" customHeight="1" spans="1:6" x14ac:dyDescent="0.25">
      <c r="A697" s="8"/>
      <c r="B697" s="8"/>
      <c r="C697" s="8"/>
      <c r="D697" s="8"/>
      <c r="E697" s="10">
        <f>IFERROR(VLOOKUP(C697,'Inventory Master'!$A$3:$L$300,4,FALSE),0)</f>
      </c>
      <c r="F697" s="10">
        <f>D697*E697</f>
      </c>
    </row>
    <row r="698" ht="21" customHeight="1" spans="1:6" x14ac:dyDescent="0.25">
      <c r="A698" s="8"/>
      <c r="B698" s="8"/>
      <c r="C698" s="8"/>
      <c r="D698" s="8"/>
      <c r="E698" s="10">
        <f>IFERROR(VLOOKUP(C698,'Inventory Master'!$A$3:$L$300,4,FALSE),0)</f>
      </c>
      <c r="F698" s="10">
        <f>D698*E698</f>
      </c>
    </row>
    <row r="699" ht="21" customHeight="1" spans="1:6" x14ac:dyDescent="0.25">
      <c r="A699" s="8"/>
      <c r="B699" s="8"/>
      <c r="C699" s="8"/>
      <c r="D699" s="8"/>
      <c r="E699" s="10">
        <f>IFERROR(VLOOKUP(C699,'Inventory Master'!$A$3:$L$300,4,FALSE),0)</f>
      </c>
      <c r="F699" s="10">
        <f>D699*E699</f>
      </c>
    </row>
    <row r="700" ht="21" customHeight="1" spans="1:6" x14ac:dyDescent="0.25">
      <c r="A700" s="8"/>
      <c r="B700" s="8"/>
      <c r="C700" s="8"/>
      <c r="D700" s="8"/>
      <c r="E700" s="10">
        <f>IFERROR(VLOOKUP(C700,'Inventory Master'!$A$3:$L$300,4,FALSE),0)</f>
      </c>
      <c r="F700" s="10">
        <f>D700*E700</f>
      </c>
    </row>
    <row r="701" ht="21" customHeight="1" spans="1:6" x14ac:dyDescent="0.25">
      <c r="A701" s="8"/>
      <c r="B701" s="8"/>
      <c r="C701" s="8"/>
      <c r="D701" s="8"/>
      <c r="E701" s="10">
        <f>IFERROR(VLOOKUP(C701,'Inventory Master'!$A$3:$L$300,4,FALSE),0)</f>
      </c>
      <c r="F701" s="10">
        <f>D701*E701</f>
      </c>
    </row>
    <row r="702" ht="21" customHeight="1" spans="1:6" x14ac:dyDescent="0.25">
      <c r="A702" s="8"/>
      <c r="B702" s="8"/>
      <c r="C702" s="8"/>
      <c r="D702" s="8"/>
      <c r="E702" s="10">
        <f>IFERROR(VLOOKUP(C702,'Inventory Master'!$A$3:$L$300,4,FALSE),0)</f>
      </c>
      <c r="F702" s="10">
        <f>D702*E702</f>
      </c>
    </row>
    <row r="703" ht="21" customHeight="1" spans="1:6" x14ac:dyDescent="0.25">
      <c r="A703" s="8"/>
      <c r="B703" s="8"/>
      <c r="C703" s="8"/>
      <c r="D703" s="8"/>
      <c r="E703" s="10">
        <f>IFERROR(VLOOKUP(C703,'Inventory Master'!$A$3:$L$300,4,FALSE),0)</f>
      </c>
      <c r="F703" s="10">
        <f>D703*E703</f>
      </c>
    </row>
    <row r="704" ht="21" customHeight="1" spans="1:6" x14ac:dyDescent="0.25">
      <c r="A704" s="8"/>
      <c r="B704" s="8"/>
      <c r="C704" s="8"/>
      <c r="D704" s="8"/>
      <c r="E704" s="10">
        <f>IFERROR(VLOOKUP(C704,'Inventory Master'!$A$3:$L$300,4,FALSE),0)</f>
      </c>
      <c r="F704" s="10">
        <f>D704*E704</f>
      </c>
    </row>
    <row r="705" ht="21" customHeight="1" spans="1:6" x14ac:dyDescent="0.25">
      <c r="A705" s="8"/>
      <c r="B705" s="8"/>
      <c r="C705" s="8"/>
      <c r="D705" s="8"/>
      <c r="E705" s="10">
        <f>IFERROR(VLOOKUP(C705,'Inventory Master'!$A$3:$L$300,4,FALSE),0)</f>
      </c>
      <c r="F705" s="10">
        <f>D705*E705</f>
      </c>
    </row>
    <row r="706" ht="21" customHeight="1" spans="1:6" x14ac:dyDescent="0.25">
      <c r="A706" s="8"/>
      <c r="B706" s="8"/>
      <c r="C706" s="8"/>
      <c r="D706" s="8"/>
      <c r="E706" s="10">
        <f>IFERROR(VLOOKUP(C706,'Inventory Master'!$A$3:$L$300,4,FALSE),0)</f>
      </c>
      <c r="F706" s="10">
        <f>D706*E706</f>
      </c>
    </row>
    <row r="707" ht="21" customHeight="1" spans="1:6" x14ac:dyDescent="0.25">
      <c r="A707" s="8"/>
      <c r="B707" s="8"/>
      <c r="C707" s="8"/>
      <c r="D707" s="8"/>
      <c r="E707" s="10">
        <f>IFERROR(VLOOKUP(C707,'Inventory Master'!$A$3:$L$300,4,FALSE),0)</f>
      </c>
      <c r="F707" s="10">
        <f>D707*E707</f>
      </c>
    </row>
    <row r="708" ht="21" customHeight="1" spans="1:6" x14ac:dyDescent="0.25">
      <c r="A708" s="8"/>
      <c r="B708" s="8"/>
      <c r="C708" s="8"/>
      <c r="D708" s="8"/>
      <c r="E708" s="10">
        <f>IFERROR(VLOOKUP(C708,'Inventory Master'!$A$3:$L$300,4,FALSE),0)</f>
      </c>
      <c r="F708" s="10">
        <f>D708*E708</f>
      </c>
    </row>
    <row r="709" ht="21" customHeight="1" spans="1:6" x14ac:dyDescent="0.25">
      <c r="A709" s="8"/>
      <c r="B709" s="8"/>
      <c r="C709" s="8"/>
      <c r="D709" s="8"/>
      <c r="E709" s="10">
        <f>IFERROR(VLOOKUP(C709,'Inventory Master'!$A$3:$L$300,4,FALSE),0)</f>
      </c>
      <c r="F709" s="10">
        <f>D709*E709</f>
      </c>
    </row>
    <row r="710" ht="21" customHeight="1" spans="1:6" x14ac:dyDescent="0.25">
      <c r="A710" s="8"/>
      <c r="B710" s="8"/>
      <c r="C710" s="8"/>
      <c r="D710" s="8"/>
      <c r="E710" s="10">
        <f>IFERROR(VLOOKUP(C710,'Inventory Master'!$A$3:$L$300,4,FALSE),0)</f>
      </c>
      <c r="F710" s="10">
        <f>D710*E710</f>
      </c>
    </row>
    <row r="711" ht="21" customHeight="1" spans="1:6" x14ac:dyDescent="0.25">
      <c r="A711" s="8"/>
      <c r="B711" s="8"/>
      <c r="C711" s="8"/>
      <c r="D711" s="8"/>
      <c r="E711" s="10">
        <f>IFERROR(VLOOKUP(C711,'Inventory Master'!$A$3:$L$300,4,FALSE),0)</f>
      </c>
      <c r="F711" s="10">
        <f>D711*E711</f>
      </c>
    </row>
    <row r="712" ht="21" customHeight="1" spans="1:6" x14ac:dyDescent="0.25">
      <c r="A712" s="8"/>
      <c r="B712" s="8"/>
      <c r="C712" s="8"/>
      <c r="D712" s="8"/>
      <c r="E712" s="10">
        <f>IFERROR(VLOOKUP(C712,'Inventory Master'!$A$3:$L$300,4,FALSE),0)</f>
      </c>
      <c r="F712" s="10">
        <f>D712*E712</f>
      </c>
    </row>
    <row r="713" ht="21" customHeight="1" spans="1:6" x14ac:dyDescent="0.25">
      <c r="A713" s="8"/>
      <c r="B713" s="8"/>
      <c r="C713" s="8"/>
      <c r="D713" s="8"/>
      <c r="E713" s="10">
        <f>IFERROR(VLOOKUP(C713,'Inventory Master'!$A$3:$L$300,4,FALSE),0)</f>
      </c>
      <c r="F713" s="10">
        <f>D713*E713</f>
      </c>
    </row>
    <row r="714" ht="21" customHeight="1" spans="1:6" x14ac:dyDescent="0.25">
      <c r="A714" s="8"/>
      <c r="B714" s="8"/>
      <c r="C714" s="8"/>
      <c r="D714" s="8"/>
      <c r="E714" s="10">
        <f>IFERROR(VLOOKUP(C714,'Inventory Master'!$A$3:$L$300,4,FALSE),0)</f>
      </c>
      <c r="F714" s="10">
        <f>D714*E714</f>
      </c>
    </row>
    <row r="715" ht="21" customHeight="1" spans="1:6" x14ac:dyDescent="0.25">
      <c r="A715" s="8"/>
      <c r="B715" s="8"/>
      <c r="C715" s="8"/>
      <c r="D715" s="8"/>
      <c r="E715" s="10">
        <f>IFERROR(VLOOKUP(C715,'Inventory Master'!$A$3:$L$300,4,FALSE),0)</f>
      </c>
      <c r="F715" s="10">
        <f>D715*E715</f>
      </c>
    </row>
    <row r="716" ht="21" customHeight="1" spans="1:6" x14ac:dyDescent="0.25">
      <c r="A716" s="8"/>
      <c r="B716" s="8"/>
      <c r="C716" s="8"/>
      <c r="D716" s="8"/>
      <c r="E716" s="10">
        <f>IFERROR(VLOOKUP(C716,'Inventory Master'!$A$3:$L$300,4,FALSE),0)</f>
      </c>
      <c r="F716" s="10">
        <f>D716*E716</f>
      </c>
    </row>
    <row r="717" ht="21" customHeight="1" spans="1:6" x14ac:dyDescent="0.25">
      <c r="A717" s="8"/>
      <c r="B717" s="8"/>
      <c r="C717" s="8"/>
      <c r="D717" s="8"/>
      <c r="E717" s="10">
        <f>IFERROR(VLOOKUP(C717,'Inventory Master'!$A$3:$L$300,4,FALSE),0)</f>
      </c>
      <c r="F717" s="10">
        <f>D717*E717</f>
      </c>
    </row>
    <row r="718" ht="21" customHeight="1" spans="1:6" x14ac:dyDescent="0.25">
      <c r="A718" s="8"/>
      <c r="B718" s="8"/>
      <c r="C718" s="8"/>
      <c r="D718" s="8"/>
      <c r="E718" s="10">
        <f>IFERROR(VLOOKUP(C718,'Inventory Master'!$A$3:$L$300,4,FALSE),0)</f>
      </c>
      <c r="F718" s="10">
        <f>D718*E718</f>
      </c>
    </row>
    <row r="719" ht="21" customHeight="1" spans="1:6" x14ac:dyDescent="0.25">
      <c r="A719" s="8"/>
      <c r="B719" s="8"/>
      <c r="C719" s="8"/>
      <c r="D719" s="8"/>
      <c r="E719" s="10">
        <f>IFERROR(VLOOKUP(C719,'Inventory Master'!$A$3:$L$300,4,FALSE),0)</f>
      </c>
      <c r="F719" s="10">
        <f>D719*E719</f>
      </c>
    </row>
    <row r="720" ht="21" customHeight="1" spans="1:6" x14ac:dyDescent="0.25">
      <c r="A720" s="8"/>
      <c r="B720" s="8"/>
      <c r="C720" s="8"/>
      <c r="D720" s="8"/>
      <c r="E720" s="10">
        <f>IFERROR(VLOOKUP(C720,'Inventory Master'!$A$3:$L$300,4,FALSE),0)</f>
      </c>
      <c r="F720" s="10">
        <f>D720*E720</f>
      </c>
    </row>
    <row r="721" ht="21" customHeight="1" spans="1:6" x14ac:dyDescent="0.25">
      <c r="A721" s="8"/>
      <c r="B721" s="8"/>
      <c r="C721" s="8"/>
      <c r="D721" s="8"/>
      <c r="E721" s="10">
        <f>IFERROR(VLOOKUP(C721,'Inventory Master'!$A$3:$L$300,4,FALSE),0)</f>
      </c>
      <c r="F721" s="10">
        <f>D721*E721</f>
      </c>
    </row>
    <row r="722" ht="21" customHeight="1" spans="1:6" x14ac:dyDescent="0.25">
      <c r="A722" s="8"/>
      <c r="B722" s="8"/>
      <c r="C722" s="8"/>
      <c r="D722" s="8"/>
      <c r="E722" s="10">
        <f>IFERROR(VLOOKUP(C722,'Inventory Master'!$A$3:$L$300,4,FALSE),0)</f>
      </c>
      <c r="F722" s="10">
        <f>D722*E722</f>
      </c>
    </row>
    <row r="723" ht="21" customHeight="1" spans="1:6" x14ac:dyDescent="0.25">
      <c r="A723" s="8"/>
      <c r="B723" s="8"/>
      <c r="C723" s="8"/>
      <c r="D723" s="8"/>
      <c r="E723" s="10">
        <f>IFERROR(VLOOKUP(C723,'Inventory Master'!$A$3:$L$300,4,FALSE),0)</f>
      </c>
      <c r="F723" s="10">
        <f>D723*E723</f>
      </c>
    </row>
    <row r="724" ht="21" customHeight="1" spans="1:6" x14ac:dyDescent="0.25">
      <c r="A724" s="8"/>
      <c r="B724" s="8"/>
      <c r="C724" s="8"/>
      <c r="D724" s="8"/>
      <c r="E724" s="10">
        <f>IFERROR(VLOOKUP(C724,'Inventory Master'!$A$3:$L$300,4,FALSE),0)</f>
      </c>
      <c r="F724" s="10">
        <f>D724*E724</f>
      </c>
    </row>
    <row r="725" ht="21" customHeight="1" spans="1:6" x14ac:dyDescent="0.25">
      <c r="A725" s="8"/>
      <c r="B725" s="8"/>
      <c r="C725" s="8"/>
      <c r="D725" s="8"/>
      <c r="E725" s="10">
        <f>IFERROR(VLOOKUP(C725,'Inventory Master'!$A$3:$L$300,4,FALSE),0)</f>
      </c>
      <c r="F725" s="10">
        <f>D725*E725</f>
      </c>
    </row>
    <row r="726" ht="21" customHeight="1" spans="1:6" x14ac:dyDescent="0.25">
      <c r="A726" s="8"/>
      <c r="B726" s="8"/>
      <c r="C726" s="8"/>
      <c r="D726" s="8"/>
      <c r="E726" s="10">
        <f>IFERROR(VLOOKUP(C726,'Inventory Master'!$A$3:$L$300,4,FALSE),0)</f>
      </c>
      <c r="F726" s="10">
        <f>D726*E726</f>
      </c>
    </row>
    <row r="727" ht="21" customHeight="1" spans="1:6" x14ac:dyDescent="0.25">
      <c r="A727" s="8"/>
      <c r="B727" s="8"/>
      <c r="C727" s="8"/>
      <c r="D727" s="8"/>
      <c r="E727" s="10">
        <f>IFERROR(VLOOKUP(C727,'Inventory Master'!$A$3:$L$300,4,FALSE),0)</f>
      </c>
      <c r="F727" s="10">
        <f>D727*E727</f>
      </c>
    </row>
    <row r="728" ht="21" customHeight="1" spans="1:6" x14ac:dyDescent="0.25">
      <c r="A728" s="8"/>
      <c r="B728" s="8"/>
      <c r="C728" s="8"/>
      <c r="D728" s="8"/>
      <c r="E728" s="10">
        <f>IFERROR(VLOOKUP(C728,'Inventory Master'!$A$3:$L$300,4,FALSE),0)</f>
      </c>
      <c r="F728" s="10">
        <f>D728*E728</f>
      </c>
    </row>
    <row r="729" ht="21" customHeight="1" spans="1:6" x14ac:dyDescent="0.25">
      <c r="A729" s="8"/>
      <c r="B729" s="8"/>
      <c r="C729" s="8"/>
      <c r="D729" s="8"/>
      <c r="E729" s="10">
        <f>IFERROR(VLOOKUP(C729,'Inventory Master'!$A$3:$L$300,4,FALSE),0)</f>
      </c>
      <c r="F729" s="10">
        <f>D729*E729</f>
      </c>
    </row>
    <row r="730" ht="21" customHeight="1" spans="1:6" x14ac:dyDescent="0.25">
      <c r="A730" s="8"/>
      <c r="B730" s="8"/>
      <c r="C730" s="8"/>
      <c r="D730" s="8"/>
      <c r="E730" s="10">
        <f>IFERROR(VLOOKUP(C730,'Inventory Master'!$A$3:$L$300,4,FALSE),0)</f>
      </c>
      <c r="F730" s="10">
        <f>D730*E730</f>
      </c>
    </row>
    <row r="731" ht="21" customHeight="1" spans="1:6" x14ac:dyDescent="0.25">
      <c r="A731" s="8"/>
      <c r="B731" s="8"/>
      <c r="C731" s="8"/>
      <c r="D731" s="8"/>
      <c r="E731" s="10">
        <f>IFERROR(VLOOKUP(C731,'Inventory Master'!$A$3:$L$300,4,FALSE),0)</f>
      </c>
      <c r="F731" s="10">
        <f>D731*E731</f>
      </c>
    </row>
    <row r="732" ht="21" customHeight="1" spans="1:6" x14ac:dyDescent="0.25">
      <c r="A732" s="8"/>
      <c r="B732" s="8"/>
      <c r="C732" s="8"/>
      <c r="D732" s="8"/>
      <c r="E732" s="10">
        <f>IFERROR(VLOOKUP(C732,'Inventory Master'!$A$3:$L$300,4,FALSE),0)</f>
      </c>
      <c r="F732" s="10">
        <f>D732*E732</f>
      </c>
    </row>
    <row r="733" ht="21" customHeight="1" spans="1:6" x14ac:dyDescent="0.25">
      <c r="A733" s="8"/>
      <c r="B733" s="8"/>
      <c r="C733" s="8"/>
      <c r="D733" s="8"/>
      <c r="E733" s="10">
        <f>IFERROR(VLOOKUP(C733,'Inventory Master'!$A$3:$L$300,4,FALSE),0)</f>
      </c>
      <c r="F733" s="10">
        <f>D733*E733</f>
      </c>
    </row>
    <row r="734" ht="21" customHeight="1" spans="1:6" x14ac:dyDescent="0.25">
      <c r="A734" s="8"/>
      <c r="B734" s="8"/>
      <c r="C734" s="8"/>
      <c r="D734" s="8"/>
      <c r="E734" s="10">
        <f>IFERROR(VLOOKUP(C734,'Inventory Master'!$A$3:$L$300,4,FALSE),0)</f>
      </c>
      <c r="F734" s="10">
        <f>D734*E734</f>
      </c>
    </row>
    <row r="735" ht="21" customHeight="1" spans="1:6" x14ac:dyDescent="0.25">
      <c r="A735" s="8"/>
      <c r="B735" s="8"/>
      <c r="C735" s="8"/>
      <c r="D735" s="8"/>
      <c r="E735" s="10">
        <f>IFERROR(VLOOKUP(C735,'Inventory Master'!$A$3:$L$300,4,FALSE),0)</f>
      </c>
      <c r="F735" s="10">
        <f>D735*E735</f>
      </c>
    </row>
    <row r="736" ht="21" customHeight="1" spans="1:6" x14ac:dyDescent="0.25">
      <c r="A736" s="8"/>
      <c r="B736" s="8"/>
      <c r="C736" s="8"/>
      <c r="D736" s="8"/>
      <c r="E736" s="10">
        <f>IFERROR(VLOOKUP(C736,'Inventory Master'!$A$3:$L$300,4,FALSE),0)</f>
      </c>
      <c r="F736" s="10">
        <f>D736*E736</f>
      </c>
    </row>
    <row r="737" ht="21" customHeight="1" spans="1:6" x14ac:dyDescent="0.25">
      <c r="A737" s="8"/>
      <c r="B737" s="8"/>
      <c r="C737" s="8"/>
      <c r="D737" s="8"/>
      <c r="E737" s="10">
        <f>IFERROR(VLOOKUP(C737,'Inventory Master'!$A$3:$L$300,4,FALSE),0)</f>
      </c>
      <c r="F737" s="10">
        <f>D737*E737</f>
      </c>
    </row>
    <row r="738" ht="21" customHeight="1" spans="1:6" x14ac:dyDescent="0.25">
      <c r="A738" s="8"/>
      <c r="B738" s="8"/>
      <c r="C738" s="8"/>
      <c r="D738" s="8"/>
      <c r="E738" s="10">
        <f>IFERROR(VLOOKUP(C738,'Inventory Master'!$A$3:$L$300,4,FALSE),0)</f>
      </c>
      <c r="F738" s="10">
        <f>D738*E738</f>
      </c>
    </row>
    <row r="739" ht="21" customHeight="1" spans="1:6" x14ac:dyDescent="0.25">
      <c r="A739" s="8"/>
      <c r="B739" s="8"/>
      <c r="C739" s="8"/>
      <c r="D739" s="8"/>
      <c r="E739" s="10">
        <f>IFERROR(VLOOKUP(C739,'Inventory Master'!$A$3:$L$300,4,FALSE),0)</f>
      </c>
      <c r="F739" s="10">
        <f>D739*E739</f>
      </c>
    </row>
    <row r="740" ht="21" customHeight="1" spans="1:6" x14ac:dyDescent="0.25">
      <c r="A740" s="8"/>
      <c r="B740" s="8"/>
      <c r="C740" s="8"/>
      <c r="D740" s="8"/>
      <c r="E740" s="10">
        <f>IFERROR(VLOOKUP(C740,'Inventory Master'!$A$3:$L$300,4,FALSE),0)</f>
      </c>
      <c r="F740" s="10">
        <f>D740*E740</f>
      </c>
    </row>
    <row r="741" ht="21" customHeight="1" spans="1:6" x14ac:dyDescent="0.25">
      <c r="A741" s="8"/>
      <c r="B741" s="8"/>
      <c r="C741" s="8"/>
      <c r="D741" s="8"/>
      <c r="E741" s="10">
        <f>IFERROR(VLOOKUP(C741,'Inventory Master'!$A$3:$L$300,4,FALSE),0)</f>
      </c>
      <c r="F741" s="10">
        <f>D741*E741</f>
      </c>
    </row>
    <row r="742" ht="21" customHeight="1" spans="1:6" x14ac:dyDescent="0.25">
      <c r="A742" s="8"/>
      <c r="B742" s="8"/>
      <c r="C742" s="8"/>
      <c r="D742" s="8"/>
      <c r="E742" s="10">
        <f>IFERROR(VLOOKUP(C742,'Inventory Master'!$A$3:$L$300,4,FALSE),0)</f>
      </c>
      <c r="F742" s="10">
        <f>D742*E742</f>
      </c>
    </row>
    <row r="743" ht="21" customHeight="1" spans="1:6" x14ac:dyDescent="0.25">
      <c r="A743" s="8"/>
      <c r="B743" s="8"/>
      <c r="C743" s="8"/>
      <c r="D743" s="8"/>
      <c r="E743" s="10">
        <f>IFERROR(VLOOKUP(C743,'Inventory Master'!$A$3:$L$300,4,FALSE),0)</f>
      </c>
      <c r="F743" s="10">
        <f>D743*E743</f>
      </c>
    </row>
    <row r="744" ht="21" customHeight="1" spans="1:6" x14ac:dyDescent="0.25">
      <c r="A744" s="8"/>
      <c r="B744" s="8"/>
      <c r="C744" s="8"/>
      <c r="D744" s="8"/>
      <c r="E744" s="10">
        <f>IFERROR(VLOOKUP(C744,'Inventory Master'!$A$3:$L$300,4,FALSE),0)</f>
      </c>
      <c r="F744" s="10">
        <f>D744*E744</f>
      </c>
    </row>
    <row r="745" ht="21" customHeight="1" spans="1:6" x14ac:dyDescent="0.25">
      <c r="A745" s="8"/>
      <c r="B745" s="8"/>
      <c r="C745" s="8"/>
      <c r="D745" s="8"/>
      <c r="E745" s="10">
        <f>IFERROR(VLOOKUP(C745,'Inventory Master'!$A$3:$L$300,4,FALSE),0)</f>
      </c>
      <c r="F745" s="10">
        <f>D745*E745</f>
      </c>
    </row>
    <row r="746" ht="21" customHeight="1" spans="1:6" x14ac:dyDescent="0.25">
      <c r="A746" s="8"/>
      <c r="B746" s="8"/>
      <c r="C746" s="8"/>
      <c r="D746" s="8"/>
      <c r="E746" s="10">
        <f>IFERROR(VLOOKUP(C746,'Inventory Master'!$A$3:$L$300,4,FALSE),0)</f>
      </c>
      <c r="F746" s="10">
        <f>D746*E746</f>
      </c>
    </row>
    <row r="747" ht="21" customHeight="1" spans="1:6" x14ac:dyDescent="0.25">
      <c r="A747" s="8"/>
      <c r="B747" s="8"/>
      <c r="C747" s="8"/>
      <c r="D747" s="8"/>
      <c r="E747" s="10">
        <f>IFERROR(VLOOKUP(C747,'Inventory Master'!$A$3:$L$300,4,FALSE),0)</f>
      </c>
      <c r="F747" s="10">
        <f>D747*E747</f>
      </c>
    </row>
    <row r="748" ht="21" customHeight="1" spans="1:6" x14ac:dyDescent="0.25">
      <c r="A748" s="8"/>
      <c r="B748" s="8"/>
      <c r="C748" s="8"/>
      <c r="D748" s="8"/>
      <c r="E748" s="10">
        <f>IFERROR(VLOOKUP(C748,'Inventory Master'!$A$3:$L$300,4,FALSE),0)</f>
      </c>
      <c r="F748" s="10">
        <f>D748*E748</f>
      </c>
    </row>
    <row r="749" ht="21" customHeight="1" spans="1:6" x14ac:dyDescent="0.25">
      <c r="A749" s="8"/>
      <c r="B749" s="8"/>
      <c r="C749" s="8"/>
      <c r="D749" s="8"/>
      <c r="E749" s="10">
        <f>IFERROR(VLOOKUP(C749,'Inventory Master'!$A$3:$L$300,4,FALSE),0)</f>
      </c>
      <c r="F749" s="10">
        <f>D749*E749</f>
      </c>
    </row>
    <row r="750" ht="21" customHeight="1" spans="1:6" x14ac:dyDescent="0.25">
      <c r="A750" s="8"/>
      <c r="B750" s="8"/>
      <c r="C750" s="8"/>
      <c r="D750" s="8"/>
      <c r="E750" s="10">
        <f>IFERROR(VLOOKUP(C750,'Inventory Master'!$A$3:$L$300,4,FALSE),0)</f>
      </c>
      <c r="F750" s="10">
        <f>D750*E750</f>
      </c>
    </row>
    <row r="751" ht="21" customHeight="1" spans="1:6" x14ac:dyDescent="0.25">
      <c r="A751" s="8"/>
      <c r="B751" s="8"/>
      <c r="C751" s="8"/>
      <c r="D751" s="8"/>
      <c r="E751" s="10">
        <f>IFERROR(VLOOKUP(C751,'Inventory Master'!$A$3:$L$300,4,FALSE),0)</f>
      </c>
      <c r="F751" s="10">
        <f>D751*E751</f>
      </c>
    </row>
    <row r="752" ht="21" customHeight="1" spans="1:6" x14ac:dyDescent="0.25">
      <c r="A752" s="8"/>
      <c r="B752" s="8"/>
      <c r="C752" s="8"/>
      <c r="D752" s="8"/>
      <c r="E752" s="10">
        <f>IFERROR(VLOOKUP(C752,'Inventory Master'!$A$3:$L$300,4,FALSE),0)</f>
      </c>
      <c r="F752" s="10">
        <f>D752*E752</f>
      </c>
    </row>
    <row r="753" ht="21" customHeight="1" spans="1:6" x14ac:dyDescent="0.25">
      <c r="A753" s="8"/>
      <c r="B753" s="8"/>
      <c r="C753" s="8"/>
      <c r="D753" s="8"/>
      <c r="E753" s="10">
        <f>IFERROR(VLOOKUP(C753,'Inventory Master'!$A$3:$L$300,4,FALSE),0)</f>
      </c>
      <c r="F753" s="10">
        <f>D753*E753</f>
      </c>
    </row>
    <row r="754" ht="21" customHeight="1" spans="1:6" x14ac:dyDescent="0.25">
      <c r="A754" s="8"/>
      <c r="B754" s="8"/>
      <c r="C754" s="8"/>
      <c r="D754" s="8"/>
      <c r="E754" s="10">
        <f>IFERROR(VLOOKUP(C754,'Inventory Master'!$A$3:$L$300,4,FALSE),0)</f>
      </c>
      <c r="F754" s="10">
        <f>D754*E754</f>
      </c>
    </row>
    <row r="755" ht="21" customHeight="1" spans="1:6" x14ac:dyDescent="0.25">
      <c r="A755" s="8"/>
      <c r="B755" s="8"/>
      <c r="C755" s="8"/>
      <c r="D755" s="8"/>
      <c r="E755" s="10">
        <f>IFERROR(VLOOKUP(C755,'Inventory Master'!$A$3:$L$300,4,FALSE),0)</f>
      </c>
      <c r="F755" s="10">
        <f>D755*E755</f>
      </c>
    </row>
    <row r="756" ht="21" customHeight="1" spans="1:6" x14ac:dyDescent="0.25">
      <c r="A756" s="8"/>
      <c r="B756" s="8"/>
      <c r="C756" s="8"/>
      <c r="D756" s="8"/>
      <c r="E756" s="10">
        <f>IFERROR(VLOOKUP(C756,'Inventory Master'!$A$3:$L$300,4,FALSE),0)</f>
      </c>
      <c r="F756" s="10">
        <f>D756*E756</f>
      </c>
    </row>
    <row r="757" ht="21" customHeight="1" spans="1:6" x14ac:dyDescent="0.25">
      <c r="A757" s="8"/>
      <c r="B757" s="8"/>
      <c r="C757" s="8"/>
      <c r="D757" s="8"/>
      <c r="E757" s="10">
        <f>IFERROR(VLOOKUP(C757,'Inventory Master'!$A$3:$L$300,4,FALSE),0)</f>
      </c>
      <c r="F757" s="10">
        <f>D757*E757</f>
      </c>
    </row>
    <row r="758" ht="21" customHeight="1" spans="1:6" x14ac:dyDescent="0.25">
      <c r="A758" s="8"/>
      <c r="B758" s="8"/>
      <c r="C758" s="8"/>
      <c r="D758" s="8"/>
      <c r="E758" s="10">
        <f>IFERROR(VLOOKUP(C758,'Inventory Master'!$A$3:$L$300,4,FALSE),0)</f>
      </c>
      <c r="F758" s="10">
        <f>D758*E758</f>
      </c>
    </row>
    <row r="759" ht="21" customHeight="1" spans="1:6" x14ac:dyDescent="0.25">
      <c r="A759" s="8"/>
      <c r="B759" s="8"/>
      <c r="C759" s="8"/>
      <c r="D759" s="8"/>
      <c r="E759" s="10">
        <f>IFERROR(VLOOKUP(C759,'Inventory Master'!$A$3:$L$300,4,FALSE),0)</f>
      </c>
      <c r="F759" s="10">
        <f>D759*E759</f>
      </c>
    </row>
    <row r="760" ht="21" customHeight="1" spans="1:6" x14ac:dyDescent="0.25">
      <c r="A760" s="8"/>
      <c r="B760" s="8"/>
      <c r="C760" s="8"/>
      <c r="D760" s="8"/>
      <c r="E760" s="10">
        <f>IFERROR(VLOOKUP(C760,'Inventory Master'!$A$3:$L$300,4,FALSE),0)</f>
      </c>
      <c r="F760" s="10">
        <f>D760*E760</f>
      </c>
    </row>
    <row r="761" ht="21" customHeight="1" spans="1:6" x14ac:dyDescent="0.25">
      <c r="A761" s="8"/>
      <c r="B761" s="8"/>
      <c r="C761" s="8"/>
      <c r="D761" s="8"/>
      <c r="E761" s="10">
        <f>IFERROR(VLOOKUP(C761,'Inventory Master'!$A$3:$L$300,4,FALSE),0)</f>
      </c>
      <c r="F761" s="10">
        <f>D761*E761</f>
      </c>
    </row>
    <row r="762" ht="21" customHeight="1" spans="1:6" x14ac:dyDescent="0.25">
      <c r="A762" s="8"/>
      <c r="B762" s="8"/>
      <c r="C762" s="8"/>
      <c r="D762" s="8"/>
      <c r="E762" s="10">
        <f>IFERROR(VLOOKUP(C762,'Inventory Master'!$A$3:$L$300,4,FALSE),0)</f>
      </c>
      <c r="F762" s="10">
        <f>D762*E762</f>
      </c>
    </row>
    <row r="763" ht="21" customHeight="1" spans="1:6" x14ac:dyDescent="0.25">
      <c r="A763" s="8"/>
      <c r="B763" s="8"/>
      <c r="C763" s="8"/>
      <c r="D763" s="8"/>
      <c r="E763" s="10">
        <f>IFERROR(VLOOKUP(C763,'Inventory Master'!$A$3:$L$300,4,FALSE),0)</f>
      </c>
      <c r="F763" s="10">
        <f>D763*E763</f>
      </c>
    </row>
    <row r="764" ht="21" customHeight="1" spans="1:6" x14ac:dyDescent="0.25">
      <c r="A764" s="8"/>
      <c r="B764" s="8"/>
      <c r="C764" s="8"/>
      <c r="D764" s="8"/>
      <c r="E764" s="10">
        <f>IFERROR(VLOOKUP(C764,'Inventory Master'!$A$3:$L$300,4,FALSE),0)</f>
      </c>
      <c r="F764" s="10">
        <f>D764*E764</f>
      </c>
    </row>
    <row r="765" ht="21" customHeight="1" spans="1:6" x14ac:dyDescent="0.25">
      <c r="A765" s="8"/>
      <c r="B765" s="8"/>
      <c r="C765" s="8"/>
      <c r="D765" s="8"/>
      <c r="E765" s="10">
        <f>IFERROR(VLOOKUP(C765,'Inventory Master'!$A$3:$L$300,4,FALSE),0)</f>
      </c>
      <c r="F765" s="10">
        <f>D765*E765</f>
      </c>
    </row>
    <row r="766" ht="21" customHeight="1" spans="1:6" x14ac:dyDescent="0.25">
      <c r="A766" s="8"/>
      <c r="B766" s="8"/>
      <c r="C766" s="8"/>
      <c r="D766" s="8"/>
      <c r="E766" s="10">
        <f>IFERROR(VLOOKUP(C766,'Inventory Master'!$A$3:$L$300,4,FALSE),0)</f>
      </c>
      <c r="F766" s="10">
        <f>D766*E766</f>
      </c>
    </row>
    <row r="767" ht="21" customHeight="1" spans="1:6" x14ac:dyDescent="0.25">
      <c r="A767" s="8"/>
      <c r="B767" s="8"/>
      <c r="C767" s="8"/>
      <c r="D767" s="8"/>
      <c r="E767" s="10">
        <f>IFERROR(VLOOKUP(C767,'Inventory Master'!$A$3:$L$300,4,FALSE),0)</f>
      </c>
      <c r="F767" s="10">
        <f>D767*E767</f>
      </c>
    </row>
    <row r="768" ht="21" customHeight="1" spans="1:6" x14ac:dyDescent="0.25">
      <c r="A768" s="8"/>
      <c r="B768" s="8"/>
      <c r="C768" s="8"/>
      <c r="D768" s="8"/>
      <c r="E768" s="10">
        <f>IFERROR(VLOOKUP(C768,'Inventory Master'!$A$3:$L$300,4,FALSE),0)</f>
      </c>
      <c r="F768" s="10">
        <f>D768*E768</f>
      </c>
    </row>
    <row r="769" ht="21" customHeight="1" spans="1:6" x14ac:dyDescent="0.25">
      <c r="A769" s="8"/>
      <c r="B769" s="8"/>
      <c r="C769" s="8"/>
      <c r="D769" s="8"/>
      <c r="E769" s="10">
        <f>IFERROR(VLOOKUP(C769,'Inventory Master'!$A$3:$L$300,4,FALSE),0)</f>
      </c>
      <c r="F769" s="10">
        <f>D769*E769</f>
      </c>
    </row>
    <row r="770" ht="21" customHeight="1" spans="1:6" x14ac:dyDescent="0.25">
      <c r="A770" s="8"/>
      <c r="B770" s="8"/>
      <c r="C770" s="8"/>
      <c r="D770" s="8"/>
      <c r="E770" s="10">
        <f>IFERROR(VLOOKUP(C770,'Inventory Master'!$A$3:$L$300,4,FALSE),0)</f>
      </c>
      <c r="F770" s="10">
        <f>D770*E770</f>
      </c>
    </row>
    <row r="771" ht="21" customHeight="1" spans="1:6" x14ac:dyDescent="0.25">
      <c r="A771" s="8"/>
      <c r="B771" s="8"/>
      <c r="C771" s="8"/>
      <c r="D771" s="8"/>
      <c r="E771" s="10">
        <f>IFERROR(VLOOKUP(C771,'Inventory Master'!$A$3:$L$300,4,FALSE),0)</f>
      </c>
      <c r="F771" s="10">
        <f>D771*E771</f>
      </c>
    </row>
    <row r="772" ht="21" customHeight="1" spans="1:6" x14ac:dyDescent="0.25">
      <c r="A772" s="8"/>
      <c r="B772" s="8"/>
      <c r="C772" s="8"/>
      <c r="D772" s="8"/>
      <c r="E772" s="10">
        <f>IFERROR(VLOOKUP(C772,'Inventory Master'!$A$3:$L$300,4,FALSE),0)</f>
      </c>
      <c r="F772" s="10">
        <f>D772*E772</f>
      </c>
    </row>
    <row r="773" ht="21" customHeight="1" spans="1:6" x14ac:dyDescent="0.25">
      <c r="A773" s="8"/>
      <c r="B773" s="8"/>
      <c r="C773" s="8"/>
      <c r="D773" s="8"/>
      <c r="E773" s="10">
        <f>IFERROR(VLOOKUP(C773,'Inventory Master'!$A$3:$L$300,4,FALSE),0)</f>
      </c>
      <c r="F773" s="10">
        <f>D773*E773</f>
      </c>
    </row>
    <row r="774" ht="21" customHeight="1" spans="1:6" x14ac:dyDescent="0.25">
      <c r="A774" s="8"/>
      <c r="B774" s="8"/>
      <c r="C774" s="8"/>
      <c r="D774" s="8"/>
      <c r="E774" s="10">
        <f>IFERROR(VLOOKUP(C774,'Inventory Master'!$A$3:$L$300,4,FALSE),0)</f>
      </c>
      <c r="F774" s="10">
        <f>D774*E774</f>
      </c>
    </row>
    <row r="775" ht="21" customHeight="1" spans="1:6" x14ac:dyDescent="0.25">
      <c r="A775" s="8"/>
      <c r="B775" s="8"/>
      <c r="C775" s="8"/>
      <c r="D775" s="8"/>
      <c r="E775" s="10">
        <f>IFERROR(VLOOKUP(C775,'Inventory Master'!$A$3:$L$300,4,FALSE),0)</f>
      </c>
      <c r="F775" s="10">
        <f>D775*E775</f>
      </c>
    </row>
    <row r="776" ht="21" customHeight="1" spans="1:6" x14ac:dyDescent="0.25">
      <c r="A776" s="8"/>
      <c r="B776" s="8"/>
      <c r="C776" s="8"/>
      <c r="D776" s="8"/>
      <c r="E776" s="10">
        <f>IFERROR(VLOOKUP(C776,'Inventory Master'!$A$3:$L$300,4,FALSE),0)</f>
      </c>
      <c r="F776" s="10">
        <f>D776*E776</f>
      </c>
    </row>
    <row r="777" ht="21" customHeight="1" spans="1:6" x14ac:dyDescent="0.25">
      <c r="A777" s="8"/>
      <c r="B777" s="8"/>
      <c r="C777" s="8"/>
      <c r="D777" s="8"/>
      <c r="E777" s="10">
        <f>IFERROR(VLOOKUP(C777,'Inventory Master'!$A$3:$L$300,4,FALSE),0)</f>
      </c>
      <c r="F777" s="10">
        <f>D777*E777</f>
      </c>
    </row>
    <row r="778" ht="21" customHeight="1" spans="1:6" x14ac:dyDescent="0.25">
      <c r="A778" s="8"/>
      <c r="B778" s="8"/>
      <c r="C778" s="8"/>
      <c r="D778" s="8"/>
      <c r="E778" s="10">
        <f>IFERROR(VLOOKUP(C778,'Inventory Master'!$A$3:$L$300,4,FALSE),0)</f>
      </c>
      <c r="F778" s="10">
        <f>D778*E778</f>
      </c>
    </row>
    <row r="779" ht="21" customHeight="1" spans="1:6" x14ac:dyDescent="0.25">
      <c r="A779" s="8"/>
      <c r="B779" s="8"/>
      <c r="C779" s="8"/>
      <c r="D779" s="8"/>
      <c r="E779" s="10">
        <f>IFERROR(VLOOKUP(C779,'Inventory Master'!$A$3:$L$300,4,FALSE),0)</f>
      </c>
      <c r="F779" s="10">
        <f>D779*E779</f>
      </c>
    </row>
    <row r="780" ht="21" customHeight="1" spans="1:6" x14ac:dyDescent="0.25">
      <c r="A780" s="8"/>
      <c r="B780" s="8"/>
      <c r="C780" s="8"/>
      <c r="D780" s="8"/>
      <c r="E780" s="10">
        <f>IFERROR(VLOOKUP(C780,'Inventory Master'!$A$3:$L$300,4,FALSE),0)</f>
      </c>
      <c r="F780" s="10">
        <f>D780*E780</f>
      </c>
    </row>
    <row r="781" ht="21" customHeight="1" spans="1:6" x14ac:dyDescent="0.25">
      <c r="A781" s="8"/>
      <c r="B781" s="8"/>
      <c r="C781" s="8"/>
      <c r="D781" s="8"/>
      <c r="E781" s="10">
        <f>IFERROR(VLOOKUP(C781,'Inventory Master'!$A$3:$L$300,4,FALSE),0)</f>
      </c>
      <c r="F781" s="10">
        <f>D781*E781</f>
      </c>
    </row>
    <row r="782" ht="21" customHeight="1" spans="1:6" x14ac:dyDescent="0.25">
      <c r="A782" s="8"/>
      <c r="B782" s="8"/>
      <c r="C782" s="8"/>
      <c r="D782" s="8"/>
      <c r="E782" s="10">
        <f>IFERROR(VLOOKUP(C782,'Inventory Master'!$A$3:$L$300,4,FALSE),0)</f>
      </c>
      <c r="F782" s="10">
        <f>D782*E782</f>
      </c>
    </row>
    <row r="783" ht="21" customHeight="1" spans="1:6" x14ac:dyDescent="0.25">
      <c r="A783" s="8"/>
      <c r="B783" s="8"/>
      <c r="C783" s="8"/>
      <c r="D783" s="8"/>
      <c r="E783" s="10">
        <f>IFERROR(VLOOKUP(C783,'Inventory Master'!$A$3:$L$300,4,FALSE),0)</f>
      </c>
      <c r="F783" s="10">
        <f>D783*E783</f>
      </c>
    </row>
    <row r="784" ht="21" customHeight="1" spans="1:6" x14ac:dyDescent="0.25">
      <c r="A784" s="8"/>
      <c r="B784" s="8"/>
      <c r="C784" s="8"/>
      <c r="D784" s="8"/>
      <c r="E784" s="10">
        <f>IFERROR(VLOOKUP(C784,'Inventory Master'!$A$3:$L$300,4,FALSE),0)</f>
      </c>
      <c r="F784" s="10">
        <f>D784*E784</f>
      </c>
    </row>
    <row r="785" ht="21" customHeight="1" spans="1:6" x14ac:dyDescent="0.25">
      <c r="A785" s="8"/>
      <c r="B785" s="8"/>
      <c r="C785" s="8"/>
      <c r="D785" s="8"/>
      <c r="E785" s="10">
        <f>IFERROR(VLOOKUP(C785,'Inventory Master'!$A$3:$L$300,4,FALSE),0)</f>
      </c>
      <c r="F785" s="10">
        <f>D785*E785</f>
      </c>
    </row>
    <row r="786" ht="21" customHeight="1" spans="1:6" x14ac:dyDescent="0.25">
      <c r="A786" s="8"/>
      <c r="B786" s="8"/>
      <c r="C786" s="8"/>
      <c r="D786" s="8"/>
      <c r="E786" s="10">
        <f>IFERROR(VLOOKUP(C786,'Inventory Master'!$A$3:$L$300,4,FALSE),0)</f>
      </c>
      <c r="F786" s="10">
        <f>D786*E786</f>
      </c>
    </row>
    <row r="787" ht="21" customHeight="1" spans="1:6" x14ac:dyDescent="0.25">
      <c r="A787" s="8"/>
      <c r="B787" s="8"/>
      <c r="C787" s="8"/>
      <c r="D787" s="8"/>
      <c r="E787" s="10">
        <f>IFERROR(VLOOKUP(C787,'Inventory Master'!$A$3:$L$300,4,FALSE),0)</f>
      </c>
      <c r="F787" s="10">
        <f>D787*E787</f>
      </c>
    </row>
    <row r="788" ht="21" customHeight="1" spans="1:6" x14ac:dyDescent="0.25">
      <c r="A788" s="8"/>
      <c r="B788" s="8"/>
      <c r="C788" s="8"/>
      <c r="D788" s="8"/>
      <c r="E788" s="10">
        <f>IFERROR(VLOOKUP(C788,'Inventory Master'!$A$3:$L$300,4,FALSE),0)</f>
      </c>
      <c r="F788" s="10">
        <f>D788*E788</f>
      </c>
    </row>
    <row r="789" ht="21" customHeight="1" spans="1:6" x14ac:dyDescent="0.25">
      <c r="A789" s="8"/>
      <c r="B789" s="8"/>
      <c r="C789" s="8"/>
      <c r="D789" s="8"/>
      <c r="E789" s="10">
        <f>IFERROR(VLOOKUP(C789,'Inventory Master'!$A$3:$L$300,4,FALSE),0)</f>
      </c>
      <c r="F789" s="10">
        <f>D789*E789</f>
      </c>
    </row>
    <row r="790" ht="21" customHeight="1" spans="1:6" x14ac:dyDescent="0.25">
      <c r="A790" s="8"/>
      <c r="B790" s="8"/>
      <c r="C790" s="8"/>
      <c r="D790" s="8"/>
      <c r="E790" s="10">
        <f>IFERROR(VLOOKUP(C790,'Inventory Master'!$A$3:$L$300,4,FALSE),0)</f>
      </c>
      <c r="F790" s="10">
        <f>D790*E790</f>
      </c>
    </row>
    <row r="791" ht="21" customHeight="1" spans="1:6" x14ac:dyDescent="0.25">
      <c r="A791" s="8"/>
      <c r="B791" s="8"/>
      <c r="C791" s="8"/>
      <c r="D791" s="8"/>
      <c r="E791" s="10">
        <f>IFERROR(VLOOKUP(C791,'Inventory Master'!$A$3:$L$300,4,FALSE),0)</f>
      </c>
      <c r="F791" s="10">
        <f>D791*E791</f>
      </c>
    </row>
    <row r="792" ht="21" customHeight="1" spans="1:6" x14ac:dyDescent="0.25">
      <c r="A792" s="8"/>
      <c r="B792" s="8"/>
      <c r="C792" s="8"/>
      <c r="D792" s="8"/>
      <c r="E792" s="10">
        <f>IFERROR(VLOOKUP(C792,'Inventory Master'!$A$3:$L$300,4,FALSE),0)</f>
      </c>
      <c r="F792" s="10">
        <f>D792*E792</f>
      </c>
    </row>
    <row r="793" ht="21" customHeight="1" spans="1:6" x14ac:dyDescent="0.25">
      <c r="A793" s="8"/>
      <c r="B793" s="8"/>
      <c r="C793" s="8"/>
      <c r="D793" s="8"/>
      <c r="E793" s="10">
        <f>IFERROR(VLOOKUP(C793,'Inventory Master'!$A$3:$L$300,4,FALSE),0)</f>
      </c>
      <c r="F793" s="10">
        <f>D793*E793</f>
      </c>
    </row>
    <row r="794" ht="21" customHeight="1" spans="1:6" x14ac:dyDescent="0.25">
      <c r="A794" s="8"/>
      <c r="B794" s="8"/>
      <c r="C794" s="8"/>
      <c r="D794" s="8"/>
      <c r="E794" s="10">
        <f>IFERROR(VLOOKUP(C794,'Inventory Master'!$A$3:$L$300,4,FALSE),0)</f>
      </c>
      <c r="F794" s="10">
        <f>D794*E794</f>
      </c>
    </row>
    <row r="795" ht="21" customHeight="1" spans="1:6" x14ac:dyDescent="0.25">
      <c r="A795" s="8"/>
      <c r="B795" s="8"/>
      <c r="C795" s="8"/>
      <c r="D795" s="8"/>
      <c r="E795" s="10">
        <f>IFERROR(VLOOKUP(C795,'Inventory Master'!$A$3:$L$300,4,FALSE),0)</f>
      </c>
      <c r="F795" s="10">
        <f>D795*E795</f>
      </c>
    </row>
    <row r="796" ht="21" customHeight="1" spans="1:6" x14ac:dyDescent="0.25">
      <c r="A796" s="8"/>
      <c r="B796" s="8"/>
      <c r="C796" s="8"/>
      <c r="D796" s="8"/>
      <c r="E796" s="10">
        <f>IFERROR(VLOOKUP(C796,'Inventory Master'!$A$3:$L$300,4,FALSE),0)</f>
      </c>
      <c r="F796" s="10">
        <f>D796*E796</f>
      </c>
    </row>
    <row r="797" ht="21" customHeight="1" spans="1:6" x14ac:dyDescent="0.25">
      <c r="A797" s="8"/>
      <c r="B797" s="8"/>
      <c r="C797" s="8"/>
      <c r="D797" s="8"/>
      <c r="E797" s="10">
        <f>IFERROR(VLOOKUP(C797,'Inventory Master'!$A$3:$L$300,4,FALSE),0)</f>
      </c>
      <c r="F797" s="10">
        <f>D797*E797</f>
      </c>
    </row>
    <row r="798" ht="21" customHeight="1" spans="1:6" x14ac:dyDescent="0.25">
      <c r="A798" s="8"/>
      <c r="B798" s="8"/>
      <c r="C798" s="8"/>
      <c r="D798" s="8"/>
      <c r="E798" s="10">
        <f>IFERROR(VLOOKUP(C798,'Inventory Master'!$A$3:$L$300,4,FALSE),0)</f>
      </c>
      <c r="F798" s="10">
        <f>D798*E798</f>
      </c>
    </row>
    <row r="799" ht="21" customHeight="1" spans="1:6" x14ac:dyDescent="0.25">
      <c r="A799" s="8"/>
      <c r="B799" s="8"/>
      <c r="C799" s="8"/>
      <c r="D799" s="8"/>
      <c r="E799" s="10">
        <f>IFERROR(VLOOKUP(C799,'Inventory Master'!$A$3:$L$300,4,FALSE),0)</f>
      </c>
      <c r="F799" s="10">
        <f>D799*E799</f>
      </c>
    </row>
    <row r="800" ht="21" customHeight="1" spans="1:6" x14ac:dyDescent="0.25">
      <c r="A800" s="8"/>
      <c r="B800" s="8"/>
      <c r="C800" s="8"/>
      <c r="D800" s="8"/>
      <c r="E800" s="10">
        <f>IFERROR(VLOOKUP(C800,'Inventory Master'!$A$3:$L$300,4,FALSE),0)</f>
      </c>
      <c r="F800" s="10">
        <f>D800*E800</f>
      </c>
    </row>
    <row r="801" ht="21" customHeight="1" spans="1:6" x14ac:dyDescent="0.25">
      <c r="A801" s="8"/>
      <c r="B801" s="8"/>
      <c r="C801" s="8"/>
      <c r="D801" s="8"/>
      <c r="E801" s="10">
        <f>IFERROR(VLOOKUP(C801,'Inventory Master'!$A$3:$L$300,4,FALSE),0)</f>
      </c>
      <c r="F801" s="10">
        <f>D801*E801</f>
      </c>
    </row>
    <row r="802" ht="21" customHeight="1" spans="1:6" x14ac:dyDescent="0.25">
      <c r="A802" s="8"/>
      <c r="B802" s="8"/>
      <c r="C802" s="8"/>
      <c r="D802" s="8"/>
      <c r="E802" s="10">
        <f>IFERROR(VLOOKUP(C802,'Inventory Master'!$A$3:$L$300,4,FALSE),0)</f>
      </c>
      <c r="F802" s="10">
        <f>D802*E802</f>
      </c>
    </row>
    <row r="803" ht="21" customHeight="1" spans="1:6" x14ac:dyDescent="0.25">
      <c r="A803" s="8"/>
      <c r="B803" s="8"/>
      <c r="C803" s="8"/>
      <c r="D803" s="8"/>
      <c r="E803" s="10">
        <f>IFERROR(VLOOKUP(C803,'Inventory Master'!$A$3:$L$300,4,FALSE),0)</f>
      </c>
      <c r="F803" s="10">
        <f>D803*E803</f>
      </c>
    </row>
    <row r="804" ht="21" customHeight="1" spans="1:6" x14ac:dyDescent="0.25">
      <c r="A804" s="8"/>
      <c r="B804" s="8"/>
      <c r="C804" s="8"/>
      <c r="D804" s="8"/>
      <c r="E804" s="10">
        <f>IFERROR(VLOOKUP(C804,'Inventory Master'!$A$3:$L$300,4,FALSE),0)</f>
      </c>
      <c r="F804" s="10">
        <f>D804*E804</f>
      </c>
    </row>
    <row r="805" ht="21" customHeight="1" spans="1:6" x14ac:dyDescent="0.25">
      <c r="A805" s="8"/>
      <c r="B805" s="8"/>
      <c r="C805" s="8"/>
      <c r="D805" s="8"/>
      <c r="E805" s="10">
        <f>IFERROR(VLOOKUP(C805,'Inventory Master'!$A$3:$L$300,4,FALSE),0)</f>
      </c>
      <c r="F805" s="10">
        <f>D805*E805</f>
      </c>
    </row>
    <row r="806" ht="21" customHeight="1" spans="1:6" x14ac:dyDescent="0.25">
      <c r="A806" s="8"/>
      <c r="B806" s="8"/>
      <c r="C806" s="8"/>
      <c r="D806" s="8"/>
      <c r="E806" s="10">
        <f>IFERROR(VLOOKUP(C806,'Inventory Master'!$A$3:$L$300,4,FALSE),0)</f>
      </c>
      <c r="F806" s="10">
        <f>D806*E806</f>
      </c>
    </row>
    <row r="807" ht="21" customHeight="1" spans="1:6" x14ac:dyDescent="0.25">
      <c r="A807" s="8"/>
      <c r="B807" s="8"/>
      <c r="C807" s="8"/>
      <c r="D807" s="8"/>
      <c r="E807" s="10">
        <f>IFERROR(VLOOKUP(C807,'Inventory Master'!$A$3:$L$300,4,FALSE),0)</f>
      </c>
      <c r="F807" s="10">
        <f>D807*E807</f>
      </c>
    </row>
    <row r="808" ht="21" customHeight="1" spans="1:6" x14ac:dyDescent="0.25">
      <c r="A808" s="8"/>
      <c r="B808" s="8"/>
      <c r="C808" s="8"/>
      <c r="D808" s="8"/>
      <c r="E808" s="10">
        <f>IFERROR(VLOOKUP(C808,'Inventory Master'!$A$3:$L$300,4,FALSE),0)</f>
      </c>
      <c r="F808" s="10">
        <f>D808*E808</f>
      </c>
    </row>
    <row r="809" ht="21" customHeight="1" spans="1:6" x14ac:dyDescent="0.25">
      <c r="A809" s="8"/>
      <c r="B809" s="8"/>
      <c r="C809" s="8"/>
      <c r="D809" s="8"/>
      <c r="E809" s="10">
        <f>IFERROR(VLOOKUP(C809,'Inventory Master'!$A$3:$L$300,4,FALSE),0)</f>
      </c>
      <c r="F809" s="10">
        <f>D809*E809</f>
      </c>
    </row>
    <row r="810" ht="21" customHeight="1" spans="1:6" x14ac:dyDescent="0.25">
      <c r="A810" s="8"/>
      <c r="B810" s="8"/>
      <c r="C810" s="8"/>
      <c r="D810" s="8"/>
      <c r="E810" s="10">
        <f>IFERROR(VLOOKUP(C810,'Inventory Master'!$A$3:$L$300,4,FALSE),0)</f>
      </c>
      <c r="F810" s="10">
        <f>D810*E810</f>
      </c>
    </row>
    <row r="811" ht="21" customHeight="1" spans="1:6" x14ac:dyDescent="0.25">
      <c r="A811" s="8"/>
      <c r="B811" s="8"/>
      <c r="C811" s="8"/>
      <c r="D811" s="8"/>
      <c r="E811" s="10">
        <f>IFERROR(VLOOKUP(C811,'Inventory Master'!$A$3:$L$300,4,FALSE),0)</f>
      </c>
      <c r="F811" s="10">
        <f>D811*E811</f>
      </c>
    </row>
    <row r="812" ht="21" customHeight="1" spans="1:6" x14ac:dyDescent="0.25">
      <c r="A812" s="8"/>
      <c r="B812" s="8"/>
      <c r="C812" s="8"/>
      <c r="D812" s="8"/>
      <c r="E812" s="10">
        <f>IFERROR(VLOOKUP(C812,'Inventory Master'!$A$3:$L$300,4,FALSE),0)</f>
      </c>
      <c r="F812" s="10">
        <f>D812*E812</f>
      </c>
    </row>
    <row r="813" ht="21" customHeight="1" spans="1:6" x14ac:dyDescent="0.25">
      <c r="A813" s="8"/>
      <c r="B813" s="8"/>
      <c r="C813" s="8"/>
      <c r="D813" s="8"/>
      <c r="E813" s="10">
        <f>IFERROR(VLOOKUP(C813,'Inventory Master'!$A$3:$L$300,4,FALSE),0)</f>
      </c>
      <c r="F813" s="10">
        <f>D813*E813</f>
      </c>
    </row>
    <row r="814" ht="21" customHeight="1" spans="1:6" x14ac:dyDescent="0.25">
      <c r="A814" s="8"/>
      <c r="B814" s="8"/>
      <c r="C814" s="8"/>
      <c r="D814" s="8"/>
      <c r="E814" s="10">
        <f>IFERROR(VLOOKUP(C814,'Inventory Master'!$A$3:$L$300,4,FALSE),0)</f>
      </c>
      <c r="F814" s="10">
        <f>D814*E814</f>
      </c>
    </row>
    <row r="815" ht="21" customHeight="1" spans="1:6" x14ac:dyDescent="0.25">
      <c r="A815" s="8"/>
      <c r="B815" s="8"/>
      <c r="C815" s="8"/>
      <c r="D815" s="8"/>
      <c r="E815" s="10">
        <f>IFERROR(VLOOKUP(C815,'Inventory Master'!$A$3:$L$300,4,FALSE),0)</f>
      </c>
      <c r="F815" s="10">
        <f>D815*E815</f>
      </c>
    </row>
    <row r="816" ht="21" customHeight="1" spans="1:6" x14ac:dyDescent="0.25">
      <c r="A816" s="8"/>
      <c r="B816" s="8"/>
      <c r="C816" s="8"/>
      <c r="D816" s="8"/>
      <c r="E816" s="10">
        <f>IFERROR(VLOOKUP(C816,'Inventory Master'!$A$3:$L$300,4,FALSE),0)</f>
      </c>
      <c r="F816" s="10">
        <f>D816*E816</f>
      </c>
    </row>
    <row r="817" ht="21" customHeight="1" spans="1:6" x14ac:dyDescent="0.25">
      <c r="A817" s="8"/>
      <c r="B817" s="8"/>
      <c r="C817" s="8"/>
      <c r="D817" s="8"/>
      <c r="E817" s="10">
        <f>IFERROR(VLOOKUP(C817,'Inventory Master'!$A$3:$L$300,4,FALSE),0)</f>
      </c>
      <c r="F817" s="10">
        <f>D817*E817</f>
      </c>
    </row>
    <row r="818" ht="21" customHeight="1" spans="1:6" x14ac:dyDescent="0.25">
      <c r="A818" s="8"/>
      <c r="B818" s="8"/>
      <c r="C818" s="8"/>
      <c r="D818" s="8"/>
      <c r="E818" s="10">
        <f>IFERROR(VLOOKUP(C818,'Inventory Master'!$A$3:$L$300,4,FALSE),0)</f>
      </c>
      <c r="F818" s="10">
        <f>D818*E818</f>
      </c>
    </row>
    <row r="819" ht="21" customHeight="1" spans="1:6" x14ac:dyDescent="0.25">
      <c r="A819" s="8"/>
      <c r="B819" s="8"/>
      <c r="C819" s="8"/>
      <c r="D819" s="8"/>
      <c r="E819" s="10">
        <f>IFERROR(VLOOKUP(C819,'Inventory Master'!$A$3:$L$300,4,FALSE),0)</f>
      </c>
      <c r="F819" s="10">
        <f>D819*E819</f>
      </c>
    </row>
    <row r="820" ht="21" customHeight="1" spans="1:6" x14ac:dyDescent="0.25">
      <c r="A820" s="8"/>
      <c r="B820" s="8"/>
      <c r="C820" s="8"/>
      <c r="D820" s="8"/>
      <c r="E820" s="10">
        <f>IFERROR(VLOOKUP(C820,'Inventory Master'!$A$3:$L$300,4,FALSE),0)</f>
      </c>
      <c r="F820" s="10">
        <f>D820*E820</f>
      </c>
    </row>
    <row r="821" ht="21" customHeight="1" spans="1:6" x14ac:dyDescent="0.25">
      <c r="A821" s="8"/>
      <c r="B821" s="8"/>
      <c r="C821" s="8"/>
      <c r="D821" s="8"/>
      <c r="E821" s="10">
        <f>IFERROR(VLOOKUP(C821,'Inventory Master'!$A$3:$L$300,4,FALSE),0)</f>
      </c>
      <c r="F821" s="10">
        <f>D821*E821</f>
      </c>
    </row>
    <row r="822" ht="21" customHeight="1" spans="1:6" x14ac:dyDescent="0.25">
      <c r="A822" s="8"/>
      <c r="B822" s="8"/>
      <c r="C822" s="8"/>
      <c r="D822" s="8"/>
      <c r="E822" s="10">
        <f>IFERROR(VLOOKUP(C822,'Inventory Master'!$A$3:$L$300,4,FALSE),0)</f>
      </c>
      <c r="F822" s="10">
        <f>D822*E822</f>
      </c>
    </row>
    <row r="823" ht="21" customHeight="1" spans="1:6" x14ac:dyDescent="0.25">
      <c r="A823" s="8"/>
      <c r="B823" s="8"/>
      <c r="C823" s="8"/>
      <c r="D823" s="8"/>
      <c r="E823" s="10">
        <f>IFERROR(VLOOKUP(C823,'Inventory Master'!$A$3:$L$300,4,FALSE),0)</f>
      </c>
      <c r="F823" s="10">
        <f>D823*E823</f>
      </c>
    </row>
    <row r="824" ht="21" customHeight="1" spans="1:6" x14ac:dyDescent="0.25">
      <c r="A824" s="8"/>
      <c r="B824" s="8"/>
      <c r="C824" s="8"/>
      <c r="D824" s="8"/>
      <c r="E824" s="10">
        <f>IFERROR(VLOOKUP(C824,'Inventory Master'!$A$3:$L$300,4,FALSE),0)</f>
      </c>
      <c r="F824" s="10">
        <f>D824*E824</f>
      </c>
    </row>
    <row r="825" ht="21" customHeight="1" spans="1:6" x14ac:dyDescent="0.25">
      <c r="A825" s="8"/>
      <c r="B825" s="8"/>
      <c r="C825" s="8"/>
      <c r="D825" s="8"/>
      <c r="E825" s="10">
        <f>IFERROR(VLOOKUP(C825,'Inventory Master'!$A$3:$L$300,4,FALSE),0)</f>
      </c>
      <c r="F825" s="10">
        <f>D825*E825</f>
      </c>
    </row>
    <row r="826" ht="21" customHeight="1" spans="1:6" x14ac:dyDescent="0.25">
      <c r="A826" s="8"/>
      <c r="B826" s="8"/>
      <c r="C826" s="8"/>
      <c r="D826" s="8"/>
      <c r="E826" s="10">
        <f>IFERROR(VLOOKUP(C826,'Inventory Master'!$A$3:$L$300,4,FALSE),0)</f>
      </c>
      <c r="F826" s="10">
        <f>D826*E826</f>
      </c>
    </row>
    <row r="827" ht="21" customHeight="1" spans="1:6" x14ac:dyDescent="0.25">
      <c r="A827" s="8"/>
      <c r="B827" s="8"/>
      <c r="C827" s="8"/>
      <c r="D827" s="8"/>
      <c r="E827" s="10">
        <f>IFERROR(VLOOKUP(C827,'Inventory Master'!$A$3:$L$300,4,FALSE),0)</f>
      </c>
      <c r="F827" s="10">
        <f>D827*E827</f>
      </c>
    </row>
    <row r="828" ht="21" customHeight="1" spans="1:6" x14ac:dyDescent="0.25">
      <c r="A828" s="8"/>
      <c r="B828" s="8"/>
      <c r="C828" s="8"/>
      <c r="D828" s="8"/>
      <c r="E828" s="10">
        <f>IFERROR(VLOOKUP(C828,'Inventory Master'!$A$3:$L$300,4,FALSE),0)</f>
      </c>
      <c r="F828" s="10">
        <f>D828*E828</f>
      </c>
    </row>
    <row r="829" ht="21" customHeight="1" spans="1:6" x14ac:dyDescent="0.25">
      <c r="A829" s="8"/>
      <c r="B829" s="8"/>
      <c r="C829" s="8"/>
      <c r="D829" s="8"/>
      <c r="E829" s="10">
        <f>IFERROR(VLOOKUP(C829,'Inventory Master'!$A$3:$L$300,4,FALSE),0)</f>
      </c>
      <c r="F829" s="10">
        <f>D829*E829</f>
      </c>
    </row>
    <row r="830" ht="21" customHeight="1" spans="1:6" x14ac:dyDescent="0.25">
      <c r="A830" s="8"/>
      <c r="B830" s="8"/>
      <c r="C830" s="8"/>
      <c r="D830" s="8"/>
      <c r="E830" s="10">
        <f>IFERROR(VLOOKUP(C830,'Inventory Master'!$A$3:$L$300,4,FALSE),0)</f>
      </c>
      <c r="F830" s="10">
        <f>D830*E830</f>
      </c>
    </row>
    <row r="831" ht="21" customHeight="1" spans="1:6" x14ac:dyDescent="0.25">
      <c r="A831" s="8"/>
      <c r="B831" s="8"/>
      <c r="C831" s="8"/>
      <c r="D831" s="8"/>
      <c r="E831" s="10">
        <f>IFERROR(VLOOKUP(C831,'Inventory Master'!$A$3:$L$300,4,FALSE),0)</f>
      </c>
      <c r="F831" s="10">
        <f>D831*E831</f>
      </c>
    </row>
    <row r="832" ht="21" customHeight="1" spans="1:6" x14ac:dyDescent="0.25">
      <c r="A832" s="8"/>
      <c r="B832" s="8"/>
      <c r="C832" s="8"/>
      <c r="D832" s="8"/>
      <c r="E832" s="10">
        <f>IFERROR(VLOOKUP(C832,'Inventory Master'!$A$3:$L$300,4,FALSE),0)</f>
      </c>
      <c r="F832" s="10">
        <f>D832*E832</f>
      </c>
    </row>
    <row r="833" ht="21" customHeight="1" spans="1:6" x14ac:dyDescent="0.25">
      <c r="A833" s="8"/>
      <c r="B833" s="8"/>
      <c r="C833" s="8"/>
      <c r="D833" s="8"/>
      <c r="E833" s="10">
        <f>IFERROR(VLOOKUP(C833,'Inventory Master'!$A$3:$L$300,4,FALSE),0)</f>
      </c>
      <c r="F833" s="10">
        <f>D833*E833</f>
      </c>
    </row>
    <row r="834" ht="21" customHeight="1" spans="1:6" x14ac:dyDescent="0.25">
      <c r="A834" s="8"/>
      <c r="B834" s="8"/>
      <c r="C834" s="8"/>
      <c r="D834" s="8"/>
      <c r="E834" s="10">
        <f>IFERROR(VLOOKUP(C834,'Inventory Master'!$A$3:$L$300,4,FALSE),0)</f>
      </c>
      <c r="F834" s="10">
        <f>D834*E834</f>
      </c>
    </row>
    <row r="835" ht="21" customHeight="1" spans="1:6" x14ac:dyDescent="0.25">
      <c r="A835" s="8"/>
      <c r="B835" s="8"/>
      <c r="C835" s="8"/>
      <c r="D835" s="8"/>
      <c r="E835" s="10">
        <f>IFERROR(VLOOKUP(C835,'Inventory Master'!$A$3:$L$300,4,FALSE),0)</f>
      </c>
      <c r="F835" s="10">
        <f>D835*E835</f>
      </c>
    </row>
    <row r="836" ht="21" customHeight="1" spans="1:6" x14ac:dyDescent="0.25">
      <c r="A836" s="8"/>
      <c r="B836" s="8"/>
      <c r="C836" s="8"/>
      <c r="D836" s="8"/>
      <c r="E836" s="10">
        <f>IFERROR(VLOOKUP(C836,'Inventory Master'!$A$3:$L$300,4,FALSE),0)</f>
      </c>
      <c r="F836" s="10">
        <f>D836*E836</f>
      </c>
    </row>
    <row r="837" ht="21" customHeight="1" spans="1:6" x14ac:dyDescent="0.25">
      <c r="A837" s="8"/>
      <c r="B837" s="8"/>
      <c r="C837" s="8"/>
      <c r="D837" s="8"/>
      <c r="E837" s="10">
        <f>IFERROR(VLOOKUP(C837,'Inventory Master'!$A$3:$L$300,4,FALSE),0)</f>
      </c>
      <c r="F837" s="10">
        <f>D837*E837</f>
      </c>
    </row>
    <row r="838" ht="21" customHeight="1" spans="1:6" x14ac:dyDescent="0.25">
      <c r="A838" s="8"/>
      <c r="B838" s="8"/>
      <c r="C838" s="8"/>
      <c r="D838" s="8"/>
      <c r="E838" s="10">
        <f>IFERROR(VLOOKUP(C838,'Inventory Master'!$A$3:$L$300,4,FALSE),0)</f>
      </c>
      <c r="F838" s="10">
        <f>D838*E838</f>
      </c>
    </row>
    <row r="839" ht="21" customHeight="1" spans="1:6" x14ac:dyDescent="0.25">
      <c r="A839" s="8"/>
      <c r="B839" s="8"/>
      <c r="C839" s="8"/>
      <c r="D839" s="8"/>
      <c r="E839" s="10">
        <f>IFERROR(VLOOKUP(C839,'Inventory Master'!$A$3:$L$300,4,FALSE),0)</f>
      </c>
      <c r="F839" s="10">
        <f>D839*E839</f>
      </c>
    </row>
    <row r="840" ht="21" customHeight="1" spans="1:6" x14ac:dyDescent="0.25">
      <c r="A840" s="8"/>
      <c r="B840" s="8"/>
      <c r="C840" s="8"/>
      <c r="D840" s="8"/>
      <c r="E840" s="10">
        <f>IFERROR(VLOOKUP(C840,'Inventory Master'!$A$3:$L$300,4,FALSE),0)</f>
      </c>
      <c r="F840" s="10">
        <f>D840*E840</f>
      </c>
    </row>
    <row r="841" ht="21" customHeight="1" spans="1:6" x14ac:dyDescent="0.25">
      <c r="A841" s="8"/>
      <c r="B841" s="8"/>
      <c r="C841" s="8"/>
      <c r="D841" s="8"/>
      <c r="E841" s="10">
        <f>IFERROR(VLOOKUP(C841,'Inventory Master'!$A$3:$L$300,4,FALSE),0)</f>
      </c>
      <c r="F841" s="10">
        <f>D841*E841</f>
      </c>
    </row>
    <row r="842" ht="21" customHeight="1" spans="1:6" x14ac:dyDescent="0.25">
      <c r="A842" s="8"/>
      <c r="B842" s="8"/>
      <c r="C842" s="8"/>
      <c r="D842" s="8"/>
      <c r="E842" s="10">
        <f>IFERROR(VLOOKUP(C842,'Inventory Master'!$A$3:$L$300,4,FALSE),0)</f>
      </c>
      <c r="F842" s="10">
        <f>D842*E842</f>
      </c>
    </row>
    <row r="843" ht="21" customHeight="1" spans="1:6" x14ac:dyDescent="0.25">
      <c r="A843" s="8"/>
      <c r="B843" s="8"/>
      <c r="C843" s="8"/>
      <c r="D843" s="8"/>
      <c r="E843" s="10">
        <f>IFERROR(VLOOKUP(C843,'Inventory Master'!$A$3:$L$300,4,FALSE),0)</f>
      </c>
      <c r="F843" s="10">
        <f>D843*E843</f>
      </c>
    </row>
    <row r="844" ht="21" customHeight="1" spans="1:6" x14ac:dyDescent="0.25">
      <c r="A844" s="8"/>
      <c r="B844" s="8"/>
      <c r="C844" s="8"/>
      <c r="D844" s="8"/>
      <c r="E844" s="10">
        <f>IFERROR(VLOOKUP(C844,'Inventory Master'!$A$3:$L$300,4,FALSE),0)</f>
      </c>
      <c r="F844" s="10">
        <f>D844*E844</f>
      </c>
    </row>
    <row r="845" ht="21" customHeight="1" spans="1:6" x14ac:dyDescent="0.25">
      <c r="A845" s="8"/>
      <c r="B845" s="8"/>
      <c r="C845" s="8"/>
      <c r="D845" s="8"/>
      <c r="E845" s="10">
        <f>IFERROR(VLOOKUP(C845,'Inventory Master'!$A$3:$L$300,4,FALSE),0)</f>
      </c>
      <c r="F845" s="10">
        <f>D845*E845</f>
      </c>
    </row>
    <row r="846" ht="21" customHeight="1" spans="1:6" x14ac:dyDescent="0.25">
      <c r="A846" s="8"/>
      <c r="B846" s="8"/>
      <c r="C846" s="8"/>
      <c r="D846" s="8"/>
      <c r="E846" s="10">
        <f>IFERROR(VLOOKUP(C846,'Inventory Master'!$A$3:$L$300,4,FALSE),0)</f>
      </c>
      <c r="F846" s="10">
        <f>D846*E846</f>
      </c>
    </row>
    <row r="847" ht="21" customHeight="1" spans="1:6" x14ac:dyDescent="0.25">
      <c r="A847" s="8"/>
      <c r="B847" s="8"/>
      <c r="C847" s="8"/>
      <c r="D847" s="8"/>
      <c r="E847" s="10">
        <f>IFERROR(VLOOKUP(C847,'Inventory Master'!$A$3:$L$300,4,FALSE),0)</f>
      </c>
      <c r="F847" s="10">
        <f>D847*E847</f>
      </c>
    </row>
    <row r="848" ht="21" customHeight="1" spans="1:6" x14ac:dyDescent="0.25">
      <c r="A848" s="8"/>
      <c r="B848" s="8"/>
      <c r="C848" s="8"/>
      <c r="D848" s="8"/>
      <c r="E848" s="10">
        <f>IFERROR(VLOOKUP(C848,'Inventory Master'!$A$3:$L$300,4,FALSE),0)</f>
      </c>
      <c r="F848" s="10">
        <f>D848*E848</f>
      </c>
    </row>
    <row r="849" ht="21" customHeight="1" spans="1:6" x14ac:dyDescent="0.25">
      <c r="A849" s="8"/>
      <c r="B849" s="8"/>
      <c r="C849" s="8"/>
      <c r="D849" s="8"/>
      <c r="E849" s="10">
        <f>IFERROR(VLOOKUP(C849,'Inventory Master'!$A$3:$L$300,4,FALSE),0)</f>
      </c>
      <c r="F849" s="10">
        <f>D849*E849</f>
      </c>
    </row>
    <row r="850" ht="21" customHeight="1" spans="1:6" x14ac:dyDescent="0.25">
      <c r="A850" s="8"/>
      <c r="B850" s="8"/>
      <c r="C850" s="8"/>
      <c r="D850" s="8"/>
      <c r="E850" s="10">
        <f>IFERROR(VLOOKUP(C850,'Inventory Master'!$A$3:$L$300,4,FALSE),0)</f>
      </c>
      <c r="F850" s="10">
        <f>D850*E850</f>
      </c>
    </row>
    <row r="851" ht="21" customHeight="1" spans="1:6" x14ac:dyDescent="0.25">
      <c r="A851" s="8"/>
      <c r="B851" s="8"/>
      <c r="C851" s="8"/>
      <c r="D851" s="8"/>
      <c r="E851" s="10">
        <f>IFERROR(VLOOKUP(C851,'Inventory Master'!$A$3:$L$300,4,FALSE),0)</f>
      </c>
      <c r="F851" s="10">
        <f>D851*E851</f>
      </c>
    </row>
    <row r="852" ht="21" customHeight="1" spans="1:6" x14ac:dyDescent="0.25">
      <c r="A852" s="8"/>
      <c r="B852" s="8"/>
      <c r="C852" s="8"/>
      <c r="D852" s="8"/>
      <c r="E852" s="10">
        <f>IFERROR(VLOOKUP(C852,'Inventory Master'!$A$3:$L$300,4,FALSE),0)</f>
      </c>
      <c r="F852" s="10">
        <f>D852*E852</f>
      </c>
    </row>
    <row r="853" ht="21" customHeight="1" spans="1:6" x14ac:dyDescent="0.25">
      <c r="A853" s="8"/>
      <c r="B853" s="8"/>
      <c r="C853" s="8"/>
      <c r="D853" s="8"/>
      <c r="E853" s="10">
        <f>IFERROR(VLOOKUP(C853,'Inventory Master'!$A$3:$L$300,4,FALSE),0)</f>
      </c>
      <c r="F853" s="10">
        <f>D853*E853</f>
      </c>
    </row>
    <row r="854" ht="21" customHeight="1" spans="1:6" x14ac:dyDescent="0.25">
      <c r="A854" s="8"/>
      <c r="B854" s="8"/>
      <c r="C854" s="8"/>
      <c r="D854" s="8"/>
      <c r="E854" s="10">
        <f>IFERROR(VLOOKUP(C854,'Inventory Master'!$A$3:$L$300,4,FALSE),0)</f>
      </c>
      <c r="F854" s="10">
        <f>D854*E854</f>
      </c>
    </row>
    <row r="855" ht="21" customHeight="1" spans="1:6" x14ac:dyDescent="0.25">
      <c r="A855" s="8"/>
      <c r="B855" s="8"/>
      <c r="C855" s="8"/>
      <c r="D855" s="8"/>
      <c r="E855" s="10">
        <f>IFERROR(VLOOKUP(C855,'Inventory Master'!$A$3:$L$300,4,FALSE),0)</f>
      </c>
      <c r="F855" s="10">
        <f>D855*E855</f>
      </c>
    </row>
    <row r="856" ht="21" customHeight="1" spans="1:6" x14ac:dyDescent="0.25">
      <c r="A856" s="8"/>
      <c r="B856" s="8"/>
      <c r="C856" s="8"/>
      <c r="D856" s="8"/>
      <c r="E856" s="10">
        <f>IFERROR(VLOOKUP(C856,'Inventory Master'!$A$3:$L$300,4,FALSE),0)</f>
      </c>
      <c r="F856" s="10">
        <f>D856*E856</f>
      </c>
    </row>
    <row r="857" ht="21" customHeight="1" spans="1:6" x14ac:dyDescent="0.25">
      <c r="A857" s="8"/>
      <c r="B857" s="8"/>
      <c r="C857" s="8"/>
      <c r="D857" s="8"/>
      <c r="E857" s="10">
        <f>IFERROR(VLOOKUP(C857,'Inventory Master'!$A$3:$L$300,4,FALSE),0)</f>
      </c>
      <c r="F857" s="10">
        <f>D857*E857</f>
      </c>
    </row>
    <row r="858" ht="21" customHeight="1" spans="1:6" x14ac:dyDescent="0.25">
      <c r="A858" s="8"/>
      <c r="B858" s="8"/>
      <c r="C858" s="8"/>
      <c r="D858" s="8"/>
      <c r="E858" s="10">
        <f>IFERROR(VLOOKUP(C858,'Inventory Master'!$A$3:$L$300,4,FALSE),0)</f>
      </c>
      <c r="F858" s="10">
        <f>D858*E858</f>
      </c>
    </row>
    <row r="859" ht="21" customHeight="1" spans="1:6" x14ac:dyDescent="0.25">
      <c r="A859" s="8"/>
      <c r="B859" s="8"/>
      <c r="C859" s="8"/>
      <c r="D859" s="8"/>
      <c r="E859" s="10">
        <f>IFERROR(VLOOKUP(C859,'Inventory Master'!$A$3:$L$300,4,FALSE),0)</f>
      </c>
      <c r="F859" s="10">
        <f>D859*E859</f>
      </c>
    </row>
    <row r="860" ht="21" customHeight="1" spans="1:6" x14ac:dyDescent="0.25">
      <c r="A860" s="8"/>
      <c r="B860" s="8"/>
      <c r="C860" s="8"/>
      <c r="D860" s="8"/>
      <c r="E860" s="10">
        <f>IFERROR(VLOOKUP(C860,'Inventory Master'!$A$3:$L$300,4,FALSE),0)</f>
      </c>
      <c r="F860" s="10">
        <f>D860*E860</f>
      </c>
    </row>
    <row r="861" ht="21" customHeight="1" spans="1:6" x14ac:dyDescent="0.25">
      <c r="A861" s="8"/>
      <c r="B861" s="8"/>
      <c r="C861" s="8"/>
      <c r="D861" s="8"/>
      <c r="E861" s="10">
        <f>IFERROR(VLOOKUP(C861,'Inventory Master'!$A$3:$L$300,4,FALSE),0)</f>
      </c>
      <c r="F861" s="10">
        <f>D861*E861</f>
      </c>
    </row>
    <row r="862" ht="21" customHeight="1" spans="1:6" x14ac:dyDescent="0.25">
      <c r="A862" s="8"/>
      <c r="B862" s="8"/>
      <c r="C862" s="8"/>
      <c r="D862" s="8"/>
      <c r="E862" s="10">
        <f>IFERROR(VLOOKUP(C862,'Inventory Master'!$A$3:$L$300,4,FALSE),0)</f>
      </c>
      <c r="F862" s="10">
        <f>D862*E862</f>
      </c>
    </row>
    <row r="863" ht="21" customHeight="1" spans="1:6" x14ac:dyDescent="0.25">
      <c r="A863" s="8"/>
      <c r="B863" s="8"/>
      <c r="C863" s="8"/>
      <c r="D863" s="8"/>
      <c r="E863" s="10">
        <f>IFERROR(VLOOKUP(C863,'Inventory Master'!$A$3:$L$300,4,FALSE),0)</f>
      </c>
      <c r="F863" s="10">
        <f>D863*E863</f>
      </c>
    </row>
    <row r="864" ht="21" customHeight="1" spans="1:6" x14ac:dyDescent="0.25">
      <c r="A864" s="8"/>
      <c r="B864" s="8"/>
      <c r="C864" s="8"/>
      <c r="D864" s="8"/>
      <c r="E864" s="10">
        <f>IFERROR(VLOOKUP(C864,'Inventory Master'!$A$3:$L$300,4,FALSE),0)</f>
      </c>
      <c r="F864" s="10">
        <f>D864*E864</f>
      </c>
    </row>
    <row r="865" ht="21" customHeight="1" spans="1:6" x14ac:dyDescent="0.25">
      <c r="A865" s="8"/>
      <c r="B865" s="8"/>
      <c r="C865" s="8"/>
      <c r="D865" s="8"/>
      <c r="E865" s="10">
        <f>IFERROR(VLOOKUP(C865,'Inventory Master'!$A$3:$L$300,4,FALSE),0)</f>
      </c>
      <c r="F865" s="10">
        <f>D865*E865</f>
      </c>
    </row>
    <row r="866" ht="21" customHeight="1" spans="1:6" x14ac:dyDescent="0.25">
      <c r="A866" s="8"/>
      <c r="B866" s="8"/>
      <c r="C866" s="8"/>
      <c r="D866" s="8"/>
      <c r="E866" s="10">
        <f>IFERROR(VLOOKUP(C866,'Inventory Master'!$A$3:$L$300,4,FALSE),0)</f>
      </c>
      <c r="F866" s="10">
        <f>D866*E866</f>
      </c>
    </row>
    <row r="867" ht="21" customHeight="1" spans="1:6" x14ac:dyDescent="0.25">
      <c r="A867" s="8"/>
      <c r="B867" s="8"/>
      <c r="C867" s="8"/>
      <c r="D867" s="8"/>
      <c r="E867" s="10">
        <f>IFERROR(VLOOKUP(C867,'Inventory Master'!$A$3:$L$300,4,FALSE),0)</f>
      </c>
      <c r="F867" s="10">
        <f>D867*E867</f>
      </c>
    </row>
    <row r="868" ht="21" customHeight="1" spans="1:6" x14ac:dyDescent="0.25">
      <c r="A868" s="8"/>
      <c r="B868" s="8"/>
      <c r="C868" s="8"/>
      <c r="D868" s="8"/>
      <c r="E868" s="10">
        <f>IFERROR(VLOOKUP(C868,'Inventory Master'!$A$3:$L$300,4,FALSE),0)</f>
      </c>
      <c r="F868" s="10">
        <f>D868*E868</f>
      </c>
    </row>
    <row r="869" ht="21" customHeight="1" spans="1:6" x14ac:dyDescent="0.25">
      <c r="A869" s="8"/>
      <c r="B869" s="8"/>
      <c r="C869" s="8"/>
      <c r="D869" s="8"/>
      <c r="E869" s="10">
        <f>IFERROR(VLOOKUP(C869,'Inventory Master'!$A$3:$L$300,4,FALSE),0)</f>
      </c>
      <c r="F869" s="10">
        <f>D869*E869</f>
      </c>
    </row>
    <row r="870" ht="21" customHeight="1" spans="1:6" x14ac:dyDescent="0.25">
      <c r="A870" s="8"/>
      <c r="B870" s="8"/>
      <c r="C870" s="8"/>
      <c r="D870" s="8"/>
      <c r="E870" s="10">
        <f>IFERROR(VLOOKUP(C870,'Inventory Master'!$A$3:$L$300,4,FALSE),0)</f>
      </c>
      <c r="F870" s="10">
        <f>D870*E870</f>
      </c>
    </row>
    <row r="871" ht="21" customHeight="1" spans="1:6" x14ac:dyDescent="0.25">
      <c r="A871" s="8"/>
      <c r="B871" s="8"/>
      <c r="C871" s="8"/>
      <c r="D871" s="8"/>
      <c r="E871" s="10">
        <f>IFERROR(VLOOKUP(C871,'Inventory Master'!$A$3:$L$300,4,FALSE),0)</f>
      </c>
      <c r="F871" s="10">
        <f>D871*E871</f>
      </c>
    </row>
    <row r="872" ht="21" customHeight="1" spans="1:6" x14ac:dyDescent="0.25">
      <c r="A872" s="8"/>
      <c r="B872" s="8"/>
      <c r="C872" s="8"/>
      <c r="D872" s="8"/>
      <c r="E872" s="10">
        <f>IFERROR(VLOOKUP(C872,'Inventory Master'!$A$3:$L$300,4,FALSE),0)</f>
      </c>
      <c r="F872" s="10">
        <f>D872*E872</f>
      </c>
    </row>
    <row r="873" ht="21" customHeight="1" spans="1:6" x14ac:dyDescent="0.25">
      <c r="A873" s="8"/>
      <c r="B873" s="8"/>
      <c r="C873" s="8"/>
      <c r="D873" s="8"/>
      <c r="E873" s="10">
        <f>IFERROR(VLOOKUP(C873,'Inventory Master'!$A$3:$L$300,4,FALSE),0)</f>
      </c>
      <c r="F873" s="10">
        <f>D873*E873</f>
      </c>
    </row>
    <row r="874" ht="21" customHeight="1" spans="1:6" x14ac:dyDescent="0.25">
      <c r="A874" s="8"/>
      <c r="B874" s="8"/>
      <c r="C874" s="8"/>
      <c r="D874" s="8"/>
      <c r="E874" s="10">
        <f>IFERROR(VLOOKUP(C874,'Inventory Master'!$A$3:$L$300,4,FALSE),0)</f>
      </c>
      <c r="F874" s="10">
        <f>D874*E874</f>
      </c>
    </row>
    <row r="875" ht="21" customHeight="1" spans="1:6" x14ac:dyDescent="0.25">
      <c r="A875" s="8"/>
      <c r="B875" s="8"/>
      <c r="C875" s="8"/>
      <c r="D875" s="8"/>
      <c r="E875" s="10">
        <f>IFERROR(VLOOKUP(C875,'Inventory Master'!$A$3:$L$300,4,FALSE),0)</f>
      </c>
      <c r="F875" s="10">
        <f>D875*E875</f>
      </c>
    </row>
    <row r="876" ht="21" customHeight="1" spans="1:6" x14ac:dyDescent="0.25">
      <c r="A876" s="8"/>
      <c r="B876" s="8"/>
      <c r="C876" s="8"/>
      <c r="D876" s="8"/>
      <c r="E876" s="10">
        <f>IFERROR(VLOOKUP(C876,'Inventory Master'!$A$3:$L$300,4,FALSE),0)</f>
      </c>
      <c r="F876" s="10">
        <f>D876*E876</f>
      </c>
    </row>
    <row r="877" ht="21" customHeight="1" spans="1:6" x14ac:dyDescent="0.25">
      <c r="A877" s="8"/>
      <c r="B877" s="8"/>
      <c r="C877" s="8"/>
      <c r="D877" s="8"/>
      <c r="E877" s="10">
        <f>IFERROR(VLOOKUP(C877,'Inventory Master'!$A$3:$L$300,4,FALSE),0)</f>
      </c>
      <c r="F877" s="10">
        <f>D877*E877</f>
      </c>
    </row>
    <row r="878" ht="21" customHeight="1" spans="1:6" x14ac:dyDescent="0.25">
      <c r="A878" s="8"/>
      <c r="B878" s="8"/>
      <c r="C878" s="8"/>
      <c r="D878" s="8"/>
      <c r="E878" s="10">
        <f>IFERROR(VLOOKUP(C878,'Inventory Master'!$A$3:$L$300,4,FALSE),0)</f>
      </c>
      <c r="F878" s="10">
        <f>D878*E878</f>
      </c>
    </row>
    <row r="879" ht="21" customHeight="1" spans="1:6" x14ac:dyDescent="0.25">
      <c r="A879" s="8"/>
      <c r="B879" s="8"/>
      <c r="C879" s="8"/>
      <c r="D879" s="8"/>
      <c r="E879" s="10">
        <f>IFERROR(VLOOKUP(C879,'Inventory Master'!$A$3:$L$300,4,FALSE),0)</f>
      </c>
      <c r="F879" s="10">
        <f>D879*E879</f>
      </c>
    </row>
    <row r="880" ht="21" customHeight="1" spans="1:6" x14ac:dyDescent="0.25">
      <c r="A880" s="8"/>
      <c r="B880" s="8"/>
      <c r="C880" s="8"/>
      <c r="D880" s="8"/>
      <c r="E880" s="10">
        <f>IFERROR(VLOOKUP(C880,'Inventory Master'!$A$3:$L$300,4,FALSE),0)</f>
      </c>
      <c r="F880" s="10">
        <f>D880*E880</f>
      </c>
    </row>
    <row r="881" ht="21" customHeight="1" spans="1:6" x14ac:dyDescent="0.25">
      <c r="A881" s="8"/>
      <c r="B881" s="8"/>
      <c r="C881" s="8"/>
      <c r="D881" s="8"/>
      <c r="E881" s="10">
        <f>IFERROR(VLOOKUP(C881,'Inventory Master'!$A$3:$L$300,4,FALSE),0)</f>
      </c>
      <c r="F881" s="10">
        <f>D881*E881</f>
      </c>
    </row>
    <row r="882" ht="21" customHeight="1" spans="1:6" x14ac:dyDescent="0.25">
      <c r="A882" s="8"/>
      <c r="B882" s="8"/>
      <c r="C882" s="8"/>
      <c r="D882" s="8"/>
      <c r="E882" s="10">
        <f>IFERROR(VLOOKUP(C882,'Inventory Master'!$A$3:$L$300,4,FALSE),0)</f>
      </c>
      <c r="F882" s="10">
        <f>D882*E882</f>
      </c>
    </row>
    <row r="883" ht="21" customHeight="1" spans="1:6" x14ac:dyDescent="0.25">
      <c r="A883" s="8"/>
      <c r="B883" s="8"/>
      <c r="C883" s="8"/>
      <c r="D883" s="8"/>
      <c r="E883" s="10">
        <f>IFERROR(VLOOKUP(C883,'Inventory Master'!$A$3:$L$300,4,FALSE),0)</f>
      </c>
      <c r="F883" s="10">
        <f>D883*E883</f>
      </c>
    </row>
    <row r="884" ht="21" customHeight="1" spans="1:6" x14ac:dyDescent="0.25">
      <c r="A884" s="8"/>
      <c r="B884" s="8"/>
      <c r="C884" s="8"/>
      <c r="D884" s="8"/>
      <c r="E884" s="10">
        <f>IFERROR(VLOOKUP(C884,'Inventory Master'!$A$3:$L$300,4,FALSE),0)</f>
      </c>
      <c r="F884" s="10">
        <f>D884*E884</f>
      </c>
    </row>
    <row r="885" ht="21" customHeight="1" spans="1:6" x14ac:dyDescent="0.25">
      <c r="A885" s="8"/>
      <c r="B885" s="8"/>
      <c r="C885" s="8"/>
      <c r="D885" s="8"/>
      <c r="E885" s="10">
        <f>IFERROR(VLOOKUP(C885,'Inventory Master'!$A$3:$L$300,4,FALSE),0)</f>
      </c>
      <c r="F885" s="10">
        <f>D885*E885</f>
      </c>
    </row>
    <row r="886" ht="21" customHeight="1" spans="1:6" x14ac:dyDescent="0.25">
      <c r="A886" s="8"/>
      <c r="B886" s="8"/>
      <c r="C886" s="8"/>
      <c r="D886" s="8"/>
      <c r="E886" s="10">
        <f>IFERROR(VLOOKUP(C886,'Inventory Master'!$A$3:$L$300,4,FALSE),0)</f>
      </c>
      <c r="F886" s="10">
        <f>D886*E886</f>
      </c>
    </row>
    <row r="887" ht="21" customHeight="1" spans="1:6" x14ac:dyDescent="0.25">
      <c r="A887" s="8"/>
      <c r="B887" s="8"/>
      <c r="C887" s="8"/>
      <c r="D887" s="8"/>
      <c r="E887" s="10">
        <f>IFERROR(VLOOKUP(C887,'Inventory Master'!$A$3:$L$300,4,FALSE),0)</f>
      </c>
      <c r="F887" s="10">
        <f>D887*E887</f>
      </c>
    </row>
    <row r="888" ht="21" customHeight="1" spans="1:6" x14ac:dyDescent="0.25">
      <c r="A888" s="8"/>
      <c r="B888" s="8"/>
      <c r="C888" s="8"/>
      <c r="D888" s="8"/>
      <c r="E888" s="10">
        <f>IFERROR(VLOOKUP(C888,'Inventory Master'!$A$3:$L$300,4,FALSE),0)</f>
      </c>
      <c r="F888" s="10">
        <f>D888*E888</f>
      </c>
    </row>
    <row r="889" ht="21" customHeight="1" spans="1:6" x14ac:dyDescent="0.25">
      <c r="A889" s="8"/>
      <c r="B889" s="8"/>
      <c r="C889" s="8"/>
      <c r="D889" s="8"/>
      <c r="E889" s="10">
        <f>IFERROR(VLOOKUP(C889,'Inventory Master'!$A$3:$L$300,4,FALSE),0)</f>
      </c>
      <c r="F889" s="10">
        <f>D889*E889</f>
      </c>
    </row>
    <row r="890" ht="21" customHeight="1" spans="1:6" x14ac:dyDescent="0.25">
      <c r="A890" s="8"/>
      <c r="B890" s="8"/>
      <c r="C890" s="8"/>
      <c r="D890" s="8"/>
      <c r="E890" s="10">
        <f>IFERROR(VLOOKUP(C890,'Inventory Master'!$A$3:$L$300,4,FALSE),0)</f>
      </c>
      <c r="F890" s="10">
        <f>D890*E890</f>
      </c>
    </row>
    <row r="891" ht="21" customHeight="1" spans="1:6" x14ac:dyDescent="0.25">
      <c r="A891" s="8"/>
      <c r="B891" s="8"/>
      <c r="C891" s="8"/>
      <c r="D891" s="8"/>
      <c r="E891" s="10">
        <f>IFERROR(VLOOKUP(C891,'Inventory Master'!$A$3:$L$300,4,FALSE),0)</f>
      </c>
      <c r="F891" s="10">
        <f>D891*E891</f>
      </c>
    </row>
    <row r="892" ht="21" customHeight="1" spans="1:6" x14ac:dyDescent="0.25">
      <c r="A892" s="8"/>
      <c r="B892" s="8"/>
      <c r="C892" s="8"/>
      <c r="D892" s="8"/>
      <c r="E892" s="10">
        <f>IFERROR(VLOOKUP(C892,'Inventory Master'!$A$3:$L$300,4,FALSE),0)</f>
      </c>
      <c r="F892" s="10">
        <f>D892*E892</f>
      </c>
    </row>
    <row r="893" ht="21" customHeight="1" spans="1:6" x14ac:dyDescent="0.25">
      <c r="A893" s="8"/>
      <c r="B893" s="8"/>
      <c r="C893" s="8"/>
      <c r="D893" s="8"/>
      <c r="E893" s="10">
        <f>IFERROR(VLOOKUP(C893,'Inventory Master'!$A$3:$L$300,4,FALSE),0)</f>
      </c>
      <c r="F893" s="10">
        <f>D893*E893</f>
      </c>
    </row>
    <row r="894" ht="21" customHeight="1" spans="1:6" x14ac:dyDescent="0.25">
      <c r="A894" s="8"/>
      <c r="B894" s="8"/>
      <c r="C894" s="8"/>
      <c r="D894" s="8"/>
      <c r="E894" s="10">
        <f>IFERROR(VLOOKUP(C894,'Inventory Master'!$A$3:$L$300,4,FALSE),0)</f>
      </c>
      <c r="F894" s="10">
        <f>D894*E894</f>
      </c>
    </row>
    <row r="895" ht="21" customHeight="1" spans="1:6" x14ac:dyDescent="0.25">
      <c r="A895" s="8"/>
      <c r="B895" s="8"/>
      <c r="C895" s="8"/>
      <c r="D895" s="8"/>
      <c r="E895" s="10">
        <f>IFERROR(VLOOKUP(C895,'Inventory Master'!$A$3:$L$300,4,FALSE),0)</f>
      </c>
      <c r="F895" s="10">
        <f>D895*E895</f>
      </c>
    </row>
    <row r="896" ht="21" customHeight="1" spans="1:6" x14ac:dyDescent="0.25">
      <c r="A896" s="8"/>
      <c r="B896" s="8"/>
      <c r="C896" s="8"/>
      <c r="D896" s="8"/>
      <c r="E896" s="10">
        <f>IFERROR(VLOOKUP(C896,'Inventory Master'!$A$3:$L$300,4,FALSE),0)</f>
      </c>
      <c r="F896" s="10">
        <f>D896*E896</f>
      </c>
    </row>
    <row r="897" ht="21" customHeight="1" spans="1:6" x14ac:dyDescent="0.25">
      <c r="A897" s="8"/>
      <c r="B897" s="8"/>
      <c r="C897" s="8"/>
      <c r="D897" s="8"/>
      <c r="E897" s="10">
        <f>IFERROR(VLOOKUP(C897,'Inventory Master'!$A$3:$L$300,4,FALSE),0)</f>
      </c>
      <c r="F897" s="10">
        <f>D897*E897</f>
      </c>
    </row>
    <row r="898" ht="21" customHeight="1" spans="1:6" x14ac:dyDescent="0.25">
      <c r="A898" s="8"/>
      <c r="B898" s="8"/>
      <c r="C898" s="8"/>
      <c r="D898" s="8"/>
      <c r="E898" s="10">
        <f>IFERROR(VLOOKUP(C898,'Inventory Master'!$A$3:$L$300,4,FALSE),0)</f>
      </c>
      <c r="F898" s="10">
        <f>D898*E898</f>
      </c>
    </row>
    <row r="899" ht="21" customHeight="1" spans="1:6" x14ac:dyDescent="0.25">
      <c r="A899" s="8"/>
      <c r="B899" s="8"/>
      <c r="C899" s="8"/>
      <c r="D899" s="8"/>
      <c r="E899" s="10">
        <f>IFERROR(VLOOKUP(C899,'Inventory Master'!$A$3:$L$300,4,FALSE),0)</f>
      </c>
      <c r="F899" s="10">
        <f>D899*E899</f>
      </c>
    </row>
    <row r="900" ht="21" customHeight="1" spans="1:6" x14ac:dyDescent="0.25">
      <c r="A900" s="8"/>
      <c r="B900" s="8"/>
      <c r="C900" s="8"/>
      <c r="D900" s="8"/>
      <c r="E900" s="10">
        <f>IFERROR(VLOOKUP(C900,'Inventory Master'!$A$3:$L$300,4,FALSE),0)</f>
      </c>
      <c r="F900" s="10">
        <f>D900*E900</f>
      </c>
    </row>
    <row r="901" ht="21" customHeight="1" spans="1:6" x14ac:dyDescent="0.25">
      <c r="A901" s="8"/>
      <c r="B901" s="8"/>
      <c r="C901" s="8"/>
      <c r="D901" s="8"/>
      <c r="E901" s="10">
        <f>IFERROR(VLOOKUP(C901,'Inventory Master'!$A$3:$L$300,4,FALSE),0)</f>
      </c>
      <c r="F901" s="10">
        <f>D901*E901</f>
      </c>
    </row>
    <row r="902" ht="21" customHeight="1" spans="1:6" x14ac:dyDescent="0.25">
      <c r="A902" s="8"/>
      <c r="B902" s="8"/>
      <c r="C902" s="8"/>
      <c r="D902" s="8"/>
      <c r="E902" s="10">
        <f>IFERROR(VLOOKUP(C902,'Inventory Master'!$A$3:$L$300,4,FALSE),0)</f>
      </c>
      <c r="F902" s="10">
        <f>D902*E902</f>
      </c>
    </row>
    <row r="903" ht="21" customHeight="1" spans="1:6" x14ac:dyDescent="0.25">
      <c r="A903" s="8"/>
      <c r="B903" s="8"/>
      <c r="C903" s="8"/>
      <c r="D903" s="8"/>
      <c r="E903" s="10">
        <f>IFERROR(VLOOKUP(C903,'Inventory Master'!$A$3:$L$300,4,FALSE),0)</f>
      </c>
      <c r="F903" s="10">
        <f>D903*E903</f>
      </c>
    </row>
    <row r="904" ht="21" customHeight="1" spans="1:6" x14ac:dyDescent="0.25">
      <c r="A904" s="8"/>
      <c r="B904" s="8"/>
      <c r="C904" s="8"/>
      <c r="D904" s="8"/>
      <c r="E904" s="10">
        <f>IFERROR(VLOOKUP(C904,'Inventory Master'!$A$3:$L$300,4,FALSE),0)</f>
      </c>
      <c r="F904" s="10">
        <f>D904*E904</f>
      </c>
    </row>
    <row r="905" ht="21" customHeight="1" spans="1:6" x14ac:dyDescent="0.25">
      <c r="A905" s="8"/>
      <c r="B905" s="8"/>
      <c r="C905" s="8"/>
      <c r="D905" s="8"/>
      <c r="E905" s="10">
        <f>IFERROR(VLOOKUP(C905,'Inventory Master'!$A$3:$L$300,4,FALSE),0)</f>
      </c>
      <c r="F905" s="10">
        <f>D905*E905</f>
      </c>
    </row>
    <row r="906" ht="21" customHeight="1" spans="1:6" x14ac:dyDescent="0.25">
      <c r="A906" s="8"/>
      <c r="B906" s="8"/>
      <c r="C906" s="8"/>
      <c r="D906" s="8"/>
      <c r="E906" s="10">
        <f>IFERROR(VLOOKUP(C906,'Inventory Master'!$A$3:$L$300,4,FALSE),0)</f>
      </c>
      <c r="F906" s="10">
        <f>D906*E906</f>
      </c>
    </row>
    <row r="907" ht="21" customHeight="1" spans="1:6" x14ac:dyDescent="0.25">
      <c r="A907" s="8"/>
      <c r="B907" s="8"/>
      <c r="C907" s="8"/>
      <c r="D907" s="8"/>
      <c r="E907" s="10">
        <f>IFERROR(VLOOKUP(C907,'Inventory Master'!$A$3:$L$300,4,FALSE),0)</f>
      </c>
      <c r="F907" s="10">
        <f>D907*E907</f>
      </c>
    </row>
    <row r="908" ht="21" customHeight="1" spans="1:6" x14ac:dyDescent="0.25">
      <c r="A908" s="8"/>
      <c r="B908" s="8"/>
      <c r="C908" s="8"/>
      <c r="D908" s="8"/>
      <c r="E908" s="10">
        <f>IFERROR(VLOOKUP(C908,'Inventory Master'!$A$3:$L$300,4,FALSE),0)</f>
      </c>
      <c r="F908" s="10">
        <f>D908*E908</f>
      </c>
    </row>
    <row r="909" ht="21" customHeight="1" spans="1:6" x14ac:dyDescent="0.25">
      <c r="A909" s="8"/>
      <c r="B909" s="8"/>
      <c r="C909" s="8"/>
      <c r="D909" s="8"/>
      <c r="E909" s="10">
        <f>IFERROR(VLOOKUP(C909,'Inventory Master'!$A$3:$L$300,4,FALSE),0)</f>
      </c>
      <c r="F909" s="10">
        <f>D909*E909</f>
      </c>
    </row>
    <row r="910" ht="21" customHeight="1" spans="1:6" x14ac:dyDescent="0.25">
      <c r="A910" s="8"/>
      <c r="B910" s="8"/>
      <c r="C910" s="8"/>
      <c r="D910" s="8"/>
      <c r="E910" s="10">
        <f>IFERROR(VLOOKUP(C910,'Inventory Master'!$A$3:$L$300,4,FALSE),0)</f>
      </c>
      <c r="F910" s="10">
        <f>D910*E910</f>
      </c>
    </row>
    <row r="911" ht="21" customHeight="1" spans="1:6" x14ac:dyDescent="0.25">
      <c r="A911" s="8"/>
      <c r="B911" s="8"/>
      <c r="C911" s="8"/>
      <c r="D911" s="8"/>
      <c r="E911" s="10">
        <f>IFERROR(VLOOKUP(C911,'Inventory Master'!$A$3:$L$300,4,FALSE),0)</f>
      </c>
      <c r="F911" s="10">
        <f>D911*E911</f>
      </c>
    </row>
    <row r="912" ht="21" customHeight="1" spans="1:6" x14ac:dyDescent="0.25">
      <c r="A912" s="8"/>
      <c r="B912" s="8"/>
      <c r="C912" s="8"/>
      <c r="D912" s="8"/>
      <c r="E912" s="10">
        <f>IFERROR(VLOOKUP(C912,'Inventory Master'!$A$3:$L$300,4,FALSE),0)</f>
      </c>
      <c r="F912" s="10">
        <f>D912*E912</f>
      </c>
    </row>
    <row r="913" ht="21" customHeight="1" spans="1:6" x14ac:dyDescent="0.25">
      <c r="A913" s="8"/>
      <c r="B913" s="8"/>
      <c r="C913" s="8"/>
      <c r="D913" s="8"/>
      <c r="E913" s="10">
        <f>IFERROR(VLOOKUP(C913,'Inventory Master'!$A$3:$L$300,4,FALSE),0)</f>
      </c>
      <c r="F913" s="10">
        <f>D913*E913</f>
      </c>
    </row>
    <row r="914" ht="21" customHeight="1" spans="1:6" x14ac:dyDescent="0.25">
      <c r="A914" s="8"/>
      <c r="B914" s="8"/>
      <c r="C914" s="8"/>
      <c r="D914" s="8"/>
      <c r="E914" s="10">
        <f>IFERROR(VLOOKUP(C914,'Inventory Master'!$A$3:$L$300,4,FALSE),0)</f>
      </c>
      <c r="F914" s="10">
        <f>D914*E914</f>
      </c>
    </row>
    <row r="915" ht="21" customHeight="1" spans="1:6" x14ac:dyDescent="0.25">
      <c r="A915" s="8"/>
      <c r="B915" s="8"/>
      <c r="C915" s="8"/>
      <c r="D915" s="8"/>
      <c r="E915" s="10">
        <f>IFERROR(VLOOKUP(C915,'Inventory Master'!$A$3:$L$300,4,FALSE),0)</f>
      </c>
      <c r="F915" s="10">
        <f>D915*E915</f>
      </c>
    </row>
    <row r="916" ht="21" customHeight="1" spans="1:6" x14ac:dyDescent="0.25">
      <c r="A916" s="8"/>
      <c r="B916" s="8"/>
      <c r="C916" s="8"/>
      <c r="D916" s="8"/>
      <c r="E916" s="10">
        <f>IFERROR(VLOOKUP(C916,'Inventory Master'!$A$3:$L$300,4,FALSE),0)</f>
      </c>
      <c r="F916" s="10">
        <f>D916*E916</f>
      </c>
    </row>
    <row r="917" ht="21" customHeight="1" spans="1:6" x14ac:dyDescent="0.25">
      <c r="A917" s="8"/>
      <c r="B917" s="8"/>
      <c r="C917" s="8"/>
      <c r="D917" s="8"/>
      <c r="E917" s="10">
        <f>IFERROR(VLOOKUP(C917,'Inventory Master'!$A$3:$L$300,4,FALSE),0)</f>
      </c>
      <c r="F917" s="10">
        <f>D917*E917</f>
      </c>
    </row>
    <row r="918" ht="21" customHeight="1" spans="1:6" x14ac:dyDescent="0.25">
      <c r="A918" s="8"/>
      <c r="B918" s="8"/>
      <c r="C918" s="8"/>
      <c r="D918" s="8"/>
      <c r="E918" s="10">
        <f>IFERROR(VLOOKUP(C918,'Inventory Master'!$A$3:$L$300,4,FALSE),0)</f>
      </c>
      <c r="F918" s="10">
        <f>D918*E918</f>
      </c>
    </row>
    <row r="919" ht="21" customHeight="1" spans="1:6" x14ac:dyDescent="0.25">
      <c r="A919" s="8"/>
      <c r="B919" s="8"/>
      <c r="C919" s="8"/>
      <c r="D919" s="8"/>
      <c r="E919" s="10">
        <f>IFERROR(VLOOKUP(C919,'Inventory Master'!$A$3:$L$300,4,FALSE),0)</f>
      </c>
      <c r="F919" s="10">
        <f>D919*E919</f>
      </c>
    </row>
    <row r="920" ht="21" customHeight="1" spans="1:6" x14ac:dyDescent="0.25">
      <c r="A920" s="8"/>
      <c r="B920" s="8"/>
      <c r="C920" s="8"/>
      <c r="D920" s="8"/>
      <c r="E920" s="10">
        <f>IFERROR(VLOOKUP(C920,'Inventory Master'!$A$3:$L$300,4,FALSE),0)</f>
      </c>
      <c r="F920" s="10">
        <f>D920*E920</f>
      </c>
    </row>
    <row r="921" ht="21" customHeight="1" spans="1:6" x14ac:dyDescent="0.25">
      <c r="A921" s="8"/>
      <c r="B921" s="8"/>
      <c r="C921" s="8"/>
      <c r="D921" s="8"/>
      <c r="E921" s="10">
        <f>IFERROR(VLOOKUP(C921,'Inventory Master'!$A$3:$L$300,4,FALSE),0)</f>
      </c>
      <c r="F921" s="10">
        <f>D921*E921</f>
      </c>
    </row>
    <row r="922" ht="21" customHeight="1" spans="1:6" x14ac:dyDescent="0.25">
      <c r="A922" s="8"/>
      <c r="B922" s="8"/>
      <c r="C922" s="8"/>
      <c r="D922" s="8"/>
      <c r="E922" s="10">
        <f>IFERROR(VLOOKUP(C922,'Inventory Master'!$A$3:$L$300,4,FALSE),0)</f>
      </c>
      <c r="F922" s="10">
        <f>D922*E922</f>
      </c>
    </row>
    <row r="923" ht="21" customHeight="1" spans="1:6" x14ac:dyDescent="0.25">
      <c r="A923" s="8"/>
      <c r="B923" s="8"/>
      <c r="C923" s="8"/>
      <c r="D923" s="8"/>
      <c r="E923" s="10">
        <f>IFERROR(VLOOKUP(C923,'Inventory Master'!$A$3:$L$300,4,FALSE),0)</f>
      </c>
      <c r="F923" s="10">
        <f>D923*E923</f>
      </c>
    </row>
    <row r="924" ht="21" customHeight="1" spans="1:6" x14ac:dyDescent="0.25">
      <c r="A924" s="8"/>
      <c r="B924" s="8"/>
      <c r="C924" s="8"/>
      <c r="D924" s="8"/>
      <c r="E924" s="10">
        <f>IFERROR(VLOOKUP(C924,'Inventory Master'!$A$3:$L$300,4,FALSE),0)</f>
      </c>
      <c r="F924" s="10">
        <f>D924*E924</f>
      </c>
    </row>
    <row r="925" ht="21" customHeight="1" spans="1:6" x14ac:dyDescent="0.25">
      <c r="A925" s="8"/>
      <c r="B925" s="8"/>
      <c r="C925" s="8"/>
      <c r="D925" s="8"/>
      <c r="E925" s="10">
        <f>IFERROR(VLOOKUP(C925,'Inventory Master'!$A$3:$L$300,4,FALSE),0)</f>
      </c>
      <c r="F925" s="10">
        <f>D925*E925</f>
      </c>
    </row>
    <row r="926" ht="21" customHeight="1" spans="1:6" x14ac:dyDescent="0.25">
      <c r="A926" s="8"/>
      <c r="B926" s="8"/>
      <c r="C926" s="8"/>
      <c r="D926" s="8"/>
      <c r="E926" s="10">
        <f>IFERROR(VLOOKUP(C926,'Inventory Master'!$A$3:$L$300,4,FALSE),0)</f>
      </c>
      <c r="F926" s="10">
        <f>D926*E926</f>
      </c>
    </row>
    <row r="927" ht="21" customHeight="1" spans="1:6" x14ac:dyDescent="0.25">
      <c r="A927" s="8"/>
      <c r="B927" s="8"/>
      <c r="C927" s="8"/>
      <c r="D927" s="8"/>
      <c r="E927" s="10">
        <f>IFERROR(VLOOKUP(C927,'Inventory Master'!$A$3:$L$300,4,FALSE),0)</f>
      </c>
      <c r="F927" s="10">
        <f>D927*E927</f>
      </c>
    </row>
    <row r="928" ht="21" customHeight="1" spans="1:6" x14ac:dyDescent="0.25">
      <c r="A928" s="8"/>
      <c r="B928" s="8"/>
      <c r="C928" s="8"/>
      <c r="D928" s="8"/>
      <c r="E928" s="10">
        <f>IFERROR(VLOOKUP(C928,'Inventory Master'!$A$3:$L$300,4,FALSE),0)</f>
      </c>
      <c r="F928" s="10">
        <f>D928*E928</f>
      </c>
    </row>
    <row r="929" ht="21" customHeight="1" spans="1:6" x14ac:dyDescent="0.25">
      <c r="A929" s="8"/>
      <c r="B929" s="8"/>
      <c r="C929" s="8"/>
      <c r="D929" s="8"/>
      <c r="E929" s="10">
        <f>IFERROR(VLOOKUP(C929,'Inventory Master'!$A$3:$L$300,4,FALSE),0)</f>
      </c>
      <c r="F929" s="10">
        <f>D929*E929</f>
      </c>
    </row>
    <row r="930" ht="21" customHeight="1" spans="1:6" x14ac:dyDescent="0.25">
      <c r="A930" s="8"/>
      <c r="B930" s="8"/>
      <c r="C930" s="8"/>
      <c r="D930" s="8"/>
      <c r="E930" s="10">
        <f>IFERROR(VLOOKUP(C930,'Inventory Master'!$A$3:$L$300,4,FALSE),0)</f>
      </c>
      <c r="F930" s="10">
        <f>D930*E930</f>
      </c>
    </row>
    <row r="931" ht="21" customHeight="1" spans="1:6" x14ac:dyDescent="0.25">
      <c r="A931" s="8"/>
      <c r="B931" s="8"/>
      <c r="C931" s="8"/>
      <c r="D931" s="8"/>
      <c r="E931" s="10">
        <f>IFERROR(VLOOKUP(C931,'Inventory Master'!$A$3:$L$300,4,FALSE),0)</f>
      </c>
      <c r="F931" s="10">
        <f>D931*E931</f>
      </c>
    </row>
    <row r="932" ht="21" customHeight="1" spans="1:6" x14ac:dyDescent="0.25">
      <c r="A932" s="8"/>
      <c r="B932" s="8"/>
      <c r="C932" s="8"/>
      <c r="D932" s="8"/>
      <c r="E932" s="10">
        <f>IFERROR(VLOOKUP(C932,'Inventory Master'!$A$3:$L$300,4,FALSE),0)</f>
      </c>
      <c r="F932" s="10">
        <f>D932*E932</f>
      </c>
    </row>
    <row r="933" ht="21" customHeight="1" spans="1:6" x14ac:dyDescent="0.25">
      <c r="A933" s="8"/>
      <c r="B933" s="8"/>
      <c r="C933" s="8"/>
      <c r="D933" s="8"/>
      <c r="E933" s="10">
        <f>IFERROR(VLOOKUP(C933,'Inventory Master'!$A$3:$L$300,4,FALSE),0)</f>
      </c>
      <c r="F933" s="10">
        <f>D933*E933</f>
      </c>
    </row>
    <row r="934" ht="21" customHeight="1" spans="1:6" x14ac:dyDescent="0.25">
      <c r="A934" s="8"/>
      <c r="B934" s="8"/>
      <c r="C934" s="8"/>
      <c r="D934" s="8"/>
      <c r="E934" s="10">
        <f>IFERROR(VLOOKUP(C934,'Inventory Master'!$A$3:$L$300,4,FALSE),0)</f>
      </c>
      <c r="F934" s="10">
        <f>D934*E934</f>
      </c>
    </row>
    <row r="935" ht="21" customHeight="1" spans="1:6" x14ac:dyDescent="0.25">
      <c r="A935" s="8"/>
      <c r="B935" s="8"/>
      <c r="C935" s="8"/>
      <c r="D935" s="8"/>
      <c r="E935" s="10">
        <f>IFERROR(VLOOKUP(C935,'Inventory Master'!$A$3:$L$300,4,FALSE),0)</f>
      </c>
      <c r="F935" s="10">
        <f>D935*E935</f>
      </c>
    </row>
    <row r="936" ht="21" customHeight="1" spans="1:6" x14ac:dyDescent="0.25">
      <c r="A936" s="8"/>
      <c r="B936" s="8"/>
      <c r="C936" s="8"/>
      <c r="D936" s="8"/>
      <c r="E936" s="10">
        <f>IFERROR(VLOOKUP(C936,'Inventory Master'!$A$3:$L$300,4,FALSE),0)</f>
      </c>
      <c r="F936" s="10">
        <f>D936*E936</f>
      </c>
    </row>
    <row r="937" ht="21" customHeight="1" spans="1:6" x14ac:dyDescent="0.25">
      <c r="A937" s="8"/>
      <c r="B937" s="8"/>
      <c r="C937" s="8"/>
      <c r="D937" s="8"/>
      <c r="E937" s="10">
        <f>IFERROR(VLOOKUP(C937,'Inventory Master'!$A$3:$L$300,4,FALSE),0)</f>
      </c>
      <c r="F937" s="10">
        <f>D937*E937</f>
      </c>
    </row>
    <row r="938" ht="21" customHeight="1" spans="1:6" x14ac:dyDescent="0.25">
      <c r="A938" s="8"/>
      <c r="B938" s="8"/>
      <c r="C938" s="8"/>
      <c r="D938" s="8"/>
      <c r="E938" s="10">
        <f>IFERROR(VLOOKUP(C938,'Inventory Master'!$A$3:$L$300,4,FALSE),0)</f>
      </c>
      <c r="F938" s="10">
        <f>D938*E938</f>
      </c>
    </row>
    <row r="939" ht="21" customHeight="1" spans="1:6" x14ac:dyDescent="0.25">
      <c r="A939" s="8"/>
      <c r="B939" s="8"/>
      <c r="C939" s="8"/>
      <c r="D939" s="8"/>
      <c r="E939" s="10">
        <f>IFERROR(VLOOKUP(C939,'Inventory Master'!$A$3:$L$300,4,FALSE),0)</f>
      </c>
      <c r="F939" s="10">
        <f>D939*E939</f>
      </c>
    </row>
    <row r="940" ht="21" customHeight="1" spans="1:6" x14ac:dyDescent="0.25">
      <c r="A940" s="8"/>
      <c r="B940" s="8"/>
      <c r="C940" s="8"/>
      <c r="D940" s="8"/>
      <c r="E940" s="10">
        <f>IFERROR(VLOOKUP(C940,'Inventory Master'!$A$3:$L$300,4,FALSE),0)</f>
      </c>
      <c r="F940" s="10">
        <f>D940*E940</f>
      </c>
    </row>
    <row r="941" ht="21" customHeight="1" spans="1:6" x14ac:dyDescent="0.25">
      <c r="A941" s="8"/>
      <c r="B941" s="8"/>
      <c r="C941" s="8"/>
      <c r="D941" s="8"/>
      <c r="E941" s="10">
        <f>IFERROR(VLOOKUP(C941,'Inventory Master'!$A$3:$L$300,4,FALSE),0)</f>
      </c>
      <c r="F941" s="10">
        <f>D941*E941</f>
      </c>
    </row>
    <row r="942" ht="21" customHeight="1" spans="1:6" x14ac:dyDescent="0.25">
      <c r="A942" s="8"/>
      <c r="B942" s="8"/>
      <c r="C942" s="8"/>
      <c r="D942" s="8"/>
      <c r="E942" s="10">
        <f>IFERROR(VLOOKUP(C942,'Inventory Master'!$A$3:$L$300,4,FALSE),0)</f>
      </c>
      <c r="F942" s="10">
        <f>D942*E942</f>
      </c>
    </row>
    <row r="943" ht="21" customHeight="1" spans="1:6" x14ac:dyDescent="0.25">
      <c r="A943" s="8"/>
      <c r="B943" s="8"/>
      <c r="C943" s="8"/>
      <c r="D943" s="8"/>
      <c r="E943" s="10">
        <f>IFERROR(VLOOKUP(C943,'Inventory Master'!$A$3:$L$300,4,FALSE),0)</f>
      </c>
      <c r="F943" s="10">
        <f>D943*E943</f>
      </c>
    </row>
    <row r="944" ht="21" customHeight="1" spans="1:6" x14ac:dyDescent="0.25">
      <c r="A944" s="8"/>
      <c r="B944" s="8"/>
      <c r="C944" s="8"/>
      <c r="D944" s="8"/>
      <c r="E944" s="10">
        <f>IFERROR(VLOOKUP(C944,'Inventory Master'!$A$3:$L$300,4,FALSE),0)</f>
      </c>
      <c r="F944" s="10">
        <f>D944*E944</f>
      </c>
    </row>
    <row r="945" ht="21" customHeight="1" spans="1:6" x14ac:dyDescent="0.25">
      <c r="A945" s="8"/>
      <c r="B945" s="8"/>
      <c r="C945" s="8"/>
      <c r="D945" s="8"/>
      <c r="E945" s="10">
        <f>IFERROR(VLOOKUP(C945,'Inventory Master'!$A$3:$L$300,4,FALSE),0)</f>
      </c>
      <c r="F945" s="10">
        <f>D945*E945</f>
      </c>
    </row>
    <row r="946" ht="21" customHeight="1" spans="1:6" x14ac:dyDescent="0.25">
      <c r="A946" s="8"/>
      <c r="B946" s="8"/>
      <c r="C946" s="8"/>
      <c r="D946" s="8"/>
      <c r="E946" s="10">
        <f>IFERROR(VLOOKUP(C946,'Inventory Master'!$A$3:$L$300,4,FALSE),0)</f>
      </c>
      <c r="F946" s="10">
        <f>D946*E946</f>
      </c>
    </row>
    <row r="947" ht="21" customHeight="1" spans="1:6" x14ac:dyDescent="0.25">
      <c r="A947" s="8"/>
      <c r="B947" s="8"/>
      <c r="C947" s="8"/>
      <c r="D947" s="8"/>
      <c r="E947" s="10">
        <f>IFERROR(VLOOKUP(C947,'Inventory Master'!$A$3:$L$300,4,FALSE),0)</f>
      </c>
      <c r="F947" s="10">
        <f>D947*E947</f>
      </c>
    </row>
    <row r="948" ht="21" customHeight="1" spans="1:6" x14ac:dyDescent="0.25">
      <c r="A948" s="8"/>
      <c r="B948" s="8"/>
      <c r="C948" s="8"/>
      <c r="D948" s="8"/>
      <c r="E948" s="10">
        <f>IFERROR(VLOOKUP(C948,'Inventory Master'!$A$3:$L$300,4,FALSE),0)</f>
      </c>
      <c r="F948" s="10">
        <f>D948*E948</f>
      </c>
    </row>
    <row r="949" ht="21" customHeight="1" spans="1:6" x14ac:dyDescent="0.25">
      <c r="A949" s="8"/>
      <c r="B949" s="8"/>
      <c r="C949" s="8"/>
      <c r="D949" s="8"/>
      <c r="E949" s="10">
        <f>IFERROR(VLOOKUP(C949,'Inventory Master'!$A$3:$L$300,4,FALSE),0)</f>
      </c>
      <c r="F949" s="10">
        <f>D949*E949</f>
      </c>
    </row>
    <row r="950" ht="21" customHeight="1" spans="1:6" x14ac:dyDescent="0.25">
      <c r="A950" s="8"/>
      <c r="B950" s="8"/>
      <c r="C950" s="8"/>
      <c r="D950" s="8"/>
      <c r="E950" s="10">
        <f>IFERROR(VLOOKUP(C950,'Inventory Master'!$A$3:$L$300,4,FALSE),0)</f>
      </c>
      <c r="F950" s="10">
        <f>D950*E950</f>
      </c>
    </row>
    <row r="951" ht="21" customHeight="1" spans="1:6" x14ac:dyDescent="0.25">
      <c r="A951" s="8"/>
      <c r="B951" s="8"/>
      <c r="C951" s="8"/>
      <c r="D951" s="8"/>
      <c r="E951" s="10">
        <f>IFERROR(VLOOKUP(C951,'Inventory Master'!$A$3:$L$300,4,FALSE),0)</f>
      </c>
      <c r="F951" s="10">
        <f>D951*E951</f>
      </c>
    </row>
    <row r="952" ht="21" customHeight="1" spans="1:6" x14ac:dyDescent="0.25">
      <c r="A952" s="8"/>
      <c r="B952" s="8"/>
      <c r="C952" s="8"/>
      <c r="D952" s="8"/>
      <c r="E952" s="10">
        <f>IFERROR(VLOOKUP(C952,'Inventory Master'!$A$3:$L$300,4,FALSE),0)</f>
      </c>
      <c r="F952" s="10">
        <f>D952*E952</f>
      </c>
    </row>
    <row r="953" ht="21" customHeight="1" spans="1:6" x14ac:dyDescent="0.25">
      <c r="A953" s="8"/>
      <c r="B953" s="8"/>
      <c r="C953" s="8"/>
      <c r="D953" s="8"/>
      <c r="E953" s="10">
        <f>IFERROR(VLOOKUP(C953,'Inventory Master'!$A$3:$L$300,4,FALSE),0)</f>
      </c>
      <c r="F953" s="10">
        <f>D953*E953</f>
      </c>
    </row>
    <row r="954" ht="21" customHeight="1" spans="1:6" x14ac:dyDescent="0.25">
      <c r="A954" s="8"/>
      <c r="B954" s="8"/>
      <c r="C954" s="8"/>
      <c r="D954" s="8"/>
      <c r="E954" s="10">
        <f>IFERROR(VLOOKUP(C954,'Inventory Master'!$A$3:$L$300,4,FALSE),0)</f>
      </c>
      <c r="F954" s="10">
        <f>D954*E954</f>
      </c>
    </row>
    <row r="955" ht="21" customHeight="1" spans="1:6" x14ac:dyDescent="0.25">
      <c r="A955" s="8"/>
      <c r="B955" s="8"/>
      <c r="C955" s="8"/>
      <c r="D955" s="8"/>
      <c r="E955" s="10">
        <f>IFERROR(VLOOKUP(C955,'Inventory Master'!$A$3:$L$300,4,FALSE),0)</f>
      </c>
      <c r="F955" s="10">
        <f>D955*E955</f>
      </c>
    </row>
    <row r="956" ht="21" customHeight="1" spans="1:6" x14ac:dyDescent="0.25">
      <c r="A956" s="8"/>
      <c r="B956" s="8"/>
      <c r="C956" s="8"/>
      <c r="D956" s="8"/>
      <c r="E956" s="10">
        <f>IFERROR(VLOOKUP(C956,'Inventory Master'!$A$3:$L$300,4,FALSE),0)</f>
      </c>
      <c r="F956" s="10">
        <f>D956*E956</f>
      </c>
    </row>
    <row r="957" ht="21" customHeight="1" spans="1:6" x14ac:dyDescent="0.25">
      <c r="A957" s="8"/>
      <c r="B957" s="8"/>
      <c r="C957" s="8"/>
      <c r="D957" s="8"/>
      <c r="E957" s="10">
        <f>IFERROR(VLOOKUP(C957,'Inventory Master'!$A$3:$L$300,4,FALSE),0)</f>
      </c>
      <c r="F957" s="10">
        <f>D957*E957</f>
      </c>
    </row>
    <row r="958" ht="21" customHeight="1" spans="1:6" x14ac:dyDescent="0.25">
      <c r="A958" s="8"/>
      <c r="B958" s="8"/>
      <c r="C958" s="8"/>
      <c r="D958" s="8"/>
      <c r="E958" s="10">
        <f>IFERROR(VLOOKUP(C958,'Inventory Master'!$A$3:$L$300,4,FALSE),0)</f>
      </c>
      <c r="F958" s="10">
        <f>D958*E958</f>
      </c>
    </row>
    <row r="959" ht="21" customHeight="1" spans="1:6" x14ac:dyDescent="0.25">
      <c r="A959" s="8"/>
      <c r="B959" s="8"/>
      <c r="C959" s="8"/>
      <c r="D959" s="8"/>
      <c r="E959" s="10">
        <f>IFERROR(VLOOKUP(C959,'Inventory Master'!$A$3:$L$300,4,FALSE),0)</f>
      </c>
      <c r="F959" s="10">
        <f>D959*E959</f>
      </c>
    </row>
    <row r="960" ht="21" customHeight="1" spans="1:6" x14ac:dyDescent="0.25">
      <c r="A960" s="8"/>
      <c r="B960" s="8"/>
      <c r="C960" s="8"/>
      <c r="D960" s="8"/>
      <c r="E960" s="10">
        <f>IFERROR(VLOOKUP(C960,'Inventory Master'!$A$3:$L$300,4,FALSE),0)</f>
      </c>
      <c r="F960" s="10">
        <f>D960*E960</f>
      </c>
    </row>
    <row r="961" ht="21" customHeight="1" spans="1:6" x14ac:dyDescent="0.25">
      <c r="A961" s="8"/>
      <c r="B961" s="8"/>
      <c r="C961" s="8"/>
      <c r="D961" s="8"/>
      <c r="E961" s="10">
        <f>IFERROR(VLOOKUP(C961,'Inventory Master'!$A$3:$L$300,4,FALSE),0)</f>
      </c>
      <c r="F961" s="10">
        <f>D961*E961</f>
      </c>
    </row>
    <row r="962" ht="21" customHeight="1" spans="1:6" x14ac:dyDescent="0.25">
      <c r="A962" s="8"/>
      <c r="B962" s="8"/>
      <c r="C962" s="8"/>
      <c r="D962" s="8"/>
      <c r="E962" s="10">
        <f>IFERROR(VLOOKUP(C962,'Inventory Master'!$A$3:$L$300,4,FALSE),0)</f>
      </c>
      <c r="F962" s="10">
        <f>D962*E962</f>
      </c>
    </row>
    <row r="963" ht="21" customHeight="1" spans="1:6" x14ac:dyDescent="0.25">
      <c r="A963" s="8"/>
      <c r="B963" s="8"/>
      <c r="C963" s="8"/>
      <c r="D963" s="8"/>
      <c r="E963" s="10">
        <f>IFERROR(VLOOKUP(C963,'Inventory Master'!$A$3:$L$300,4,FALSE),0)</f>
      </c>
      <c r="F963" s="10">
        <f>D963*E963</f>
      </c>
    </row>
    <row r="964" ht="21" customHeight="1" spans="1:6" x14ac:dyDescent="0.25">
      <c r="A964" s="8"/>
      <c r="B964" s="8"/>
      <c r="C964" s="8"/>
      <c r="D964" s="8"/>
      <c r="E964" s="10">
        <f>IFERROR(VLOOKUP(C964,'Inventory Master'!$A$3:$L$300,4,FALSE),0)</f>
      </c>
      <c r="F964" s="10">
        <f>D964*E964</f>
      </c>
    </row>
    <row r="965" ht="21" customHeight="1" spans="1:6" x14ac:dyDescent="0.25">
      <c r="A965" s="8"/>
      <c r="B965" s="8"/>
      <c r="C965" s="8"/>
      <c r="D965" s="8"/>
      <c r="E965" s="10">
        <f>IFERROR(VLOOKUP(C965,'Inventory Master'!$A$3:$L$300,4,FALSE),0)</f>
      </c>
      <c r="F965" s="10">
        <f>D965*E965</f>
      </c>
    </row>
    <row r="966" ht="21" customHeight="1" spans="1:6" x14ac:dyDescent="0.25">
      <c r="A966" s="8"/>
      <c r="B966" s="8"/>
      <c r="C966" s="8"/>
      <c r="D966" s="8"/>
      <c r="E966" s="10">
        <f>IFERROR(VLOOKUP(C966,'Inventory Master'!$A$3:$L$300,4,FALSE),0)</f>
      </c>
      <c r="F966" s="10">
        <f>D966*E966</f>
      </c>
    </row>
    <row r="967" ht="21" customHeight="1" spans="1:6" x14ac:dyDescent="0.25">
      <c r="A967" s="8"/>
      <c r="B967" s="8"/>
      <c r="C967" s="8"/>
      <c r="D967" s="8"/>
      <c r="E967" s="10">
        <f>IFERROR(VLOOKUP(C967,'Inventory Master'!$A$3:$L$300,4,FALSE),0)</f>
      </c>
      <c r="F967" s="10">
        <f>D967*E967</f>
      </c>
    </row>
    <row r="968" ht="21" customHeight="1" spans="1:6" x14ac:dyDescent="0.25">
      <c r="A968" s="8"/>
      <c r="B968" s="8"/>
      <c r="C968" s="8"/>
      <c r="D968" s="8"/>
      <c r="E968" s="10">
        <f>IFERROR(VLOOKUP(C968,'Inventory Master'!$A$3:$L$300,4,FALSE),0)</f>
      </c>
      <c r="F968" s="10">
        <f>D968*E968</f>
      </c>
    </row>
    <row r="969" ht="21" customHeight="1" spans="1:6" x14ac:dyDescent="0.25">
      <c r="A969" s="8"/>
      <c r="B969" s="8"/>
      <c r="C969" s="8"/>
      <c r="D969" s="8"/>
      <c r="E969" s="10">
        <f>IFERROR(VLOOKUP(C969,'Inventory Master'!$A$3:$L$300,4,FALSE),0)</f>
      </c>
      <c r="F969" s="10">
        <f>D969*E969</f>
      </c>
    </row>
    <row r="970" ht="21" customHeight="1" spans="1:6" x14ac:dyDescent="0.25">
      <c r="A970" s="8"/>
      <c r="B970" s="8"/>
      <c r="C970" s="8"/>
      <c r="D970" s="8"/>
      <c r="E970" s="10">
        <f>IFERROR(VLOOKUP(C970,'Inventory Master'!$A$3:$L$300,4,FALSE),0)</f>
      </c>
      <c r="F970" s="10">
        <f>D970*E970</f>
      </c>
    </row>
    <row r="971" ht="21" customHeight="1" spans="1:6" x14ac:dyDescent="0.25">
      <c r="A971" s="8"/>
      <c r="B971" s="8"/>
      <c r="C971" s="8"/>
      <c r="D971" s="8"/>
      <c r="E971" s="10">
        <f>IFERROR(VLOOKUP(C971,'Inventory Master'!$A$3:$L$300,4,FALSE),0)</f>
      </c>
      <c r="F971" s="10">
        <f>D971*E971</f>
      </c>
    </row>
    <row r="972" ht="21" customHeight="1" spans="1:6" x14ac:dyDescent="0.25">
      <c r="A972" s="8"/>
      <c r="B972" s="8"/>
      <c r="C972" s="8"/>
      <c r="D972" s="8"/>
      <c r="E972" s="10">
        <f>IFERROR(VLOOKUP(C972,'Inventory Master'!$A$3:$L$300,4,FALSE),0)</f>
      </c>
      <c r="F972" s="10">
        <f>D972*E972</f>
      </c>
    </row>
    <row r="973" ht="21" customHeight="1" spans="1:6" x14ac:dyDescent="0.25">
      <c r="A973" s="8"/>
      <c r="B973" s="8"/>
      <c r="C973" s="8"/>
      <c r="D973" s="8"/>
      <c r="E973" s="10">
        <f>IFERROR(VLOOKUP(C973,'Inventory Master'!$A$3:$L$300,4,FALSE),0)</f>
      </c>
      <c r="F973" s="10">
        <f>D973*E973</f>
      </c>
    </row>
    <row r="974" ht="21" customHeight="1" spans="1:6" x14ac:dyDescent="0.25">
      <c r="A974" s="8"/>
      <c r="B974" s="8"/>
      <c r="C974" s="8"/>
      <c r="D974" s="8"/>
      <c r="E974" s="10">
        <f>IFERROR(VLOOKUP(C974,'Inventory Master'!$A$3:$L$300,4,FALSE),0)</f>
      </c>
      <c r="F974" s="10">
        <f>D974*E974</f>
      </c>
    </row>
    <row r="975" ht="21" customHeight="1" spans="1:6" x14ac:dyDescent="0.25">
      <c r="A975" s="8"/>
      <c r="B975" s="8"/>
      <c r="C975" s="8"/>
      <c r="D975" s="8"/>
      <c r="E975" s="10">
        <f>IFERROR(VLOOKUP(C975,'Inventory Master'!$A$3:$L$300,4,FALSE),0)</f>
      </c>
      <c r="F975" s="10">
        <f>D975*E975</f>
      </c>
    </row>
    <row r="976" ht="21" customHeight="1" spans="1:6" x14ac:dyDescent="0.25">
      <c r="A976" s="8"/>
      <c r="B976" s="8"/>
      <c r="C976" s="8"/>
      <c r="D976" s="8"/>
      <c r="E976" s="10">
        <f>IFERROR(VLOOKUP(C976,'Inventory Master'!$A$3:$L$300,4,FALSE),0)</f>
      </c>
      <c r="F976" s="10">
        <f>D976*E976</f>
      </c>
    </row>
    <row r="977" ht="21" customHeight="1" spans="1:6" x14ac:dyDescent="0.25">
      <c r="A977" s="8"/>
      <c r="B977" s="8"/>
      <c r="C977" s="8"/>
      <c r="D977" s="8"/>
      <c r="E977" s="10">
        <f>IFERROR(VLOOKUP(C977,'Inventory Master'!$A$3:$L$300,4,FALSE),0)</f>
      </c>
      <c r="F977" s="10">
        <f>D977*E977</f>
      </c>
    </row>
    <row r="978" ht="21" customHeight="1" spans="1:6" x14ac:dyDescent="0.25">
      <c r="A978" s="8"/>
      <c r="B978" s="8"/>
      <c r="C978" s="8"/>
      <c r="D978" s="8"/>
      <c r="E978" s="10">
        <f>IFERROR(VLOOKUP(C978,'Inventory Master'!$A$3:$L$300,4,FALSE),0)</f>
      </c>
      <c r="F978" s="10">
        <f>D978*E978</f>
      </c>
    </row>
    <row r="979" ht="21" customHeight="1" spans="1:6" x14ac:dyDescent="0.25">
      <c r="A979" s="8"/>
      <c r="B979" s="8"/>
      <c r="C979" s="8"/>
      <c r="D979" s="8"/>
      <c r="E979" s="10">
        <f>IFERROR(VLOOKUP(C979,'Inventory Master'!$A$3:$L$300,4,FALSE),0)</f>
      </c>
      <c r="F979" s="10">
        <f>D979*E979</f>
      </c>
    </row>
    <row r="980" ht="21" customHeight="1" spans="1:6" x14ac:dyDescent="0.25">
      <c r="A980" s="8"/>
      <c r="B980" s="8"/>
      <c r="C980" s="8"/>
      <c r="D980" s="8"/>
      <c r="E980" s="10">
        <f>IFERROR(VLOOKUP(C980,'Inventory Master'!$A$3:$L$300,4,FALSE),0)</f>
      </c>
      <c r="F980" s="10">
        <f>D980*E980</f>
      </c>
    </row>
    <row r="981" ht="21" customHeight="1" spans="1:6" x14ac:dyDescent="0.25">
      <c r="A981" s="8"/>
      <c r="B981" s="8"/>
      <c r="C981" s="8"/>
      <c r="D981" s="8"/>
      <c r="E981" s="10">
        <f>IFERROR(VLOOKUP(C981,'Inventory Master'!$A$3:$L$300,4,FALSE),0)</f>
      </c>
      <c r="F981" s="10">
        <f>D981*E981</f>
      </c>
    </row>
    <row r="982" ht="21" customHeight="1" spans="1:6" x14ac:dyDescent="0.25">
      <c r="A982" s="8"/>
      <c r="B982" s="8"/>
      <c r="C982" s="8"/>
      <c r="D982" s="8"/>
      <c r="E982" s="10">
        <f>IFERROR(VLOOKUP(C982,'Inventory Master'!$A$3:$L$300,4,FALSE),0)</f>
      </c>
      <c r="F982" s="10">
        <f>D982*E982</f>
      </c>
    </row>
    <row r="983" ht="21" customHeight="1" spans="1:6" x14ac:dyDescent="0.25">
      <c r="A983" s="8"/>
      <c r="B983" s="8"/>
      <c r="C983" s="8"/>
      <c r="D983" s="8"/>
      <c r="E983" s="10">
        <f>IFERROR(VLOOKUP(C983,'Inventory Master'!$A$3:$L$300,4,FALSE),0)</f>
      </c>
      <c r="F983" s="10">
        <f>D983*E983</f>
      </c>
    </row>
    <row r="984" ht="21" customHeight="1" spans="1:6" x14ac:dyDescent="0.25">
      <c r="A984" s="8"/>
      <c r="B984" s="8"/>
      <c r="C984" s="8"/>
      <c r="D984" s="8"/>
      <c r="E984" s="10">
        <f>IFERROR(VLOOKUP(C984,'Inventory Master'!$A$3:$L$300,4,FALSE),0)</f>
      </c>
      <c r="F984" s="10">
        <f>D984*E984</f>
      </c>
    </row>
    <row r="985" ht="21" customHeight="1" spans="1:6" x14ac:dyDescent="0.25">
      <c r="A985" s="8"/>
      <c r="B985" s="8"/>
      <c r="C985" s="8"/>
      <c r="D985" s="8"/>
      <c r="E985" s="10">
        <f>IFERROR(VLOOKUP(C985,'Inventory Master'!$A$3:$L$300,4,FALSE),0)</f>
      </c>
      <c r="F985" s="10">
        <f>D985*E985</f>
      </c>
    </row>
    <row r="986" ht="21" customHeight="1" spans="1:6" x14ac:dyDescent="0.25">
      <c r="A986" s="8"/>
      <c r="B986" s="8"/>
      <c r="C986" s="8"/>
      <c r="D986" s="8"/>
      <c r="E986" s="10">
        <f>IFERROR(VLOOKUP(C986,'Inventory Master'!$A$3:$L$300,4,FALSE),0)</f>
      </c>
      <c r="F986" s="10">
        <f>D986*E986</f>
      </c>
    </row>
    <row r="987" ht="21" customHeight="1" spans="1:6" x14ac:dyDescent="0.25">
      <c r="A987" s="8"/>
      <c r="B987" s="8"/>
      <c r="C987" s="8"/>
      <c r="D987" s="8"/>
      <c r="E987" s="10">
        <f>IFERROR(VLOOKUP(C987,'Inventory Master'!$A$3:$L$300,4,FALSE),0)</f>
      </c>
      <c r="F987" s="10">
        <f>D987*E987</f>
      </c>
    </row>
    <row r="988" ht="21" customHeight="1" spans="1:6" x14ac:dyDescent="0.25">
      <c r="A988" s="8"/>
      <c r="B988" s="8"/>
      <c r="C988" s="8"/>
      <c r="D988" s="8"/>
      <c r="E988" s="10">
        <f>IFERROR(VLOOKUP(C988,'Inventory Master'!$A$3:$L$300,4,FALSE),0)</f>
      </c>
      <c r="F988" s="10">
        <f>D988*E988</f>
      </c>
    </row>
    <row r="989" ht="21" customHeight="1" spans="1:6" x14ac:dyDescent="0.25">
      <c r="A989" s="8"/>
      <c r="B989" s="8"/>
      <c r="C989" s="8"/>
      <c r="D989" s="8"/>
      <c r="E989" s="10">
        <f>IFERROR(VLOOKUP(C989,'Inventory Master'!$A$3:$L$300,4,FALSE),0)</f>
      </c>
      <c r="F989" s="10">
        <f>D989*E989</f>
      </c>
    </row>
    <row r="990" ht="21" customHeight="1" spans="1:6" x14ac:dyDescent="0.25">
      <c r="A990" s="8"/>
      <c r="B990" s="8"/>
      <c r="C990" s="8"/>
      <c r="D990" s="8"/>
      <c r="E990" s="10">
        <f>IFERROR(VLOOKUP(C990,'Inventory Master'!$A$3:$L$300,4,FALSE),0)</f>
      </c>
      <c r="F990" s="10">
        <f>D990*E990</f>
      </c>
    </row>
    <row r="991" ht="21" customHeight="1" spans="1:6" x14ac:dyDescent="0.25">
      <c r="A991" s="8"/>
      <c r="B991" s="8"/>
      <c r="C991" s="8"/>
      <c r="D991" s="8"/>
      <c r="E991" s="10">
        <f>IFERROR(VLOOKUP(C991,'Inventory Master'!$A$3:$L$300,4,FALSE),0)</f>
      </c>
      <c r="F991" s="10">
        <f>D991*E991</f>
      </c>
    </row>
    <row r="992" ht="21" customHeight="1" spans="1:6" x14ac:dyDescent="0.25">
      <c r="A992" s="8"/>
      <c r="B992" s="8"/>
      <c r="C992" s="8"/>
      <c r="D992" s="8"/>
      <c r="E992" s="10">
        <f>IFERROR(VLOOKUP(C992,'Inventory Master'!$A$3:$L$300,4,FALSE),0)</f>
      </c>
      <c r="F992" s="10">
        <f>D992*E992</f>
      </c>
    </row>
    <row r="993" ht="21" customHeight="1" spans="1:6" x14ac:dyDescent="0.25">
      <c r="A993" s="8"/>
      <c r="B993" s="8"/>
      <c r="C993" s="8"/>
      <c r="D993" s="8"/>
      <c r="E993" s="10">
        <f>IFERROR(VLOOKUP(C993,'Inventory Master'!$A$3:$L$300,4,FALSE),0)</f>
      </c>
      <c r="F993" s="10">
        <f>D993*E993</f>
      </c>
    </row>
    <row r="994" ht="21" customHeight="1" spans="1:6" x14ac:dyDescent="0.25">
      <c r="A994" s="8"/>
      <c r="B994" s="8"/>
      <c r="C994" s="8"/>
      <c r="D994" s="8"/>
      <c r="E994" s="10">
        <f>IFERROR(VLOOKUP(C994,'Inventory Master'!$A$3:$L$300,4,FALSE),0)</f>
      </c>
      <c r="F994" s="10">
        <f>D994*E994</f>
      </c>
    </row>
    <row r="995" ht="21" customHeight="1" spans="1:6" x14ac:dyDescent="0.25">
      <c r="A995" s="8"/>
      <c r="B995" s="8"/>
      <c r="C995" s="8"/>
      <c r="D995" s="8"/>
      <c r="E995" s="10">
        <f>IFERROR(VLOOKUP(C995,'Inventory Master'!$A$3:$L$300,4,FALSE),0)</f>
      </c>
      <c r="F995" s="10">
        <f>D995*E995</f>
      </c>
    </row>
    <row r="996" ht="21" customHeight="1" spans="1:6" x14ac:dyDescent="0.25">
      <c r="A996" s="8"/>
      <c r="B996" s="8"/>
      <c r="C996" s="8"/>
      <c r="D996" s="8"/>
      <c r="E996" s="10">
        <f>IFERROR(VLOOKUP(C996,'Inventory Master'!$A$3:$L$300,4,FALSE),0)</f>
      </c>
      <c r="F996" s="10">
        <f>D996*E996</f>
      </c>
    </row>
    <row r="997" ht="21" customHeight="1" spans="1:6" x14ac:dyDescent="0.25">
      <c r="A997" s="8"/>
      <c r="B997" s="8"/>
      <c r="C997" s="8"/>
      <c r="D997" s="8"/>
      <c r="E997" s="10">
        <f>IFERROR(VLOOKUP(C997,'Inventory Master'!$A$3:$L$300,4,FALSE),0)</f>
      </c>
      <c r="F997" s="10">
        <f>D997*E997</f>
      </c>
    </row>
    <row r="998" ht="21" customHeight="1" spans="1:6" x14ac:dyDescent="0.25">
      <c r="A998" s="8"/>
      <c r="B998" s="8"/>
      <c r="C998" s="8"/>
      <c r="D998" s="8"/>
      <c r="E998" s="10">
        <f>IFERROR(VLOOKUP(C998,'Inventory Master'!$A$3:$L$300,4,FALSE),0)</f>
      </c>
      <c r="F998" s="10">
        <f>D998*E998</f>
      </c>
    </row>
    <row r="999" ht="21" customHeight="1" spans="1:6" x14ac:dyDescent="0.25">
      <c r="A999" s="8"/>
      <c r="B999" s="8"/>
      <c r="C999" s="8"/>
      <c r="D999" s="8"/>
      <c r="E999" s="10">
        <f>IFERROR(VLOOKUP(C999,'Inventory Master'!$A$3:$L$300,4,FALSE),0)</f>
      </c>
      <c r="F999" s="10">
        <f>D999*E999</f>
      </c>
    </row>
    <row r="1000" ht="21" customHeight="1" spans="1:6" x14ac:dyDescent="0.25">
      <c r="A1000" s="8"/>
      <c r="B1000" s="8"/>
      <c r="C1000" s="8"/>
      <c r="D1000" s="8"/>
      <c r="E1000" s="10">
        <f>IFERROR(VLOOKUP(C1000,'Inventory Master'!$A$3:$L$300,4,FALSE),0)</f>
      </c>
      <c r="F1000" s="10">
        <f>D1000*E1000</f>
      </c>
    </row>
    <row r="1001" ht="21" customHeight="1" spans="1:6" x14ac:dyDescent="0.25">
      <c r="A1001" s="8"/>
      <c r="B1001" s="8"/>
      <c r="C1001" s="8"/>
      <c r="D1001" s="8"/>
      <c r="E1001" s="10">
        <f>IFERROR(VLOOKUP(C1001,'Inventory Master'!$A$3:$L$300,4,FALSE),0)</f>
      </c>
      <c r="F1001" s="10">
        <f>D1001*E1001</f>
      </c>
    </row>
    <row r="1002" ht="21" customHeight="1" spans="1:6" x14ac:dyDescent="0.25">
      <c r="A1002" s="8"/>
      <c r="B1002" s="8"/>
      <c r="C1002" s="8"/>
      <c r="D1002" s="8"/>
      <c r="E1002" s="10">
        <f>IFERROR(VLOOKUP(C1002,'Inventory Master'!$A$3:$L$300,4,FALSE),0)</f>
      </c>
      <c r="F1002" s="10">
        <f>D1002*E1002</f>
      </c>
    </row>
    <row r="1003" ht="21" customHeight="1" spans="1:6" x14ac:dyDescent="0.25">
      <c r="A1003" s="8"/>
      <c r="B1003" s="8"/>
      <c r="C1003" s="8"/>
      <c r="D1003" s="8"/>
      <c r="E1003" s="10">
        <f>IFERROR(VLOOKUP(C1003,'Inventory Master'!$A$3:$L$300,4,FALSE),0)</f>
      </c>
      <c r="F1003" s="10">
        <f>D1003*E1003</f>
      </c>
    </row>
    <row r="1004" ht="21" customHeight="1" spans="1:6" x14ac:dyDescent="0.25">
      <c r="A1004" s="8"/>
      <c r="B1004" s="8"/>
      <c r="C1004" s="8"/>
      <c r="D1004" s="8"/>
      <c r="E1004" s="10">
        <f>IFERROR(VLOOKUP(C1004,'Inventory Master'!$A$3:$L$300,4,FALSE),0)</f>
      </c>
      <c r="F1004" s="10">
        <f>D1004*E1004</f>
      </c>
    </row>
    <row r="1005" ht="21" customHeight="1" spans="1:6" x14ac:dyDescent="0.25">
      <c r="A1005" s="8"/>
      <c r="B1005" s="8"/>
      <c r="C1005" s="8"/>
      <c r="D1005" s="8"/>
      <c r="E1005" s="10">
        <f>IFERROR(VLOOKUP(C1005,'Inventory Master'!$A$3:$L$300,4,FALSE),0)</f>
      </c>
      <c r="F1005" s="10">
        <f>D1005*E1005</f>
      </c>
    </row>
    <row r="1006" ht="21" customHeight="1" spans="1:6" x14ac:dyDescent="0.25">
      <c r="A1006" s="8"/>
      <c r="B1006" s="8"/>
      <c r="C1006" s="8"/>
      <c r="D1006" s="8"/>
      <c r="E1006" s="10">
        <f>IFERROR(VLOOKUP(C1006,'Inventory Master'!$A$3:$L$300,4,FALSE),0)</f>
      </c>
      <c r="F1006" s="10">
        <f>D1006*E1006</f>
      </c>
    </row>
    <row r="1007" ht="21" customHeight="1" spans="1:6" x14ac:dyDescent="0.25">
      <c r="A1007" s="8"/>
      <c r="B1007" s="8"/>
      <c r="C1007" s="8"/>
      <c r="D1007" s="8"/>
      <c r="E1007" s="10">
        <f>IFERROR(VLOOKUP(C1007,'Inventory Master'!$A$3:$L$300,4,FALSE),0)</f>
      </c>
      <c r="F1007" s="10">
        <f>D1007*E1007</f>
      </c>
    </row>
    <row r="1008" ht="21" customHeight="1" spans="1:6" x14ac:dyDescent="0.25">
      <c r="A1008" s="8"/>
      <c r="B1008" s="8"/>
      <c r="C1008" s="8"/>
      <c r="D1008" s="8"/>
      <c r="E1008" s="10">
        <f>IFERROR(VLOOKUP(C1008,'Inventory Master'!$A$3:$L$300,4,FALSE),0)</f>
      </c>
      <c r="F1008" s="10">
        <f>D1008*E1008</f>
      </c>
    </row>
    <row r="1009" ht="21" customHeight="1" spans="1:6" x14ac:dyDescent="0.25">
      <c r="A1009" s="8"/>
      <c r="B1009" s="8"/>
      <c r="C1009" s="8"/>
      <c r="D1009" s="8"/>
      <c r="E1009" s="10">
        <f>IFERROR(VLOOKUP(C1009,'Inventory Master'!$A$3:$L$300,4,FALSE),0)</f>
      </c>
      <c r="F1009" s="10">
        <f>D1009*E1009</f>
      </c>
    </row>
    <row r="1010" ht="21" customHeight="1" spans="1:6" x14ac:dyDescent="0.25">
      <c r="A1010" s="8"/>
      <c r="B1010" s="8"/>
      <c r="C1010" s="8"/>
      <c r="D1010" s="8"/>
      <c r="E1010" s="10">
        <f>IFERROR(VLOOKUP(C1010,'Inventory Master'!$A$3:$L$300,4,FALSE),0)</f>
      </c>
      <c r="F1010" s="10">
        <f>D1010*E1010</f>
      </c>
    </row>
    <row r="1011" ht="21" customHeight="1" spans="1:6" x14ac:dyDescent="0.25">
      <c r="A1011" s="8"/>
      <c r="B1011" s="8"/>
      <c r="C1011" s="8"/>
      <c r="D1011" s="8"/>
      <c r="E1011" s="10">
        <f>IFERROR(VLOOKUP(C1011,'Inventory Master'!$A$3:$L$300,4,FALSE),0)</f>
      </c>
      <c r="F1011" s="10">
        <f>D1011*E1011</f>
      </c>
    </row>
    <row r="1012" ht="21" customHeight="1" spans="1:6" x14ac:dyDescent="0.25">
      <c r="A1012" s="8"/>
      <c r="B1012" s="8"/>
      <c r="C1012" s="8"/>
      <c r="D1012" s="8"/>
      <c r="E1012" s="10">
        <f>IFERROR(VLOOKUP(C1012,'Inventory Master'!$A$3:$L$300,4,FALSE),0)</f>
      </c>
      <c r="F1012" s="10">
        <f>D1012*E1012</f>
      </c>
    </row>
    <row r="1013" ht="21" customHeight="1" spans="1:6" x14ac:dyDescent="0.25">
      <c r="A1013" s="8"/>
      <c r="B1013" s="8"/>
      <c r="C1013" s="8"/>
      <c r="D1013" s="8"/>
      <c r="E1013" s="10">
        <f>IFERROR(VLOOKUP(C1013,'Inventory Master'!$A$3:$L$300,4,FALSE),0)</f>
      </c>
      <c r="F1013" s="10">
        <f>D1013*E1013</f>
      </c>
    </row>
    <row r="1014" ht="21" customHeight="1" spans="1:6" x14ac:dyDescent="0.25">
      <c r="A1014" s="8"/>
      <c r="B1014" s="8"/>
      <c r="C1014" s="8"/>
      <c r="D1014" s="8"/>
      <c r="E1014" s="10">
        <f>IFERROR(VLOOKUP(C1014,'Inventory Master'!$A$3:$L$300,4,FALSE),0)</f>
      </c>
      <c r="F1014" s="10">
        <f>D1014*E1014</f>
      </c>
    </row>
    <row r="1015" ht="21" customHeight="1" spans="1:6" x14ac:dyDescent="0.25">
      <c r="A1015" s="8"/>
      <c r="B1015" s="8"/>
      <c r="C1015" s="8"/>
      <c r="D1015" s="8"/>
      <c r="E1015" s="10">
        <f>IFERROR(VLOOKUP(C1015,'Inventory Master'!$A$3:$L$300,4,FALSE),0)</f>
      </c>
      <c r="F1015" s="10">
        <f>D1015*E1015</f>
      </c>
    </row>
    <row r="1016" ht="21" customHeight="1" spans="1:6" x14ac:dyDescent="0.25">
      <c r="A1016" s="8"/>
      <c r="B1016" s="8"/>
      <c r="C1016" s="8"/>
      <c r="D1016" s="8"/>
      <c r="E1016" s="10">
        <f>IFERROR(VLOOKUP(C1016,'Inventory Master'!$A$3:$L$300,4,FALSE),0)</f>
      </c>
      <c r="F1016" s="10">
        <f>D1016*E1016</f>
      </c>
    </row>
    <row r="1017" ht="21" customHeight="1" spans="1:6" x14ac:dyDescent="0.25">
      <c r="A1017" s="8"/>
      <c r="B1017" s="8"/>
      <c r="C1017" s="8"/>
      <c r="D1017" s="8"/>
      <c r="E1017" s="10">
        <f>IFERROR(VLOOKUP(C1017,'Inventory Master'!$A$3:$L$300,4,FALSE),0)</f>
      </c>
      <c r="F1017" s="10">
        <f>D1017*E1017</f>
      </c>
    </row>
    <row r="1018" ht="21" customHeight="1" spans="1:6" x14ac:dyDescent="0.25">
      <c r="A1018" s="8"/>
      <c r="B1018" s="8"/>
      <c r="C1018" s="8"/>
      <c r="D1018" s="8"/>
      <c r="E1018" s="10">
        <f>IFERROR(VLOOKUP(C1018,'Inventory Master'!$A$3:$L$300,4,FALSE),0)</f>
      </c>
      <c r="F1018" s="10">
        <f>D1018*E1018</f>
      </c>
    </row>
    <row r="1019" ht="21" customHeight="1" spans="1:6" x14ac:dyDescent="0.25">
      <c r="A1019" s="8"/>
      <c r="B1019" s="8"/>
      <c r="C1019" s="8"/>
      <c r="D1019" s="8"/>
      <c r="E1019" s="10">
        <f>IFERROR(VLOOKUP(C1019,'Inventory Master'!$A$3:$L$300,4,FALSE),0)</f>
      </c>
      <c r="F1019" s="10">
        <f>D1019*E1019</f>
      </c>
    </row>
    <row r="1020" ht="21" customHeight="1" spans="1:6" x14ac:dyDescent="0.25">
      <c r="A1020" s="8"/>
      <c r="B1020" s="8"/>
      <c r="C1020" s="8"/>
      <c r="D1020" s="8"/>
      <c r="E1020" s="10">
        <f>IFERROR(VLOOKUP(C1020,'Inventory Master'!$A$3:$L$300,4,FALSE),0)</f>
      </c>
      <c r="F1020" s="10">
        <f>D1020*E1020</f>
      </c>
    </row>
    <row r="1021" ht="21" customHeight="1" spans="1:6" x14ac:dyDescent="0.25">
      <c r="A1021" s="8"/>
      <c r="B1021" s="8"/>
      <c r="C1021" s="8"/>
      <c r="D1021" s="8"/>
      <c r="E1021" s="10">
        <f>IFERROR(VLOOKUP(C1021,'Inventory Master'!$A$3:$L$300,4,FALSE),0)</f>
      </c>
      <c r="F1021" s="10">
        <f>D1021*E1021</f>
      </c>
    </row>
    <row r="1022" ht="21" customHeight="1" spans="1:6" x14ac:dyDescent="0.25">
      <c r="A1022" s="8"/>
      <c r="B1022" s="8"/>
      <c r="C1022" s="8"/>
      <c r="D1022" s="8"/>
      <c r="E1022" s="10">
        <f>IFERROR(VLOOKUP(C1022,'Inventory Master'!$A$3:$L$300,4,FALSE),0)</f>
      </c>
      <c r="F1022" s="10">
        <f>D1022*E1022</f>
      </c>
    </row>
    <row r="1023" ht="21" customHeight="1" spans="1:6" x14ac:dyDescent="0.25">
      <c r="A1023" s="8"/>
      <c r="B1023" s="8"/>
      <c r="C1023" s="8"/>
      <c r="D1023" s="8"/>
      <c r="E1023" s="10">
        <f>IFERROR(VLOOKUP(C1023,'Inventory Master'!$A$3:$L$300,4,FALSE),0)</f>
      </c>
      <c r="F1023" s="10">
        <f>D1023*E1023</f>
      </c>
    </row>
    <row r="1024" ht="21" customHeight="1" spans="1:6" x14ac:dyDescent="0.25">
      <c r="A1024" s="8"/>
      <c r="B1024" s="8"/>
      <c r="C1024" s="8"/>
      <c r="D1024" s="8"/>
      <c r="E1024" s="10">
        <f>IFERROR(VLOOKUP(C1024,'Inventory Master'!$A$3:$L$300,4,FALSE),0)</f>
      </c>
      <c r="F1024" s="10">
        <f>D1024*E1024</f>
      </c>
    </row>
    <row r="1025" ht="21" customHeight="1" spans="1:6" x14ac:dyDescent="0.25">
      <c r="A1025" s="8"/>
      <c r="B1025" s="8"/>
      <c r="C1025" s="8"/>
      <c r="D1025" s="8"/>
      <c r="E1025" s="10">
        <f>IFERROR(VLOOKUP(C1025,'Inventory Master'!$A$3:$L$300,4,FALSE),0)</f>
      </c>
      <c r="F1025" s="10">
        <f>D1025*E1025</f>
      </c>
    </row>
    <row r="1026" ht="21" customHeight="1" spans="1:6" x14ac:dyDescent="0.25">
      <c r="A1026" s="8"/>
      <c r="B1026" s="8"/>
      <c r="C1026" s="8"/>
      <c r="D1026" s="8"/>
      <c r="E1026" s="10">
        <f>IFERROR(VLOOKUP(C1026,'Inventory Master'!$A$3:$L$300,4,FALSE),0)</f>
      </c>
      <c r="F1026" s="10">
        <f>D1026*E1026</f>
      </c>
    </row>
    <row r="1027" ht="21" customHeight="1" spans="1:6" x14ac:dyDescent="0.25">
      <c r="A1027" s="8"/>
      <c r="B1027" s="8"/>
      <c r="C1027" s="8"/>
      <c r="D1027" s="8"/>
      <c r="E1027" s="10">
        <f>IFERROR(VLOOKUP(C1027,'Inventory Master'!$A$3:$L$300,4,FALSE),0)</f>
      </c>
      <c r="F1027" s="10">
        <f>D1027*E1027</f>
      </c>
    </row>
    <row r="1028" ht="21" customHeight="1" spans="1:6" x14ac:dyDescent="0.25">
      <c r="A1028" s="8"/>
      <c r="B1028" s="8"/>
      <c r="C1028" s="8"/>
      <c r="D1028" s="8"/>
      <c r="E1028" s="10">
        <f>IFERROR(VLOOKUP(C1028,'Inventory Master'!$A$3:$L$300,4,FALSE),0)</f>
      </c>
      <c r="F1028" s="10">
        <f>D1028*E1028</f>
      </c>
    </row>
    <row r="1029" ht="21" customHeight="1" spans="1:6" x14ac:dyDescent="0.25">
      <c r="A1029" s="8"/>
      <c r="B1029" s="8"/>
      <c r="C1029" s="8"/>
      <c r="D1029" s="8"/>
      <c r="E1029" s="10">
        <f>IFERROR(VLOOKUP(C1029,'Inventory Master'!$A$3:$L$300,4,FALSE),0)</f>
      </c>
      <c r="F1029" s="10">
        <f>D1029*E1029</f>
      </c>
    </row>
    <row r="1030" ht="21" customHeight="1" spans="1:6" x14ac:dyDescent="0.25">
      <c r="A1030" s="8"/>
      <c r="B1030" s="8"/>
      <c r="C1030" s="8"/>
      <c r="D1030" s="8"/>
      <c r="E1030" s="10">
        <f>IFERROR(VLOOKUP(C1030,'Inventory Master'!$A$3:$L$300,4,FALSE),0)</f>
      </c>
      <c r="F1030" s="10">
        <f>D1030*E1030</f>
      </c>
    </row>
    <row r="1031" ht="21" customHeight="1" spans="1:6" x14ac:dyDescent="0.25">
      <c r="A1031" s="8"/>
      <c r="B1031" s="8"/>
      <c r="C1031" s="8"/>
      <c r="D1031" s="8"/>
      <c r="E1031" s="10">
        <f>IFERROR(VLOOKUP(C1031,'Inventory Master'!$A$3:$L$300,4,FALSE),0)</f>
      </c>
      <c r="F1031" s="10">
        <f>D1031*E1031</f>
      </c>
    </row>
    <row r="1032" ht="21" customHeight="1" spans="1:6" x14ac:dyDescent="0.25">
      <c r="A1032" s="8"/>
      <c r="B1032" s="8"/>
      <c r="C1032" s="8"/>
      <c r="D1032" s="8"/>
      <c r="E1032" s="10">
        <f>IFERROR(VLOOKUP(C1032,'Inventory Master'!$A$3:$L$300,4,FALSE),0)</f>
      </c>
      <c r="F1032" s="10">
        <f>D1032*E1032</f>
      </c>
    </row>
    <row r="1033" ht="21" customHeight="1" spans="1:6" x14ac:dyDescent="0.25">
      <c r="A1033" s="8"/>
      <c r="B1033" s="8"/>
      <c r="C1033" s="8"/>
      <c r="D1033" s="8"/>
      <c r="E1033" s="10">
        <f>IFERROR(VLOOKUP(C1033,'Inventory Master'!$A$3:$L$300,4,FALSE),0)</f>
      </c>
      <c r="F1033" s="10">
        <f>D1033*E1033</f>
      </c>
    </row>
    <row r="1034" ht="21" customHeight="1" spans="1:6" x14ac:dyDescent="0.25">
      <c r="A1034" s="8"/>
      <c r="B1034" s="8"/>
      <c r="C1034" s="8"/>
      <c r="D1034" s="8"/>
      <c r="E1034" s="10">
        <f>IFERROR(VLOOKUP(C1034,'Inventory Master'!$A$3:$L$300,4,FALSE),0)</f>
      </c>
      <c r="F1034" s="10">
        <f>D1034*E1034</f>
      </c>
    </row>
    <row r="1035" ht="21" customHeight="1" spans="1:6" x14ac:dyDescent="0.25">
      <c r="A1035" s="8"/>
      <c r="B1035" s="8"/>
      <c r="C1035" s="8"/>
      <c r="D1035" s="8"/>
      <c r="E1035" s="10">
        <f>IFERROR(VLOOKUP(C1035,'Inventory Master'!$A$3:$L$300,4,FALSE),0)</f>
      </c>
      <c r="F1035" s="10">
        <f>D1035*E1035</f>
      </c>
    </row>
    <row r="1036" ht="21" customHeight="1" spans="1:6" x14ac:dyDescent="0.25">
      <c r="A1036" s="8"/>
      <c r="B1036" s="8"/>
      <c r="C1036" s="8"/>
      <c r="D1036" s="8"/>
      <c r="E1036" s="10">
        <f>IFERROR(VLOOKUP(C1036,'Inventory Master'!$A$3:$L$300,4,FALSE),0)</f>
      </c>
      <c r="F1036" s="10">
        <f>D1036*E1036</f>
      </c>
    </row>
    <row r="1037" ht="21" customHeight="1" spans="1:6" x14ac:dyDescent="0.25">
      <c r="A1037" s="8"/>
      <c r="B1037" s="8"/>
      <c r="C1037" s="8"/>
      <c r="D1037" s="8"/>
      <c r="E1037" s="10">
        <f>IFERROR(VLOOKUP(C1037,'Inventory Master'!$A$3:$L$300,4,FALSE),0)</f>
      </c>
      <c r="F1037" s="10">
        <f>D1037*E1037</f>
      </c>
    </row>
    <row r="1038" ht="21" customHeight="1" spans="1:6" x14ac:dyDescent="0.25">
      <c r="A1038" s="8"/>
      <c r="B1038" s="8"/>
      <c r="C1038" s="8"/>
      <c r="D1038" s="8"/>
      <c r="E1038" s="10">
        <f>IFERROR(VLOOKUP(C1038,'Inventory Master'!$A$3:$L$300,4,FALSE),0)</f>
      </c>
      <c r="F1038" s="10">
        <f>D1038*E1038</f>
      </c>
    </row>
    <row r="1039" ht="21" customHeight="1" spans="1:6" x14ac:dyDescent="0.25">
      <c r="A1039" s="8"/>
      <c r="B1039" s="8"/>
      <c r="C1039" s="8"/>
      <c r="D1039" s="8"/>
      <c r="E1039" s="10">
        <f>IFERROR(VLOOKUP(C1039,'Inventory Master'!$A$3:$L$300,4,FALSE),0)</f>
      </c>
      <c r="F1039" s="10">
        <f>D1039*E1039</f>
      </c>
    </row>
    <row r="1040" ht="21" customHeight="1" spans="1:6" x14ac:dyDescent="0.25">
      <c r="A1040" s="8"/>
      <c r="B1040" s="8"/>
      <c r="C1040" s="8"/>
      <c r="D1040" s="8"/>
      <c r="E1040" s="10">
        <f>IFERROR(VLOOKUP(C1040,'Inventory Master'!$A$3:$L$300,4,FALSE),0)</f>
      </c>
      <c r="F1040" s="10">
        <f>D1040*E1040</f>
      </c>
    </row>
    <row r="1041" ht="21" customHeight="1" spans="1:6" x14ac:dyDescent="0.25">
      <c r="A1041" s="8"/>
      <c r="B1041" s="8"/>
      <c r="C1041" s="8"/>
      <c r="D1041" s="8"/>
      <c r="E1041" s="10">
        <f>IFERROR(VLOOKUP(C1041,'Inventory Master'!$A$3:$L$300,4,FALSE),0)</f>
      </c>
      <c r="F1041" s="10">
        <f>D1041*E1041</f>
      </c>
    </row>
    <row r="1042" ht="21" customHeight="1" spans="1:6" x14ac:dyDescent="0.25">
      <c r="A1042" s="8"/>
      <c r="B1042" s="8"/>
      <c r="C1042" s="8"/>
      <c r="D1042" s="8"/>
      <c r="E1042" s="10">
        <f>IFERROR(VLOOKUP(C1042,'Inventory Master'!$A$3:$L$300,4,FALSE),0)</f>
      </c>
      <c r="F1042" s="10">
        <f>D1042*E1042</f>
      </c>
    </row>
    <row r="1043" ht="21" customHeight="1" spans="1:6" x14ac:dyDescent="0.25">
      <c r="A1043" s="8"/>
      <c r="B1043" s="8"/>
      <c r="C1043" s="8"/>
      <c r="D1043" s="8"/>
      <c r="E1043" s="10">
        <f>IFERROR(VLOOKUP(C1043,'Inventory Master'!$A$3:$L$300,4,FALSE),0)</f>
      </c>
      <c r="F1043" s="10">
        <f>D1043*E1043</f>
      </c>
    </row>
    <row r="1044" ht="21" customHeight="1" spans="1:6" x14ac:dyDescent="0.25">
      <c r="A1044" s="8"/>
      <c r="B1044" s="8"/>
      <c r="C1044" s="8"/>
      <c r="D1044" s="8"/>
      <c r="E1044" s="10">
        <f>IFERROR(VLOOKUP(C1044,'Inventory Master'!$A$3:$L$300,4,FALSE),0)</f>
      </c>
      <c r="F1044" s="10">
        <f>D1044*E1044</f>
      </c>
    </row>
    <row r="1045" ht="21" customHeight="1" spans="1:6" x14ac:dyDescent="0.25">
      <c r="A1045" s="8"/>
      <c r="B1045" s="8"/>
      <c r="C1045" s="8"/>
      <c r="D1045" s="8"/>
      <c r="E1045" s="10">
        <f>IFERROR(VLOOKUP(C1045,'Inventory Master'!$A$3:$L$300,4,FALSE),0)</f>
      </c>
      <c r="F1045" s="10">
        <f>D1045*E1045</f>
      </c>
    </row>
    <row r="1046" ht="21" customHeight="1" spans="1:6" x14ac:dyDescent="0.25">
      <c r="A1046" s="8"/>
      <c r="B1046" s="8"/>
      <c r="C1046" s="8"/>
      <c r="D1046" s="8"/>
      <c r="E1046" s="10">
        <f>IFERROR(VLOOKUP(C1046,'Inventory Master'!$A$3:$L$300,4,FALSE),0)</f>
      </c>
      <c r="F1046" s="10">
        <f>D1046*E1046</f>
      </c>
    </row>
    <row r="1047" ht="21" customHeight="1" spans="1:6" x14ac:dyDescent="0.25">
      <c r="A1047" s="8"/>
      <c r="B1047" s="8"/>
      <c r="C1047" s="8"/>
      <c r="D1047" s="8"/>
      <c r="E1047" s="10">
        <f>IFERROR(VLOOKUP(C1047,'Inventory Master'!$A$3:$L$300,4,FALSE),0)</f>
      </c>
      <c r="F1047" s="10">
        <f>D1047*E1047</f>
      </c>
    </row>
    <row r="1048" ht="21" customHeight="1" spans="1:6" x14ac:dyDescent="0.25">
      <c r="A1048" s="8"/>
      <c r="B1048" s="8"/>
      <c r="C1048" s="8"/>
      <c r="D1048" s="8"/>
      <c r="E1048" s="10">
        <f>IFERROR(VLOOKUP(C1048,'Inventory Master'!$A$3:$L$300,4,FALSE),0)</f>
      </c>
      <c r="F1048" s="10">
        <f>D1048*E1048</f>
      </c>
    </row>
    <row r="1049" ht="21" customHeight="1" spans="1:6" x14ac:dyDescent="0.25">
      <c r="A1049" s="8"/>
      <c r="B1049" s="8"/>
      <c r="C1049" s="8"/>
      <c r="D1049" s="8"/>
      <c r="E1049" s="10">
        <f>IFERROR(VLOOKUP(C1049,'Inventory Master'!$A$3:$L$300,4,FALSE),0)</f>
      </c>
      <c r="F1049" s="10">
        <f>D1049*E1049</f>
      </c>
    </row>
    <row r="1050" ht="21" customHeight="1" spans="1:6" x14ac:dyDescent="0.25">
      <c r="A1050" s="8"/>
      <c r="B1050" s="8"/>
      <c r="C1050" s="8"/>
      <c r="D1050" s="8"/>
      <c r="E1050" s="10">
        <f>IFERROR(VLOOKUP(C1050,'Inventory Master'!$A$3:$L$300,4,FALSE),0)</f>
      </c>
      <c r="F1050" s="10">
        <f>D1050*E1050</f>
      </c>
    </row>
    <row r="1051" ht="21" customHeight="1" spans="1:6" x14ac:dyDescent="0.25">
      <c r="A1051" s="8"/>
      <c r="B1051" s="8"/>
      <c r="C1051" s="8"/>
      <c r="D1051" s="8"/>
      <c r="E1051" s="10">
        <f>IFERROR(VLOOKUP(C1051,'Inventory Master'!$A$3:$L$300,4,FALSE),0)</f>
      </c>
      <c r="F1051" s="10">
        <f>D1051*E1051</f>
      </c>
    </row>
    <row r="1052" ht="21" customHeight="1" spans="1:6" x14ac:dyDescent="0.25">
      <c r="A1052" s="8"/>
      <c r="B1052" s="8"/>
      <c r="C1052" s="8"/>
      <c r="D1052" s="8"/>
      <c r="E1052" s="10">
        <f>IFERROR(VLOOKUP(C1052,'Inventory Master'!$A$3:$L$300,4,FALSE),0)</f>
      </c>
      <c r="F1052" s="10">
        <f>D1052*E1052</f>
      </c>
    </row>
    <row r="1053" ht="21" customHeight="1" spans="1:6" x14ac:dyDescent="0.25">
      <c r="A1053" s="8"/>
      <c r="B1053" s="8"/>
      <c r="C1053" s="8"/>
      <c r="D1053" s="8"/>
      <c r="E1053" s="10">
        <f>IFERROR(VLOOKUP(C1053,'Inventory Master'!$A$3:$L$300,4,FALSE),0)</f>
      </c>
      <c r="F1053" s="10">
        <f>D1053*E1053</f>
      </c>
    </row>
    <row r="1054" ht="21" customHeight="1" spans="1:6" x14ac:dyDescent="0.25">
      <c r="A1054" s="8"/>
      <c r="B1054" s="8"/>
      <c r="C1054" s="8"/>
      <c r="D1054" s="8"/>
      <c r="E1054" s="10">
        <f>IFERROR(VLOOKUP(C1054,'Inventory Master'!$A$3:$L$300,4,FALSE),0)</f>
      </c>
      <c r="F1054" s="10">
        <f>D1054*E1054</f>
      </c>
    </row>
    <row r="1055" ht="21" customHeight="1" spans="1:6" x14ac:dyDescent="0.25">
      <c r="A1055" s="8"/>
      <c r="B1055" s="8"/>
      <c r="C1055" s="8"/>
      <c r="D1055" s="8"/>
      <c r="E1055" s="10">
        <f>IFERROR(VLOOKUP(C1055,'Inventory Master'!$A$3:$L$300,4,FALSE),0)</f>
      </c>
      <c r="F1055" s="10">
        <f>D1055*E1055</f>
      </c>
    </row>
    <row r="1056" ht="21" customHeight="1" spans="1:6" x14ac:dyDescent="0.25">
      <c r="A1056" s="8"/>
      <c r="B1056" s="8"/>
      <c r="C1056" s="8"/>
      <c r="D1056" s="8"/>
      <c r="E1056" s="10">
        <f>IFERROR(VLOOKUP(C1056,'Inventory Master'!$A$3:$L$300,4,FALSE),0)</f>
      </c>
      <c r="F1056" s="10">
        <f>D1056*E1056</f>
      </c>
    </row>
    <row r="1057" ht="21" customHeight="1" spans="1:6" x14ac:dyDescent="0.25">
      <c r="A1057" s="8"/>
      <c r="B1057" s="8"/>
      <c r="C1057" s="8"/>
      <c r="D1057" s="8"/>
      <c r="E1057" s="10">
        <f>IFERROR(VLOOKUP(C1057,'Inventory Master'!$A$3:$L$300,4,FALSE),0)</f>
      </c>
      <c r="F1057" s="10">
        <f>D1057*E1057</f>
      </c>
    </row>
    <row r="1058" ht="21" customHeight="1" spans="1:6" x14ac:dyDescent="0.25">
      <c r="A1058" s="8"/>
      <c r="B1058" s="8"/>
      <c r="C1058" s="8"/>
      <c r="D1058" s="8"/>
      <c r="E1058" s="10">
        <f>IFERROR(VLOOKUP(C1058,'Inventory Master'!$A$3:$L$300,4,FALSE),0)</f>
      </c>
      <c r="F1058" s="10">
        <f>D1058*E1058</f>
      </c>
    </row>
    <row r="1059" ht="21" customHeight="1" spans="1:6" x14ac:dyDescent="0.25">
      <c r="A1059" s="8"/>
      <c r="B1059" s="8"/>
      <c r="C1059" s="8"/>
      <c r="D1059" s="8"/>
      <c r="E1059" s="10">
        <f>IFERROR(VLOOKUP(C1059,'Inventory Master'!$A$3:$L$300,4,FALSE),0)</f>
      </c>
      <c r="F1059" s="10">
        <f>D1059*E1059</f>
      </c>
    </row>
    <row r="1060" ht="21" customHeight="1" spans="1:6" x14ac:dyDescent="0.25">
      <c r="A1060" s="8"/>
      <c r="B1060" s="8"/>
      <c r="C1060" s="8"/>
      <c r="D1060" s="8"/>
      <c r="E1060" s="10">
        <f>IFERROR(VLOOKUP(C1060,'Inventory Master'!$A$3:$L$300,4,FALSE),0)</f>
      </c>
      <c r="F1060" s="10">
        <f>D1060*E1060</f>
      </c>
    </row>
    <row r="1061" ht="21" customHeight="1" spans="1:6" x14ac:dyDescent="0.25">
      <c r="A1061" s="8"/>
      <c r="B1061" s="8"/>
      <c r="C1061" s="8"/>
      <c r="D1061" s="8"/>
      <c r="E1061" s="10">
        <f>IFERROR(VLOOKUP(C1061,'Inventory Master'!$A$3:$L$300,4,FALSE),0)</f>
      </c>
      <c r="F1061" s="10">
        <f>D1061*E1061</f>
      </c>
    </row>
    <row r="1062" ht="21" customHeight="1" spans="1:6" x14ac:dyDescent="0.25">
      <c r="A1062" s="8"/>
      <c r="B1062" s="8"/>
      <c r="C1062" s="8"/>
      <c r="D1062" s="8"/>
      <c r="E1062" s="10">
        <f>IFERROR(VLOOKUP(C1062,'Inventory Master'!$A$3:$L$300,4,FALSE),0)</f>
      </c>
      <c r="F1062" s="10">
        <f>D1062*E1062</f>
      </c>
    </row>
    <row r="1063" ht="21" customHeight="1" spans="1:6" x14ac:dyDescent="0.25">
      <c r="A1063" s="8"/>
      <c r="B1063" s="8"/>
      <c r="C1063" s="8"/>
      <c r="D1063" s="8"/>
      <c r="E1063" s="10">
        <f>IFERROR(VLOOKUP(C1063,'Inventory Master'!$A$3:$L$300,4,FALSE),0)</f>
      </c>
      <c r="F1063" s="10">
        <f>D1063*E1063</f>
      </c>
    </row>
    <row r="1064" ht="21" customHeight="1" spans="1:6" x14ac:dyDescent="0.25">
      <c r="A1064" s="8"/>
      <c r="B1064" s="8"/>
      <c r="C1064" s="8"/>
      <c r="D1064" s="8"/>
      <c r="E1064" s="10">
        <f>IFERROR(VLOOKUP(C1064,'Inventory Master'!$A$3:$L$300,4,FALSE),0)</f>
      </c>
      <c r="F1064" s="10">
        <f>D1064*E1064</f>
      </c>
    </row>
    <row r="1065" ht="21" customHeight="1" spans="1:6" x14ac:dyDescent="0.25">
      <c r="A1065" s="8"/>
      <c r="B1065" s="8"/>
      <c r="C1065" s="8"/>
      <c r="D1065" s="8"/>
      <c r="E1065" s="10">
        <f>IFERROR(VLOOKUP(C1065,'Inventory Master'!$A$3:$L$300,4,FALSE),0)</f>
      </c>
      <c r="F1065" s="10">
        <f>D1065*E1065</f>
      </c>
    </row>
    <row r="1066" ht="21" customHeight="1" spans="1:6" x14ac:dyDescent="0.25">
      <c r="A1066" s="8"/>
      <c r="B1066" s="8"/>
      <c r="C1066" s="8"/>
      <c r="D1066" s="8"/>
      <c r="E1066" s="10">
        <f>IFERROR(VLOOKUP(C1066,'Inventory Master'!$A$3:$L$300,4,FALSE),0)</f>
      </c>
      <c r="F1066" s="10">
        <f>D1066*E1066</f>
      </c>
    </row>
    <row r="1067" ht="21" customHeight="1" spans="1:6" x14ac:dyDescent="0.25">
      <c r="A1067" s="8"/>
      <c r="B1067" s="8"/>
      <c r="C1067" s="8"/>
      <c r="D1067" s="8"/>
      <c r="E1067" s="10">
        <f>IFERROR(VLOOKUP(C1067,'Inventory Master'!$A$3:$L$300,4,FALSE),0)</f>
      </c>
      <c r="F1067" s="10">
        <f>D1067*E1067</f>
      </c>
    </row>
    <row r="1068" ht="21" customHeight="1" spans="1:6" x14ac:dyDescent="0.25">
      <c r="A1068" s="8"/>
      <c r="B1068" s="8"/>
      <c r="C1068" s="8"/>
      <c r="D1068" s="8"/>
      <c r="E1068" s="10">
        <f>IFERROR(VLOOKUP(C1068,'Inventory Master'!$A$3:$L$300,4,FALSE),0)</f>
      </c>
      <c r="F1068" s="10">
        <f>D1068*E1068</f>
      </c>
    </row>
    <row r="1069" ht="21" customHeight="1" spans="1:6" x14ac:dyDescent="0.25">
      <c r="A1069" s="8"/>
      <c r="B1069" s="8"/>
      <c r="C1069" s="8"/>
      <c r="D1069" s="8"/>
      <c r="E1069" s="10">
        <f>IFERROR(VLOOKUP(C1069,'Inventory Master'!$A$3:$L$300,4,FALSE),0)</f>
      </c>
      <c r="F1069" s="10">
        <f>D1069*E1069</f>
      </c>
    </row>
    <row r="1070" ht="21" customHeight="1" spans="1:6" x14ac:dyDescent="0.25">
      <c r="A1070" s="8"/>
      <c r="B1070" s="8"/>
      <c r="C1070" s="8"/>
      <c r="D1070" s="8"/>
      <c r="E1070" s="10">
        <f>IFERROR(VLOOKUP(C1070,'Inventory Master'!$A$3:$L$300,4,FALSE),0)</f>
      </c>
      <c r="F1070" s="10">
        <f>D1070*E1070</f>
      </c>
    </row>
    <row r="1071" ht="21" customHeight="1" spans="1:6" x14ac:dyDescent="0.25">
      <c r="A1071" s="8"/>
      <c r="B1071" s="8"/>
      <c r="C1071" s="8"/>
      <c r="D1071" s="8"/>
      <c r="E1071" s="10">
        <f>IFERROR(VLOOKUP(C1071,'Inventory Master'!$A$3:$L$300,4,FALSE),0)</f>
      </c>
      <c r="F1071" s="10">
        <f>D1071*E1071</f>
      </c>
    </row>
    <row r="1072" ht="21" customHeight="1" spans="1:6" x14ac:dyDescent="0.25">
      <c r="A1072" s="8"/>
      <c r="B1072" s="8"/>
      <c r="C1072" s="8"/>
      <c r="D1072" s="8"/>
      <c r="E1072" s="10">
        <f>IFERROR(VLOOKUP(C1072,'Inventory Master'!$A$3:$L$300,4,FALSE),0)</f>
      </c>
      <c r="F1072" s="10">
        <f>D1072*E1072</f>
      </c>
    </row>
    <row r="1073" ht="21" customHeight="1" spans="1:6" x14ac:dyDescent="0.25">
      <c r="A1073" s="8"/>
      <c r="B1073" s="8"/>
      <c r="C1073" s="8"/>
      <c r="D1073" s="8"/>
      <c r="E1073" s="10">
        <f>IFERROR(VLOOKUP(C1073,'Inventory Master'!$A$3:$L$300,4,FALSE),0)</f>
      </c>
      <c r="F1073" s="10">
        <f>D1073*E1073</f>
      </c>
    </row>
    <row r="1074" ht="21" customHeight="1" spans="1:6" x14ac:dyDescent="0.25">
      <c r="A1074" s="8"/>
      <c r="B1074" s="8"/>
      <c r="C1074" s="8"/>
      <c r="D1074" s="8"/>
      <c r="E1074" s="10">
        <f>IFERROR(VLOOKUP(C1074,'Inventory Master'!$A$3:$L$300,4,FALSE),0)</f>
      </c>
      <c r="F1074" s="10">
        <f>D1074*E1074</f>
      </c>
    </row>
    <row r="1075" ht="21" customHeight="1" spans="1:6" x14ac:dyDescent="0.25">
      <c r="A1075" s="8"/>
      <c r="B1075" s="8"/>
      <c r="C1075" s="8"/>
      <c r="D1075" s="8"/>
      <c r="E1075" s="10">
        <f>IFERROR(VLOOKUP(C1075,'Inventory Master'!$A$3:$L$300,4,FALSE),0)</f>
      </c>
      <c r="F1075" s="10">
        <f>D1075*E1075</f>
      </c>
    </row>
    <row r="1076" ht="21" customHeight="1" spans="1:6" x14ac:dyDescent="0.25">
      <c r="A1076" s="8"/>
      <c r="B1076" s="8"/>
      <c r="C1076" s="8"/>
      <c r="D1076" s="8"/>
      <c r="E1076" s="10">
        <f>IFERROR(VLOOKUP(C1076,'Inventory Master'!$A$3:$L$300,4,FALSE),0)</f>
      </c>
      <c r="F1076" s="10">
        <f>D1076*E1076</f>
      </c>
    </row>
    <row r="1077" ht="21" customHeight="1" spans="1:6" x14ac:dyDescent="0.25">
      <c r="A1077" s="8"/>
      <c r="B1077" s="8"/>
      <c r="C1077" s="8"/>
      <c r="D1077" s="8"/>
      <c r="E1077" s="10">
        <f>IFERROR(VLOOKUP(C1077,'Inventory Master'!$A$3:$L$300,4,FALSE),0)</f>
      </c>
      <c r="F1077" s="10">
        <f>D1077*E1077</f>
      </c>
    </row>
    <row r="1078" ht="21" customHeight="1" spans="1:6" x14ac:dyDescent="0.25">
      <c r="A1078" s="8"/>
      <c r="B1078" s="8"/>
      <c r="C1078" s="8"/>
      <c r="D1078" s="8"/>
      <c r="E1078" s="10">
        <f>IFERROR(VLOOKUP(C1078,'Inventory Master'!$A$3:$L$300,4,FALSE),0)</f>
      </c>
      <c r="F1078" s="10">
        <f>D1078*E1078</f>
      </c>
    </row>
    <row r="1079" ht="21" customHeight="1" spans="1:6" x14ac:dyDescent="0.25">
      <c r="A1079" s="8"/>
      <c r="B1079" s="8"/>
      <c r="C1079" s="8"/>
      <c r="D1079" s="8"/>
      <c r="E1079" s="10">
        <f>IFERROR(VLOOKUP(C1079,'Inventory Master'!$A$3:$L$300,4,FALSE),0)</f>
      </c>
      <c r="F1079" s="10">
        <f>D1079*E1079</f>
      </c>
    </row>
    <row r="1080" ht="21" customHeight="1" spans="1:6" x14ac:dyDescent="0.25">
      <c r="A1080" s="8"/>
      <c r="B1080" s="8"/>
      <c r="C1080" s="8"/>
      <c r="D1080" s="8"/>
      <c r="E1080" s="10">
        <f>IFERROR(VLOOKUP(C1080,'Inventory Master'!$A$3:$L$300,4,FALSE),0)</f>
      </c>
      <c r="F1080" s="10">
        <f>D1080*E1080</f>
      </c>
    </row>
    <row r="1081" ht="21" customHeight="1" spans="1:6" x14ac:dyDescent="0.25">
      <c r="A1081" s="8"/>
      <c r="B1081" s="8"/>
      <c r="C1081" s="8"/>
      <c r="D1081" s="8"/>
      <c r="E1081" s="10">
        <f>IFERROR(VLOOKUP(C1081,'Inventory Master'!$A$3:$L$300,4,FALSE),0)</f>
      </c>
      <c r="F1081" s="10">
        <f>D1081*E1081</f>
      </c>
    </row>
    <row r="1082" ht="21" customHeight="1" spans="1:6" x14ac:dyDescent="0.25">
      <c r="A1082" s="8"/>
      <c r="B1082" s="8"/>
      <c r="C1082" s="8"/>
      <c r="D1082" s="8"/>
      <c r="E1082" s="10">
        <f>IFERROR(VLOOKUP(C1082,'Inventory Master'!$A$3:$L$300,4,FALSE),0)</f>
      </c>
      <c r="F1082" s="10">
        <f>D1082*E1082</f>
      </c>
    </row>
    <row r="1083" ht="21" customHeight="1" spans="1:6" x14ac:dyDescent="0.25">
      <c r="A1083" s="8"/>
      <c r="B1083" s="8"/>
      <c r="C1083" s="8"/>
      <c r="D1083" s="8"/>
      <c r="E1083" s="10">
        <f>IFERROR(VLOOKUP(C1083,'Inventory Master'!$A$3:$L$300,4,FALSE),0)</f>
      </c>
      <c r="F1083" s="10">
        <f>D1083*E1083</f>
      </c>
    </row>
    <row r="1084" ht="21" customHeight="1" spans="1:6" x14ac:dyDescent="0.25">
      <c r="A1084" s="8"/>
      <c r="B1084" s="8"/>
      <c r="C1084" s="8"/>
      <c r="D1084" s="8"/>
      <c r="E1084" s="10">
        <f>IFERROR(VLOOKUP(C1084,'Inventory Master'!$A$3:$L$300,4,FALSE),0)</f>
      </c>
      <c r="F1084" s="10">
        <f>D1084*E1084</f>
      </c>
    </row>
    <row r="1085" ht="21" customHeight="1" spans="1:6" x14ac:dyDescent="0.25">
      <c r="A1085" s="8"/>
      <c r="B1085" s="8"/>
      <c r="C1085" s="8"/>
      <c r="D1085" s="8"/>
      <c r="E1085" s="10">
        <f>IFERROR(VLOOKUP(C1085,'Inventory Master'!$A$3:$L$300,4,FALSE),0)</f>
      </c>
      <c r="F1085" s="10">
        <f>D1085*E1085</f>
      </c>
    </row>
    <row r="1086" ht="21" customHeight="1" spans="1:6" x14ac:dyDescent="0.25">
      <c r="A1086" s="8"/>
      <c r="B1086" s="8"/>
      <c r="C1086" s="8"/>
      <c r="D1086" s="8"/>
      <c r="E1086" s="10">
        <f>IFERROR(VLOOKUP(C1086,'Inventory Master'!$A$3:$L$300,4,FALSE),0)</f>
      </c>
      <c r="F1086" s="10">
        <f>D1086*E1086</f>
      </c>
    </row>
    <row r="1087" ht="21" customHeight="1" spans="1:6" x14ac:dyDescent="0.25">
      <c r="A1087" s="8"/>
      <c r="B1087" s="8"/>
      <c r="C1087" s="8"/>
      <c r="D1087" s="8"/>
      <c r="E1087" s="10">
        <f>IFERROR(VLOOKUP(C1087,'Inventory Master'!$A$3:$L$300,4,FALSE),0)</f>
      </c>
      <c r="F1087" s="10">
        <f>D1087*E1087</f>
      </c>
    </row>
    <row r="1088" ht="21" customHeight="1" spans="1:6" x14ac:dyDescent="0.25">
      <c r="A1088" s="8"/>
      <c r="B1088" s="8"/>
      <c r="C1088" s="8"/>
      <c r="D1088" s="8"/>
      <c r="E1088" s="10">
        <f>IFERROR(VLOOKUP(C1088,'Inventory Master'!$A$3:$L$300,4,FALSE),0)</f>
      </c>
      <c r="F1088" s="10">
        <f>D1088*E1088</f>
      </c>
    </row>
    <row r="1089" ht="21" customHeight="1" spans="1:6" x14ac:dyDescent="0.25">
      <c r="A1089" s="8"/>
      <c r="B1089" s="8"/>
      <c r="C1089" s="8"/>
      <c r="D1089" s="8"/>
      <c r="E1089" s="10">
        <f>IFERROR(VLOOKUP(C1089,'Inventory Master'!$A$3:$L$300,4,FALSE),0)</f>
      </c>
      <c r="F1089" s="10">
        <f>D1089*E1089</f>
      </c>
    </row>
    <row r="1090" ht="21" customHeight="1" spans="1:6" x14ac:dyDescent="0.25">
      <c r="A1090" s="8"/>
      <c r="B1090" s="8"/>
      <c r="C1090" s="8"/>
      <c r="D1090" s="8"/>
      <c r="E1090" s="10">
        <f>IFERROR(VLOOKUP(C1090,'Inventory Master'!$A$3:$L$300,4,FALSE),0)</f>
      </c>
      <c r="F1090" s="10">
        <f>D1090*E1090</f>
      </c>
    </row>
    <row r="1091" ht="21" customHeight="1" spans="1:6" x14ac:dyDescent="0.25">
      <c r="A1091" s="8"/>
      <c r="B1091" s="8"/>
      <c r="C1091" s="8"/>
      <c r="D1091" s="8"/>
      <c r="E1091" s="10">
        <f>IFERROR(VLOOKUP(C1091,'Inventory Master'!$A$3:$L$300,4,FALSE),0)</f>
      </c>
      <c r="F1091" s="10">
        <f>D1091*E1091</f>
      </c>
    </row>
    <row r="1092" ht="21" customHeight="1" spans="1:6" x14ac:dyDescent="0.25">
      <c r="A1092" s="8"/>
      <c r="B1092" s="8"/>
      <c r="C1092" s="8"/>
      <c r="D1092" s="8"/>
      <c r="E1092" s="10">
        <f>IFERROR(VLOOKUP(C1092,'Inventory Master'!$A$3:$L$300,4,FALSE),0)</f>
      </c>
      <c r="F1092" s="10">
        <f>D1092*E1092</f>
      </c>
    </row>
    <row r="1093" ht="21" customHeight="1" spans="1:6" x14ac:dyDescent="0.25">
      <c r="A1093" s="8"/>
      <c r="B1093" s="8"/>
      <c r="C1093" s="8"/>
      <c r="D1093" s="8"/>
      <c r="E1093" s="10">
        <f>IFERROR(VLOOKUP(C1093,'Inventory Master'!$A$3:$L$300,4,FALSE),0)</f>
      </c>
      <c r="F1093" s="10">
        <f>D1093*E1093</f>
      </c>
    </row>
    <row r="1094" ht="21" customHeight="1" spans="1:6" x14ac:dyDescent="0.25">
      <c r="A1094" s="8"/>
      <c r="B1094" s="8"/>
      <c r="C1094" s="8"/>
      <c r="D1094" s="8"/>
      <c r="E1094" s="10">
        <f>IFERROR(VLOOKUP(C1094,'Inventory Master'!$A$3:$L$300,4,FALSE),0)</f>
      </c>
      <c r="F1094" s="10">
        <f>D1094*E1094</f>
      </c>
    </row>
    <row r="1095" ht="21" customHeight="1" spans="1:6" x14ac:dyDescent="0.25">
      <c r="A1095" s="8"/>
      <c r="B1095" s="8"/>
      <c r="C1095" s="8"/>
      <c r="D1095" s="8"/>
      <c r="E1095" s="10">
        <f>IFERROR(VLOOKUP(C1095,'Inventory Master'!$A$3:$L$300,4,FALSE),0)</f>
      </c>
      <c r="F1095" s="10">
        <f>D1095*E1095</f>
      </c>
    </row>
    <row r="1096" ht="21" customHeight="1" spans="1:6" x14ac:dyDescent="0.25">
      <c r="A1096" s="8"/>
      <c r="B1096" s="8"/>
      <c r="C1096" s="8"/>
      <c r="D1096" s="8"/>
      <c r="E1096" s="10">
        <f>IFERROR(VLOOKUP(C1096,'Inventory Master'!$A$3:$L$300,4,FALSE),0)</f>
      </c>
      <c r="F1096" s="10">
        <f>D1096*E1096</f>
      </c>
    </row>
    <row r="1097" ht="21" customHeight="1" spans="1:6" x14ac:dyDescent="0.25">
      <c r="A1097" s="8"/>
      <c r="B1097" s="8"/>
      <c r="C1097" s="8"/>
      <c r="D1097" s="8"/>
      <c r="E1097" s="10">
        <f>IFERROR(VLOOKUP(C1097,'Inventory Master'!$A$3:$L$300,4,FALSE),0)</f>
      </c>
      <c r="F1097" s="10">
        <f>D1097*E1097</f>
      </c>
    </row>
    <row r="1098" ht="21" customHeight="1" spans="1:6" x14ac:dyDescent="0.25">
      <c r="A1098" s="8"/>
      <c r="B1098" s="8"/>
      <c r="C1098" s="8"/>
      <c r="D1098" s="8"/>
      <c r="E1098" s="10">
        <f>IFERROR(VLOOKUP(C1098,'Inventory Master'!$A$3:$L$300,4,FALSE),0)</f>
      </c>
      <c r="F1098" s="10">
        <f>D1098*E1098</f>
      </c>
    </row>
    <row r="1099" ht="21" customHeight="1" spans="1:6" x14ac:dyDescent="0.25">
      <c r="A1099" s="8"/>
      <c r="B1099" s="8"/>
      <c r="C1099" s="8"/>
      <c r="D1099" s="8"/>
      <c r="E1099" s="10">
        <f>IFERROR(VLOOKUP(C1099,'Inventory Master'!$A$3:$L$300,4,FALSE),0)</f>
      </c>
      <c r="F1099" s="10">
        <f>D1099*E1099</f>
      </c>
    </row>
    <row r="1100" ht="21" customHeight="1" spans="1:6" x14ac:dyDescent="0.25">
      <c r="A1100" s="8"/>
      <c r="B1100" s="8"/>
      <c r="C1100" s="8"/>
      <c r="D1100" s="8"/>
      <c r="E1100" s="10">
        <f>IFERROR(VLOOKUP(C1100,'Inventory Master'!$A$3:$L$300,4,FALSE),0)</f>
      </c>
      <c r="F1100" s="10">
        <f>D1100*E1100</f>
      </c>
    </row>
    <row r="1101" ht="21" customHeight="1" spans="1:6" x14ac:dyDescent="0.25">
      <c r="A1101" s="8"/>
      <c r="B1101" s="8"/>
      <c r="C1101" s="8"/>
      <c r="D1101" s="8"/>
      <c r="E1101" s="10">
        <f>IFERROR(VLOOKUP(C1101,'Inventory Master'!$A$3:$L$300,4,FALSE),0)</f>
      </c>
      <c r="F1101" s="10">
        <f>D1101*E1101</f>
      </c>
    </row>
    <row r="1102" ht="21" customHeight="1" spans="1:6" x14ac:dyDescent="0.25">
      <c r="A1102" s="8"/>
      <c r="B1102" s="8"/>
      <c r="C1102" s="8"/>
      <c r="D1102" s="8"/>
      <c r="E1102" s="10">
        <f>IFERROR(VLOOKUP(C1102,'Inventory Master'!$A$3:$L$300,4,FALSE),0)</f>
      </c>
      <c r="F1102" s="10">
        <f>D1102*E1102</f>
      </c>
    </row>
    <row r="1103" ht="21" customHeight="1" spans="1:6" x14ac:dyDescent="0.25">
      <c r="A1103" s="8"/>
      <c r="B1103" s="8"/>
      <c r="C1103" s="8"/>
      <c r="D1103" s="8"/>
      <c r="E1103" s="10">
        <f>IFERROR(VLOOKUP(C1103,'Inventory Master'!$A$3:$L$300,4,FALSE),0)</f>
      </c>
      <c r="F1103" s="10">
        <f>D1103*E1103</f>
      </c>
    </row>
    <row r="1104" ht="21" customHeight="1" spans="1:6" x14ac:dyDescent="0.25">
      <c r="A1104" s="8"/>
      <c r="B1104" s="8"/>
      <c r="C1104" s="8"/>
      <c r="D1104" s="8"/>
      <c r="E1104" s="10">
        <f>IFERROR(VLOOKUP(C1104,'Inventory Master'!$A$3:$L$300,4,FALSE),0)</f>
      </c>
      <c r="F1104" s="10">
        <f>D1104*E1104</f>
      </c>
    </row>
    <row r="1105" ht="21" customHeight="1" spans="1:6" x14ac:dyDescent="0.25">
      <c r="A1105" s="8"/>
      <c r="B1105" s="8"/>
      <c r="C1105" s="8"/>
      <c r="D1105" s="8"/>
      <c r="E1105" s="10">
        <f>IFERROR(VLOOKUP(C1105,'Inventory Master'!$A$3:$L$300,4,FALSE),0)</f>
      </c>
      <c r="F1105" s="10">
        <f>D1105*E1105</f>
      </c>
    </row>
    <row r="1106" ht="21" customHeight="1" spans="1:6" x14ac:dyDescent="0.25">
      <c r="A1106" s="8"/>
      <c r="B1106" s="8"/>
      <c r="C1106" s="8"/>
      <c r="D1106" s="8"/>
      <c r="E1106" s="10">
        <f>IFERROR(VLOOKUP(C1106,'Inventory Master'!$A$3:$L$300,4,FALSE),0)</f>
      </c>
      <c r="F1106" s="10">
        <f>D1106*E1106</f>
      </c>
    </row>
    <row r="1107" ht="21" customHeight="1" spans="1:6" x14ac:dyDescent="0.25">
      <c r="A1107" s="8"/>
      <c r="B1107" s="8"/>
      <c r="C1107" s="8"/>
      <c r="D1107" s="8"/>
      <c r="E1107" s="10">
        <f>IFERROR(VLOOKUP(C1107,'Inventory Master'!$A$3:$L$300,4,FALSE),0)</f>
      </c>
      <c r="F1107" s="10">
        <f>D1107*E1107</f>
      </c>
    </row>
    <row r="1108" ht="21" customHeight="1" spans="1:6" x14ac:dyDescent="0.25">
      <c r="A1108" s="8"/>
      <c r="B1108" s="8"/>
      <c r="C1108" s="8"/>
      <c r="D1108" s="8"/>
      <c r="E1108" s="10">
        <f>IFERROR(VLOOKUP(C1108,'Inventory Master'!$A$3:$L$300,4,FALSE),0)</f>
      </c>
      <c r="F1108" s="10">
        <f>D1108*E1108</f>
      </c>
    </row>
    <row r="1109" ht="21" customHeight="1" spans="1:6" x14ac:dyDescent="0.25">
      <c r="A1109" s="8"/>
      <c r="B1109" s="8"/>
      <c r="C1109" s="8"/>
      <c r="D1109" s="8"/>
      <c r="E1109" s="10">
        <f>IFERROR(VLOOKUP(C1109,'Inventory Master'!$A$3:$L$300,4,FALSE),0)</f>
      </c>
      <c r="F1109" s="10">
        <f>D1109*E1109</f>
      </c>
    </row>
    <row r="1110" ht="21" customHeight="1" spans="1:6" x14ac:dyDescent="0.25">
      <c r="A1110" s="8"/>
      <c r="B1110" s="8"/>
      <c r="C1110" s="8"/>
      <c r="D1110" s="8"/>
      <c r="E1110" s="10">
        <f>IFERROR(VLOOKUP(C1110,'Inventory Master'!$A$3:$L$300,4,FALSE),0)</f>
      </c>
      <c r="F1110" s="10">
        <f>D1110*E1110</f>
      </c>
    </row>
    <row r="1111" ht="21" customHeight="1" spans="1:6" x14ac:dyDescent="0.25">
      <c r="A1111" s="8"/>
      <c r="B1111" s="8"/>
      <c r="C1111" s="8"/>
      <c r="D1111" s="8"/>
      <c r="E1111" s="10">
        <f>IFERROR(VLOOKUP(C1111,'Inventory Master'!$A$3:$L$300,4,FALSE),0)</f>
      </c>
      <c r="F1111" s="10">
        <f>D1111*E1111</f>
      </c>
    </row>
    <row r="1112" ht="21" customHeight="1" spans="1:6" x14ac:dyDescent="0.25">
      <c r="A1112" s="8"/>
      <c r="B1112" s="8"/>
      <c r="C1112" s="8"/>
      <c r="D1112" s="8"/>
      <c r="E1112" s="10">
        <f>IFERROR(VLOOKUP(C1112,'Inventory Master'!$A$3:$L$300,4,FALSE),0)</f>
      </c>
      <c r="F1112" s="10">
        <f>D1112*E1112</f>
      </c>
    </row>
    <row r="1113" ht="21" customHeight="1" spans="1:6" x14ac:dyDescent="0.25">
      <c r="A1113" s="8"/>
      <c r="B1113" s="8"/>
      <c r="C1113" s="8"/>
      <c r="D1113" s="8"/>
      <c r="E1113" s="10">
        <f>IFERROR(VLOOKUP(C1113,'Inventory Master'!$A$3:$L$300,4,FALSE),0)</f>
      </c>
      <c r="F1113" s="10">
        <f>D1113*E1113</f>
      </c>
    </row>
    <row r="1114" ht="21" customHeight="1" spans="1:6" x14ac:dyDescent="0.25">
      <c r="A1114" s="8"/>
      <c r="B1114" s="8"/>
      <c r="C1114" s="8"/>
      <c r="D1114" s="8"/>
      <c r="E1114" s="10">
        <f>IFERROR(VLOOKUP(C1114,'Inventory Master'!$A$3:$L$300,4,FALSE),0)</f>
      </c>
      <c r="F1114" s="10">
        <f>D1114*E1114</f>
      </c>
    </row>
    <row r="1115" ht="21" customHeight="1" spans="1:6" x14ac:dyDescent="0.25">
      <c r="A1115" s="8"/>
      <c r="B1115" s="8"/>
      <c r="C1115" s="8"/>
      <c r="D1115" s="8"/>
      <c r="E1115" s="10">
        <f>IFERROR(VLOOKUP(C1115,'Inventory Master'!$A$3:$L$300,4,FALSE),0)</f>
      </c>
      <c r="F1115" s="10">
        <f>D1115*E1115</f>
      </c>
    </row>
    <row r="1116" ht="21" customHeight="1" spans="1:6" x14ac:dyDescent="0.25">
      <c r="A1116" s="8"/>
      <c r="B1116" s="8"/>
      <c r="C1116" s="8"/>
      <c r="D1116" s="8"/>
      <c r="E1116" s="10">
        <f>IFERROR(VLOOKUP(C1116,'Inventory Master'!$A$3:$L$300,4,FALSE),0)</f>
      </c>
      <c r="F1116" s="10">
        <f>D1116*E1116</f>
      </c>
    </row>
    <row r="1117" ht="21" customHeight="1" spans="1:6" x14ac:dyDescent="0.25">
      <c r="A1117" s="8"/>
      <c r="B1117" s="8"/>
      <c r="C1117" s="8"/>
      <c r="D1117" s="8"/>
      <c r="E1117" s="10">
        <f>IFERROR(VLOOKUP(C1117,'Inventory Master'!$A$3:$L$300,4,FALSE),0)</f>
      </c>
      <c r="F1117" s="10">
        <f>D1117*E1117</f>
      </c>
    </row>
    <row r="1118" ht="21" customHeight="1" spans="1:6" x14ac:dyDescent="0.25">
      <c r="A1118" s="8"/>
      <c r="B1118" s="8"/>
      <c r="C1118" s="8"/>
      <c r="D1118" s="8"/>
      <c r="E1118" s="10">
        <f>IFERROR(VLOOKUP(C1118,'Inventory Master'!$A$3:$L$300,4,FALSE),0)</f>
      </c>
      <c r="F1118" s="10">
        <f>D1118*E1118</f>
      </c>
    </row>
    <row r="1119" ht="21" customHeight="1" spans="1:6" x14ac:dyDescent="0.25">
      <c r="A1119" s="8"/>
      <c r="B1119" s="8"/>
      <c r="C1119" s="8"/>
      <c r="D1119" s="8"/>
      <c r="E1119" s="10">
        <f>IFERROR(VLOOKUP(C1119,'Inventory Master'!$A$3:$L$300,4,FALSE),0)</f>
      </c>
      <c r="F1119" s="10">
        <f>D1119*E1119</f>
      </c>
    </row>
    <row r="1120" ht="21" customHeight="1" spans="1:6" x14ac:dyDescent="0.25">
      <c r="A1120" s="8"/>
      <c r="B1120" s="8"/>
      <c r="C1120" s="8"/>
      <c r="D1120" s="8"/>
      <c r="E1120" s="10">
        <f>IFERROR(VLOOKUP(C1120,'Inventory Master'!$A$3:$L$300,4,FALSE),0)</f>
      </c>
      <c r="F1120" s="10">
        <f>D1120*E1120</f>
      </c>
    </row>
    <row r="1121" ht="21" customHeight="1" spans="1:6" x14ac:dyDescent="0.25">
      <c r="A1121" s="8"/>
      <c r="B1121" s="8"/>
      <c r="C1121" s="8"/>
      <c r="D1121" s="8"/>
      <c r="E1121" s="10">
        <f>IFERROR(VLOOKUP(C1121,'Inventory Master'!$A$3:$L$300,4,FALSE),0)</f>
      </c>
      <c r="F1121" s="10">
        <f>D1121*E1121</f>
      </c>
    </row>
    <row r="1122" ht="21" customHeight="1" spans="1:6" x14ac:dyDescent="0.25">
      <c r="A1122" s="8"/>
      <c r="B1122" s="8"/>
      <c r="C1122" s="8"/>
      <c r="D1122" s="8"/>
      <c r="E1122" s="10">
        <f>IFERROR(VLOOKUP(C1122,'Inventory Master'!$A$3:$L$300,4,FALSE),0)</f>
      </c>
      <c r="F1122" s="10">
        <f>D1122*E1122</f>
      </c>
    </row>
    <row r="1123" ht="21" customHeight="1" spans="1:6" x14ac:dyDescent="0.25">
      <c r="A1123" s="8"/>
      <c r="B1123" s="8"/>
      <c r="C1123" s="8"/>
      <c r="D1123" s="8"/>
      <c r="E1123" s="10">
        <f>IFERROR(VLOOKUP(C1123,'Inventory Master'!$A$3:$L$300,4,FALSE),0)</f>
      </c>
      <c r="F1123" s="10">
        <f>D1123*E1123</f>
      </c>
    </row>
    <row r="1124" ht="21" customHeight="1" spans="1:6" x14ac:dyDescent="0.25">
      <c r="A1124" s="8"/>
      <c r="B1124" s="8"/>
      <c r="C1124" s="8"/>
      <c r="D1124" s="8"/>
      <c r="E1124" s="10">
        <f>IFERROR(VLOOKUP(C1124,'Inventory Master'!$A$3:$L$300,4,FALSE),0)</f>
      </c>
      <c r="F1124" s="10">
        <f>D1124*E1124</f>
      </c>
    </row>
    <row r="1125" ht="21" customHeight="1" spans="1:6" x14ac:dyDescent="0.25">
      <c r="A1125" s="8"/>
      <c r="B1125" s="8"/>
      <c r="C1125" s="8"/>
      <c r="D1125" s="8"/>
      <c r="E1125" s="10">
        <f>IFERROR(VLOOKUP(C1125,'Inventory Master'!$A$3:$L$300,4,FALSE),0)</f>
      </c>
      <c r="F1125" s="10">
        <f>D1125*E1125</f>
      </c>
    </row>
    <row r="1126" ht="21" customHeight="1" spans="1:6" x14ac:dyDescent="0.25">
      <c r="A1126" s="8"/>
      <c r="B1126" s="8"/>
      <c r="C1126" s="8"/>
      <c r="D1126" s="8"/>
      <c r="E1126" s="10">
        <f>IFERROR(VLOOKUP(C1126,'Inventory Master'!$A$3:$L$300,4,FALSE),0)</f>
      </c>
      <c r="F1126" s="10">
        <f>D1126*E1126</f>
      </c>
    </row>
    <row r="1127" ht="21" customHeight="1" spans="1:6" x14ac:dyDescent="0.25">
      <c r="A1127" s="8"/>
      <c r="B1127" s="8"/>
      <c r="C1127" s="8"/>
      <c r="D1127" s="8"/>
      <c r="E1127" s="10">
        <f>IFERROR(VLOOKUP(C1127,'Inventory Master'!$A$3:$L$300,4,FALSE),0)</f>
      </c>
      <c r="F1127" s="10">
        <f>D1127*E1127</f>
      </c>
    </row>
    <row r="1128" ht="21" customHeight="1" spans="1:6" x14ac:dyDescent="0.25">
      <c r="A1128" s="8"/>
      <c r="B1128" s="8"/>
      <c r="C1128" s="8"/>
      <c r="D1128" s="8"/>
      <c r="E1128" s="10">
        <f>IFERROR(VLOOKUP(C1128,'Inventory Master'!$A$3:$L$300,4,FALSE),0)</f>
      </c>
      <c r="F1128" s="10">
        <f>D1128*E1128</f>
      </c>
    </row>
    <row r="1129" ht="21" customHeight="1" spans="1:6" x14ac:dyDescent="0.25">
      <c r="A1129" s="8"/>
      <c r="B1129" s="8"/>
      <c r="C1129" s="8"/>
      <c r="D1129" s="8"/>
      <c r="E1129" s="10">
        <f>IFERROR(VLOOKUP(C1129,'Inventory Master'!$A$3:$L$300,4,FALSE),0)</f>
      </c>
      <c r="F1129" s="10">
        <f>D1129*E1129</f>
      </c>
    </row>
    <row r="1130" ht="21" customHeight="1" spans="1:6" x14ac:dyDescent="0.25">
      <c r="A1130" s="8"/>
      <c r="B1130" s="8"/>
      <c r="C1130" s="8"/>
      <c r="D1130" s="8"/>
      <c r="E1130" s="10">
        <f>IFERROR(VLOOKUP(C1130,'Inventory Master'!$A$3:$L$300,4,FALSE),0)</f>
      </c>
      <c r="F1130" s="10">
        <f>D1130*E1130</f>
      </c>
    </row>
    <row r="1131" ht="21" customHeight="1" spans="1:6" x14ac:dyDescent="0.25">
      <c r="A1131" s="8"/>
      <c r="B1131" s="8"/>
      <c r="C1131" s="8"/>
      <c r="D1131" s="8"/>
      <c r="E1131" s="10">
        <f>IFERROR(VLOOKUP(C1131,'Inventory Master'!$A$3:$L$300,4,FALSE),0)</f>
      </c>
      <c r="F1131" s="10">
        <f>D1131*E1131</f>
      </c>
    </row>
    <row r="1132" ht="21" customHeight="1" spans="1:6" x14ac:dyDescent="0.25">
      <c r="A1132" s="8"/>
      <c r="B1132" s="8"/>
      <c r="C1132" s="8"/>
      <c r="D1132" s="8"/>
      <c r="E1132" s="10">
        <f>IFERROR(VLOOKUP(C1132,'Inventory Master'!$A$3:$L$300,4,FALSE),0)</f>
      </c>
      <c r="F1132" s="10">
        <f>D1132*E1132</f>
      </c>
    </row>
    <row r="1133" ht="21" customHeight="1" spans="1:6" x14ac:dyDescent="0.25">
      <c r="A1133" s="8"/>
      <c r="B1133" s="8"/>
      <c r="C1133" s="8"/>
      <c r="D1133" s="8"/>
      <c r="E1133" s="10">
        <f>IFERROR(VLOOKUP(C1133,'Inventory Master'!$A$3:$L$300,4,FALSE),0)</f>
      </c>
      <c r="F1133" s="10">
        <f>D1133*E1133</f>
      </c>
    </row>
    <row r="1134" ht="21" customHeight="1" spans="1:6" x14ac:dyDescent="0.25">
      <c r="A1134" s="8"/>
      <c r="B1134" s="8"/>
      <c r="C1134" s="8"/>
      <c r="D1134" s="8"/>
      <c r="E1134" s="10">
        <f>IFERROR(VLOOKUP(C1134,'Inventory Master'!$A$3:$L$300,4,FALSE),0)</f>
      </c>
      <c r="F1134" s="10">
        <f>D1134*E1134</f>
      </c>
    </row>
    <row r="1135" ht="21" customHeight="1" spans="1:6" x14ac:dyDescent="0.25">
      <c r="A1135" s="8"/>
      <c r="B1135" s="8"/>
      <c r="C1135" s="8"/>
      <c r="D1135" s="8"/>
      <c r="E1135" s="10">
        <f>IFERROR(VLOOKUP(C1135,'Inventory Master'!$A$3:$L$300,4,FALSE),0)</f>
      </c>
      <c r="F1135" s="10">
        <f>D1135*E1135</f>
      </c>
    </row>
    <row r="1136" ht="21" customHeight="1" spans="1:6" x14ac:dyDescent="0.25">
      <c r="A1136" s="8"/>
      <c r="B1136" s="8"/>
      <c r="C1136" s="8"/>
      <c r="D1136" s="8"/>
      <c r="E1136" s="10">
        <f>IFERROR(VLOOKUP(C1136,'Inventory Master'!$A$3:$L$300,4,FALSE),0)</f>
      </c>
      <c r="F1136" s="10">
        <f>D1136*E1136</f>
      </c>
    </row>
    <row r="1137" ht="21" customHeight="1" spans="1:6" x14ac:dyDescent="0.25">
      <c r="A1137" s="8"/>
      <c r="B1137" s="8"/>
      <c r="C1137" s="8"/>
      <c r="D1137" s="8"/>
      <c r="E1137" s="10">
        <f>IFERROR(VLOOKUP(C1137,'Inventory Master'!$A$3:$L$300,4,FALSE),0)</f>
      </c>
      <c r="F1137" s="10">
        <f>D1137*E1137</f>
      </c>
    </row>
    <row r="1138" ht="21" customHeight="1" spans="1:6" x14ac:dyDescent="0.25">
      <c r="A1138" s="8"/>
      <c r="B1138" s="8"/>
      <c r="C1138" s="8"/>
      <c r="D1138" s="8"/>
      <c r="E1138" s="10">
        <f>IFERROR(VLOOKUP(C1138,'Inventory Master'!$A$3:$L$300,4,FALSE),0)</f>
      </c>
      <c r="F1138" s="10">
        <f>D1138*E1138</f>
      </c>
    </row>
    <row r="1139" ht="21" customHeight="1" spans="1:6" x14ac:dyDescent="0.25">
      <c r="A1139" s="8"/>
      <c r="B1139" s="8"/>
      <c r="C1139" s="8"/>
      <c r="D1139" s="8"/>
      <c r="E1139" s="10">
        <f>IFERROR(VLOOKUP(C1139,'Inventory Master'!$A$3:$L$300,4,FALSE),0)</f>
      </c>
      <c r="F1139" s="10">
        <f>D1139*E1139</f>
      </c>
    </row>
    <row r="1140" ht="21" customHeight="1" spans="1:6" x14ac:dyDescent="0.25">
      <c r="A1140" s="8"/>
      <c r="B1140" s="8"/>
      <c r="C1140" s="8"/>
      <c r="D1140" s="8"/>
      <c r="E1140" s="10">
        <f>IFERROR(VLOOKUP(C1140,'Inventory Master'!$A$3:$L$300,4,FALSE),0)</f>
      </c>
      <c r="F1140" s="10">
        <f>D1140*E1140</f>
      </c>
    </row>
    <row r="1141" ht="21" customHeight="1" spans="1:6" x14ac:dyDescent="0.25">
      <c r="A1141" s="8"/>
      <c r="B1141" s="8"/>
      <c r="C1141" s="8"/>
      <c r="D1141" s="8"/>
      <c r="E1141" s="10">
        <f>IFERROR(VLOOKUP(C1141,'Inventory Master'!$A$3:$L$300,4,FALSE),0)</f>
      </c>
      <c r="F1141" s="10">
        <f>D1141*E1141</f>
      </c>
    </row>
    <row r="1142" ht="21" customHeight="1" spans="1:6" x14ac:dyDescent="0.25">
      <c r="A1142" s="8"/>
      <c r="B1142" s="8"/>
      <c r="C1142" s="8"/>
      <c r="D1142" s="8"/>
      <c r="E1142" s="10">
        <f>IFERROR(VLOOKUP(C1142,'Inventory Master'!$A$3:$L$300,4,FALSE),0)</f>
      </c>
      <c r="F1142" s="10">
        <f>D1142*E1142</f>
      </c>
    </row>
    <row r="1143" ht="21" customHeight="1" spans="1:6" x14ac:dyDescent="0.25">
      <c r="A1143" s="8"/>
      <c r="B1143" s="8"/>
      <c r="C1143" s="8"/>
      <c r="D1143" s="8"/>
      <c r="E1143" s="10">
        <f>IFERROR(VLOOKUP(C1143,'Inventory Master'!$A$3:$L$300,4,FALSE),0)</f>
      </c>
      <c r="F1143" s="10">
        <f>D1143*E1143</f>
      </c>
    </row>
    <row r="1144" ht="21" customHeight="1" spans="1:6" x14ac:dyDescent="0.25">
      <c r="A1144" s="8"/>
      <c r="B1144" s="8"/>
      <c r="C1144" s="8"/>
      <c r="D1144" s="8"/>
      <c r="E1144" s="10">
        <f>IFERROR(VLOOKUP(C1144,'Inventory Master'!$A$3:$L$300,4,FALSE),0)</f>
      </c>
      <c r="F1144" s="10">
        <f>D1144*E1144</f>
      </c>
    </row>
    <row r="1145" ht="21" customHeight="1" spans="1:6" x14ac:dyDescent="0.25">
      <c r="A1145" s="8"/>
      <c r="B1145" s="8"/>
      <c r="C1145" s="8"/>
      <c r="D1145" s="8"/>
      <c r="E1145" s="10">
        <f>IFERROR(VLOOKUP(C1145,'Inventory Master'!$A$3:$L$300,4,FALSE),0)</f>
      </c>
      <c r="F1145" s="10">
        <f>D1145*E1145</f>
      </c>
    </row>
    <row r="1146" ht="21" customHeight="1" spans="1:6" x14ac:dyDescent="0.25">
      <c r="A1146" s="8"/>
      <c r="B1146" s="8"/>
      <c r="C1146" s="8"/>
      <c r="D1146" s="8"/>
      <c r="E1146" s="10">
        <f>IFERROR(VLOOKUP(C1146,'Inventory Master'!$A$3:$L$300,4,FALSE),0)</f>
      </c>
      <c r="F1146" s="10">
        <f>D1146*E1146</f>
      </c>
    </row>
    <row r="1147" ht="21" customHeight="1" spans="1:6" x14ac:dyDescent="0.25">
      <c r="A1147" s="8"/>
      <c r="B1147" s="8"/>
      <c r="C1147" s="8"/>
      <c r="D1147" s="8"/>
      <c r="E1147" s="10">
        <f>IFERROR(VLOOKUP(C1147,'Inventory Master'!$A$3:$L$300,4,FALSE),0)</f>
      </c>
      <c r="F1147" s="10">
        <f>D1147*E1147</f>
      </c>
    </row>
    <row r="1148" ht="21" customHeight="1" spans="1:6" x14ac:dyDescent="0.25">
      <c r="A1148" s="8"/>
      <c r="B1148" s="8"/>
      <c r="C1148" s="8"/>
      <c r="D1148" s="8"/>
      <c r="E1148" s="10">
        <f>IFERROR(VLOOKUP(C1148,'Inventory Master'!$A$3:$L$300,4,FALSE),0)</f>
      </c>
      <c r="F1148" s="10">
        <f>D1148*E1148</f>
      </c>
    </row>
    <row r="1149" ht="21" customHeight="1" spans="1:6" x14ac:dyDescent="0.25">
      <c r="A1149" s="8"/>
      <c r="B1149" s="8"/>
      <c r="C1149" s="8"/>
      <c r="D1149" s="8"/>
      <c r="E1149" s="10">
        <f>IFERROR(VLOOKUP(C1149,'Inventory Master'!$A$3:$L$300,4,FALSE),0)</f>
      </c>
      <c r="F1149" s="10">
        <f>D1149*E1149</f>
      </c>
    </row>
    <row r="1150" ht="21" customHeight="1" spans="1:6" x14ac:dyDescent="0.25">
      <c r="A1150" s="8"/>
      <c r="B1150" s="8"/>
      <c r="C1150" s="8"/>
      <c r="D1150" s="8"/>
      <c r="E1150" s="10">
        <f>IFERROR(VLOOKUP(C1150,'Inventory Master'!$A$3:$L$300,4,FALSE),0)</f>
      </c>
      <c r="F1150" s="10">
        <f>D1150*E1150</f>
      </c>
    </row>
    <row r="1151" ht="21" customHeight="1" spans="1:6" x14ac:dyDescent="0.25">
      <c r="A1151" s="8"/>
      <c r="B1151" s="8"/>
      <c r="C1151" s="8"/>
      <c r="D1151" s="8"/>
      <c r="E1151" s="10">
        <f>IFERROR(VLOOKUP(C1151,'Inventory Master'!$A$3:$L$300,4,FALSE),0)</f>
      </c>
      <c r="F1151" s="10">
        <f>D1151*E1151</f>
      </c>
    </row>
    <row r="1152" ht="21" customHeight="1" spans="1:6" x14ac:dyDescent="0.25">
      <c r="A1152" s="8"/>
      <c r="B1152" s="8"/>
      <c r="C1152" s="8"/>
      <c r="D1152" s="8"/>
      <c r="E1152" s="10">
        <f>IFERROR(VLOOKUP(C1152,'Inventory Master'!$A$3:$L$300,4,FALSE),0)</f>
      </c>
      <c r="F1152" s="10">
        <f>D1152*E1152</f>
      </c>
    </row>
    <row r="1153" ht="21" customHeight="1" spans="1:6" x14ac:dyDescent="0.25">
      <c r="A1153" s="8"/>
      <c r="B1153" s="8"/>
      <c r="C1153" s="8"/>
      <c r="D1153" s="8"/>
      <c r="E1153" s="10">
        <f>IFERROR(VLOOKUP(C1153,'Inventory Master'!$A$3:$L$300,4,FALSE),0)</f>
      </c>
      <c r="F1153" s="10">
        <f>D1153*E1153</f>
      </c>
    </row>
    <row r="1154" ht="21" customHeight="1" spans="1:6" x14ac:dyDescent="0.25">
      <c r="A1154" s="8"/>
      <c r="B1154" s="8"/>
      <c r="C1154" s="8"/>
      <c r="D1154" s="8"/>
      <c r="E1154" s="10">
        <f>IFERROR(VLOOKUP(C1154,'Inventory Master'!$A$3:$L$300,4,FALSE),0)</f>
      </c>
      <c r="F1154" s="10">
        <f>D1154*E1154</f>
      </c>
    </row>
    <row r="1155" ht="21" customHeight="1" spans="1:6" x14ac:dyDescent="0.25">
      <c r="A1155" s="8"/>
      <c r="B1155" s="8"/>
      <c r="C1155" s="8"/>
      <c r="D1155" s="8"/>
      <c r="E1155" s="10">
        <f>IFERROR(VLOOKUP(C1155,'Inventory Master'!$A$3:$L$300,4,FALSE),0)</f>
      </c>
      <c r="F1155" s="10">
        <f>D1155*E1155</f>
      </c>
    </row>
    <row r="1156" ht="21" customHeight="1" spans="1:6" x14ac:dyDescent="0.25">
      <c r="A1156" s="8"/>
      <c r="B1156" s="8"/>
      <c r="C1156" s="8"/>
      <c r="D1156" s="8"/>
      <c r="E1156" s="10">
        <f>IFERROR(VLOOKUP(C1156,'Inventory Master'!$A$3:$L$300,4,FALSE),0)</f>
      </c>
      <c r="F1156" s="10">
        <f>D1156*E1156</f>
      </c>
    </row>
    <row r="1157" ht="21" customHeight="1" spans="1:6" x14ac:dyDescent="0.25">
      <c r="A1157" s="8"/>
      <c r="B1157" s="8"/>
      <c r="C1157" s="8"/>
      <c r="D1157" s="8"/>
      <c r="E1157" s="10">
        <f>IFERROR(VLOOKUP(C1157,'Inventory Master'!$A$3:$L$300,4,FALSE),0)</f>
      </c>
      <c r="F1157" s="10">
        <f>D1157*E1157</f>
      </c>
    </row>
    <row r="1158" ht="21" customHeight="1" spans="1:6" x14ac:dyDescent="0.25">
      <c r="A1158" s="8"/>
      <c r="B1158" s="8"/>
      <c r="C1158" s="8"/>
      <c r="D1158" s="8"/>
      <c r="E1158" s="10">
        <f>IFERROR(VLOOKUP(C1158,'Inventory Master'!$A$3:$L$300,4,FALSE),0)</f>
      </c>
      <c r="F1158" s="10">
        <f>D1158*E1158</f>
      </c>
    </row>
    <row r="1159" ht="21" customHeight="1" spans="1:6" x14ac:dyDescent="0.25">
      <c r="A1159" s="8"/>
      <c r="B1159" s="8"/>
      <c r="C1159" s="8"/>
      <c r="D1159" s="8"/>
      <c r="E1159" s="10">
        <f>IFERROR(VLOOKUP(C1159,'Inventory Master'!$A$3:$L$300,4,FALSE),0)</f>
      </c>
      <c r="F1159" s="10">
        <f>D1159*E1159</f>
      </c>
    </row>
    <row r="1160" ht="21" customHeight="1" spans="1:6" x14ac:dyDescent="0.25">
      <c r="A1160" s="8"/>
      <c r="B1160" s="8"/>
      <c r="C1160" s="8"/>
      <c r="D1160" s="8"/>
      <c r="E1160" s="10">
        <f>IFERROR(VLOOKUP(C1160,'Inventory Master'!$A$3:$L$300,4,FALSE),0)</f>
      </c>
      <c r="F1160" s="10">
        <f>D1160*E1160</f>
      </c>
    </row>
    <row r="1161" ht="21" customHeight="1" spans="1:6" x14ac:dyDescent="0.25">
      <c r="A1161" s="8"/>
      <c r="B1161" s="8"/>
      <c r="C1161" s="8"/>
      <c r="D1161" s="8"/>
      <c r="E1161" s="10">
        <f>IFERROR(VLOOKUP(C1161,'Inventory Master'!$A$3:$L$300,4,FALSE),0)</f>
      </c>
      <c r="F1161" s="10">
        <f>D1161*E1161</f>
      </c>
    </row>
    <row r="1162" ht="21" customHeight="1" spans="1:6" x14ac:dyDescent="0.25">
      <c r="A1162" s="8"/>
      <c r="B1162" s="8"/>
      <c r="C1162" s="8"/>
      <c r="D1162" s="8"/>
      <c r="E1162" s="10">
        <f>IFERROR(VLOOKUP(C1162,'Inventory Master'!$A$3:$L$300,4,FALSE),0)</f>
      </c>
      <c r="F1162" s="10">
        <f>D1162*E1162</f>
      </c>
    </row>
    <row r="1163" ht="21" customHeight="1" spans="1:6" x14ac:dyDescent="0.25">
      <c r="A1163" s="8"/>
      <c r="B1163" s="8"/>
      <c r="C1163" s="8"/>
      <c r="D1163" s="8"/>
      <c r="E1163" s="10">
        <f>IFERROR(VLOOKUP(C1163,'Inventory Master'!$A$3:$L$300,4,FALSE),0)</f>
      </c>
      <c r="F1163" s="10">
        <f>D1163*E1163</f>
      </c>
    </row>
    <row r="1164" ht="21" customHeight="1" spans="1:6" x14ac:dyDescent="0.25">
      <c r="A1164" s="8"/>
      <c r="B1164" s="8"/>
      <c r="C1164" s="8"/>
      <c r="D1164" s="8"/>
      <c r="E1164" s="10">
        <f>IFERROR(VLOOKUP(C1164,'Inventory Master'!$A$3:$L$300,4,FALSE),0)</f>
      </c>
      <c r="F1164" s="10">
        <f>D1164*E1164</f>
      </c>
    </row>
    <row r="1165" ht="21" customHeight="1" spans="1:6" x14ac:dyDescent="0.25">
      <c r="A1165" s="8"/>
      <c r="B1165" s="8"/>
      <c r="C1165" s="8"/>
      <c r="D1165" s="8"/>
      <c r="E1165" s="10">
        <f>IFERROR(VLOOKUP(C1165,'Inventory Master'!$A$3:$L$300,4,FALSE),0)</f>
      </c>
      <c r="F1165" s="10">
        <f>D1165*E1165</f>
      </c>
    </row>
    <row r="1166" ht="21" customHeight="1" spans="1:6" x14ac:dyDescent="0.25">
      <c r="A1166" s="8"/>
      <c r="B1166" s="8"/>
      <c r="C1166" s="8"/>
      <c r="D1166" s="8"/>
      <c r="E1166" s="10">
        <f>IFERROR(VLOOKUP(C1166,'Inventory Master'!$A$3:$L$300,4,FALSE),0)</f>
      </c>
      <c r="F1166" s="10">
        <f>D1166*E1166</f>
      </c>
    </row>
    <row r="1167" ht="21" customHeight="1" spans="1:6" x14ac:dyDescent="0.25">
      <c r="A1167" s="8"/>
      <c r="B1167" s="8"/>
      <c r="C1167" s="8"/>
      <c r="D1167" s="8"/>
      <c r="E1167" s="10">
        <f>IFERROR(VLOOKUP(C1167,'Inventory Master'!$A$3:$L$300,4,FALSE),0)</f>
      </c>
      <c r="F1167" s="10">
        <f>D1167*E1167</f>
      </c>
    </row>
    <row r="1168" ht="21" customHeight="1" spans="1:6" x14ac:dyDescent="0.25">
      <c r="A1168" s="8"/>
      <c r="B1168" s="8"/>
      <c r="C1168" s="8"/>
      <c r="D1168" s="8"/>
      <c r="E1168" s="10">
        <f>IFERROR(VLOOKUP(C1168,'Inventory Master'!$A$3:$L$300,4,FALSE),0)</f>
      </c>
      <c r="F1168" s="10">
        <f>D1168*E1168</f>
      </c>
    </row>
    <row r="1169" ht="21" customHeight="1" spans="1:6" x14ac:dyDescent="0.25">
      <c r="A1169" s="8"/>
      <c r="B1169" s="8"/>
      <c r="C1169" s="8"/>
      <c r="D1169" s="8"/>
      <c r="E1169" s="10">
        <f>IFERROR(VLOOKUP(C1169,'Inventory Master'!$A$3:$L$300,4,FALSE),0)</f>
      </c>
      <c r="F1169" s="10">
        <f>D1169*E1169</f>
      </c>
    </row>
    <row r="1170" ht="21" customHeight="1" spans="1:6" x14ac:dyDescent="0.25">
      <c r="A1170" s="8"/>
      <c r="B1170" s="8"/>
      <c r="C1170" s="8"/>
      <c r="D1170" s="8"/>
      <c r="E1170" s="10">
        <f>IFERROR(VLOOKUP(C1170,'Inventory Master'!$A$3:$L$300,4,FALSE),0)</f>
      </c>
      <c r="F1170" s="10">
        <f>D1170*E1170</f>
      </c>
    </row>
    <row r="1171" ht="21" customHeight="1" spans="1:6" x14ac:dyDescent="0.25">
      <c r="A1171" s="8"/>
      <c r="B1171" s="8"/>
      <c r="C1171" s="8"/>
      <c r="D1171" s="8"/>
      <c r="E1171" s="10">
        <f>IFERROR(VLOOKUP(C1171,'Inventory Master'!$A$3:$L$300,4,FALSE),0)</f>
      </c>
      <c r="F1171" s="10">
        <f>D1171*E1171</f>
      </c>
    </row>
    <row r="1172" ht="21" customHeight="1" spans="1:6" x14ac:dyDescent="0.25">
      <c r="A1172" s="8"/>
      <c r="B1172" s="8"/>
      <c r="C1172" s="8"/>
      <c r="D1172" s="8"/>
      <c r="E1172" s="10">
        <f>IFERROR(VLOOKUP(C1172,'Inventory Master'!$A$3:$L$300,4,FALSE),0)</f>
      </c>
      <c r="F1172" s="10">
        <f>D1172*E1172</f>
      </c>
    </row>
    <row r="1173" ht="21" customHeight="1" spans="1:6" x14ac:dyDescent="0.25">
      <c r="A1173" s="8"/>
      <c r="B1173" s="8"/>
      <c r="C1173" s="8"/>
      <c r="D1173" s="8"/>
      <c r="E1173" s="10">
        <f>IFERROR(VLOOKUP(C1173,'Inventory Master'!$A$3:$L$300,4,FALSE),0)</f>
      </c>
      <c r="F1173" s="10">
        <f>D1173*E1173</f>
      </c>
    </row>
    <row r="1174" ht="21" customHeight="1" spans="1:6" x14ac:dyDescent="0.25">
      <c r="A1174" s="8"/>
      <c r="B1174" s="8"/>
      <c r="C1174" s="8"/>
      <c r="D1174" s="8"/>
      <c r="E1174" s="10">
        <f>IFERROR(VLOOKUP(C1174,'Inventory Master'!$A$3:$L$300,4,FALSE),0)</f>
      </c>
      <c r="F1174" s="10">
        <f>D1174*E1174</f>
      </c>
    </row>
    <row r="1175" ht="21" customHeight="1" spans="1:6" x14ac:dyDescent="0.25">
      <c r="A1175" s="8"/>
      <c r="B1175" s="8"/>
      <c r="C1175" s="8"/>
      <c r="D1175" s="8"/>
      <c r="E1175" s="10">
        <f>IFERROR(VLOOKUP(C1175,'Inventory Master'!$A$3:$L$300,4,FALSE),0)</f>
      </c>
      <c r="F1175" s="10">
        <f>D1175*E1175</f>
      </c>
    </row>
    <row r="1176" ht="21" customHeight="1" spans="1:6" x14ac:dyDescent="0.25">
      <c r="A1176" s="8"/>
      <c r="B1176" s="8"/>
      <c r="C1176" s="8"/>
      <c r="D1176" s="8"/>
      <c r="E1176" s="10">
        <f>IFERROR(VLOOKUP(C1176,'Inventory Master'!$A$3:$L$300,4,FALSE),0)</f>
      </c>
      <c r="F1176" s="10">
        <f>D1176*E1176</f>
      </c>
    </row>
    <row r="1177" ht="21" customHeight="1" spans="1:6" x14ac:dyDescent="0.25">
      <c r="A1177" s="8"/>
      <c r="B1177" s="8"/>
      <c r="C1177" s="8"/>
      <c r="D1177" s="8"/>
      <c r="E1177" s="10">
        <f>IFERROR(VLOOKUP(C1177,'Inventory Master'!$A$3:$L$300,4,FALSE),0)</f>
      </c>
      <c r="F1177" s="10">
        <f>D1177*E1177</f>
      </c>
    </row>
    <row r="1178" ht="21" customHeight="1" spans="1:6" x14ac:dyDescent="0.25">
      <c r="A1178" s="8"/>
      <c r="B1178" s="8"/>
      <c r="C1178" s="8"/>
      <c r="D1178" s="8"/>
      <c r="E1178" s="10">
        <f>IFERROR(VLOOKUP(C1178,'Inventory Master'!$A$3:$L$300,4,FALSE),0)</f>
      </c>
      <c r="F1178" s="10">
        <f>D1178*E1178</f>
      </c>
    </row>
    <row r="1179" ht="21" customHeight="1" spans="1:6" x14ac:dyDescent="0.25">
      <c r="A1179" s="8"/>
      <c r="B1179" s="8"/>
      <c r="C1179" s="8"/>
      <c r="D1179" s="8"/>
      <c r="E1179" s="10">
        <f>IFERROR(VLOOKUP(C1179,'Inventory Master'!$A$3:$L$300,4,FALSE),0)</f>
      </c>
      <c r="F1179" s="10">
        <f>D1179*E1179</f>
      </c>
    </row>
    <row r="1180" ht="21" customHeight="1" spans="1:6" x14ac:dyDescent="0.25">
      <c r="A1180" s="8"/>
      <c r="B1180" s="8"/>
      <c r="C1180" s="8"/>
      <c r="D1180" s="8"/>
      <c r="E1180" s="10">
        <f>IFERROR(VLOOKUP(C1180,'Inventory Master'!$A$3:$L$300,4,FALSE),0)</f>
      </c>
      <c r="F1180" s="10">
        <f>D1180*E1180</f>
      </c>
    </row>
    <row r="1181" ht="21" customHeight="1" spans="1:6" x14ac:dyDescent="0.25">
      <c r="A1181" s="8"/>
      <c r="B1181" s="8"/>
      <c r="C1181" s="8"/>
      <c r="D1181" s="8"/>
      <c r="E1181" s="10">
        <f>IFERROR(VLOOKUP(C1181,'Inventory Master'!$A$3:$L$300,4,FALSE),0)</f>
      </c>
      <c r="F1181" s="10">
        <f>D1181*E1181</f>
      </c>
    </row>
    <row r="1182" ht="21" customHeight="1" spans="1:6" x14ac:dyDescent="0.25">
      <c r="A1182" s="8"/>
      <c r="B1182" s="8"/>
      <c r="C1182" s="8"/>
      <c r="D1182" s="8"/>
      <c r="E1182" s="10">
        <f>IFERROR(VLOOKUP(C1182,'Inventory Master'!$A$3:$L$300,4,FALSE),0)</f>
      </c>
      <c r="F1182" s="10">
        <f>D1182*E1182</f>
      </c>
    </row>
    <row r="1183" ht="21" customHeight="1" spans="1:6" x14ac:dyDescent="0.25">
      <c r="A1183" s="8"/>
      <c r="B1183" s="8"/>
      <c r="C1183" s="8"/>
      <c r="D1183" s="8"/>
      <c r="E1183" s="10">
        <f>IFERROR(VLOOKUP(C1183,'Inventory Master'!$A$3:$L$300,4,FALSE),0)</f>
      </c>
      <c r="F1183" s="10">
        <f>D1183*E1183</f>
      </c>
    </row>
    <row r="1184" ht="21" customHeight="1" spans="1:6" x14ac:dyDescent="0.25">
      <c r="A1184" s="8"/>
      <c r="B1184" s="8"/>
      <c r="C1184" s="8"/>
      <c r="D1184" s="8"/>
      <c r="E1184" s="10">
        <f>IFERROR(VLOOKUP(C1184,'Inventory Master'!$A$3:$L$300,4,FALSE),0)</f>
      </c>
      <c r="F1184" s="10">
        <f>D1184*E1184</f>
      </c>
    </row>
    <row r="1185" ht="21" customHeight="1" spans="1:6" x14ac:dyDescent="0.25">
      <c r="A1185" s="8"/>
      <c r="B1185" s="8"/>
      <c r="C1185" s="8"/>
      <c r="D1185" s="8"/>
      <c r="E1185" s="10">
        <f>IFERROR(VLOOKUP(C1185,'Inventory Master'!$A$3:$L$300,4,FALSE),0)</f>
      </c>
      <c r="F1185" s="10">
        <f>D1185*E1185</f>
      </c>
    </row>
    <row r="1186" ht="21" customHeight="1" spans="1:6" x14ac:dyDescent="0.25">
      <c r="A1186" s="8"/>
      <c r="B1186" s="8"/>
      <c r="C1186" s="8"/>
      <c r="D1186" s="8"/>
      <c r="E1186" s="10">
        <f>IFERROR(VLOOKUP(C1186,'Inventory Master'!$A$3:$L$300,4,FALSE),0)</f>
      </c>
      <c r="F1186" s="10">
        <f>D1186*E1186</f>
      </c>
    </row>
    <row r="1187" ht="21" customHeight="1" spans="1:6" x14ac:dyDescent="0.25">
      <c r="A1187" s="8"/>
      <c r="B1187" s="8"/>
      <c r="C1187" s="8"/>
      <c r="D1187" s="8"/>
      <c r="E1187" s="10">
        <f>IFERROR(VLOOKUP(C1187,'Inventory Master'!$A$3:$L$300,4,FALSE),0)</f>
      </c>
      <c r="F1187" s="10">
        <f>D1187*E1187</f>
      </c>
    </row>
    <row r="1188" ht="21" customHeight="1" spans="1:6" x14ac:dyDescent="0.25">
      <c r="A1188" s="8"/>
      <c r="B1188" s="8"/>
      <c r="C1188" s="8"/>
      <c r="D1188" s="8"/>
      <c r="E1188" s="10">
        <f>IFERROR(VLOOKUP(C1188,'Inventory Master'!$A$3:$L$300,4,FALSE),0)</f>
      </c>
      <c r="F1188" s="10">
        <f>D1188*E1188</f>
      </c>
    </row>
    <row r="1189" ht="21" customHeight="1" spans="1:6" x14ac:dyDescent="0.25">
      <c r="A1189" s="8"/>
      <c r="B1189" s="8"/>
      <c r="C1189" s="8"/>
      <c r="D1189" s="8"/>
      <c r="E1189" s="10">
        <f>IFERROR(VLOOKUP(C1189,'Inventory Master'!$A$3:$L$300,4,FALSE),0)</f>
      </c>
      <c r="F1189" s="10">
        <f>D1189*E1189</f>
      </c>
    </row>
    <row r="1190" ht="21" customHeight="1" spans="1:6" x14ac:dyDescent="0.25">
      <c r="A1190" s="8"/>
      <c r="B1190" s="8"/>
      <c r="C1190" s="8"/>
      <c r="D1190" s="8"/>
      <c r="E1190" s="10">
        <f>IFERROR(VLOOKUP(C1190,'Inventory Master'!$A$3:$L$300,4,FALSE),0)</f>
      </c>
      <c r="F1190" s="10">
        <f>D1190*E1190</f>
      </c>
    </row>
    <row r="1191" ht="21" customHeight="1" spans="1:6" x14ac:dyDescent="0.25">
      <c r="A1191" s="8"/>
      <c r="B1191" s="8"/>
      <c r="C1191" s="8"/>
      <c r="D1191" s="8"/>
      <c r="E1191" s="10">
        <f>IFERROR(VLOOKUP(C1191,'Inventory Master'!$A$3:$L$300,4,FALSE),0)</f>
      </c>
      <c r="F1191" s="10">
        <f>D1191*E1191</f>
      </c>
    </row>
    <row r="1192" ht="21" customHeight="1" spans="1:6" x14ac:dyDescent="0.25">
      <c r="A1192" s="8"/>
      <c r="B1192" s="8"/>
      <c r="C1192" s="8"/>
      <c r="D1192" s="8"/>
      <c r="E1192" s="10">
        <f>IFERROR(VLOOKUP(C1192,'Inventory Master'!$A$3:$L$300,4,FALSE),0)</f>
      </c>
      <c r="F1192" s="10">
        <f>D1192*E1192</f>
      </c>
    </row>
    <row r="1193" ht="21" customHeight="1" spans="1:6" x14ac:dyDescent="0.25">
      <c r="A1193" s="8"/>
      <c r="B1193" s="8"/>
      <c r="C1193" s="8"/>
      <c r="D1193" s="8"/>
      <c r="E1193" s="10">
        <f>IFERROR(VLOOKUP(C1193,'Inventory Master'!$A$3:$L$300,4,FALSE),0)</f>
      </c>
      <c r="F1193" s="10">
        <f>D1193*E1193</f>
      </c>
    </row>
    <row r="1194" ht="21" customHeight="1" spans="1:6" x14ac:dyDescent="0.25">
      <c r="A1194" s="8"/>
      <c r="B1194" s="8"/>
      <c r="C1194" s="8"/>
      <c r="D1194" s="8"/>
      <c r="E1194" s="10">
        <f>IFERROR(VLOOKUP(C1194,'Inventory Master'!$A$3:$L$300,4,FALSE),0)</f>
      </c>
      <c r="F1194" s="10">
        <f>D1194*E1194</f>
      </c>
    </row>
    <row r="1195" ht="21" customHeight="1" spans="1:6" x14ac:dyDescent="0.25">
      <c r="A1195" s="8"/>
      <c r="B1195" s="8"/>
      <c r="C1195" s="8"/>
      <c r="D1195" s="8"/>
      <c r="E1195" s="10">
        <f>IFERROR(VLOOKUP(C1195,'Inventory Master'!$A$3:$L$300,4,FALSE),0)</f>
      </c>
      <c r="F1195" s="10">
        <f>D1195*E1195</f>
      </c>
    </row>
    <row r="1196" ht="21" customHeight="1" spans="1:6" x14ac:dyDescent="0.25">
      <c r="A1196" s="8"/>
      <c r="B1196" s="8"/>
      <c r="C1196" s="8"/>
      <c r="D1196" s="8"/>
      <c r="E1196" s="10">
        <f>IFERROR(VLOOKUP(C1196,'Inventory Master'!$A$3:$L$300,4,FALSE),0)</f>
      </c>
      <c r="F1196" s="10">
        <f>D1196*E1196</f>
      </c>
    </row>
    <row r="1197" ht="21" customHeight="1" spans="1:6" x14ac:dyDescent="0.25">
      <c r="A1197" s="8"/>
      <c r="B1197" s="8"/>
      <c r="C1197" s="8"/>
      <c r="D1197" s="8"/>
      <c r="E1197" s="10">
        <f>IFERROR(VLOOKUP(C1197,'Inventory Master'!$A$3:$L$300,4,FALSE),0)</f>
      </c>
      <c r="F1197" s="10">
        <f>D1197*E1197</f>
      </c>
    </row>
    <row r="1198" ht="21" customHeight="1" spans="1:6" x14ac:dyDescent="0.25">
      <c r="A1198" s="8"/>
      <c r="B1198" s="8"/>
      <c r="C1198" s="8"/>
      <c r="D1198" s="8"/>
      <c r="E1198" s="10">
        <f>IFERROR(VLOOKUP(C1198,'Inventory Master'!$A$3:$L$300,4,FALSE),0)</f>
      </c>
      <c r="F1198" s="10">
        <f>D1198*E1198</f>
      </c>
    </row>
    <row r="1199" ht="21" customHeight="1" spans="1:6" x14ac:dyDescent="0.25">
      <c r="A1199" s="8"/>
      <c r="B1199" s="8"/>
      <c r="C1199" s="8"/>
      <c r="D1199" s="8"/>
      <c r="E1199" s="10">
        <f>IFERROR(VLOOKUP(C1199,'Inventory Master'!$A$3:$L$300,4,FALSE),0)</f>
      </c>
      <c r="F1199" s="10">
        <f>D1199*E1199</f>
      </c>
    </row>
    <row r="1200" ht="21" customHeight="1" spans="1:6" x14ac:dyDescent="0.25">
      <c r="A1200" s="8"/>
      <c r="B1200" s="8"/>
      <c r="C1200" s="8"/>
      <c r="D1200" s="8"/>
      <c r="E1200" s="10">
        <f>IFERROR(VLOOKUP(C1200,'Inventory Master'!$A$3:$L$300,4,FALSE),0)</f>
      </c>
      <c r="F1200" s="10">
        <f>D1200*E1200</f>
      </c>
    </row>
    <row r="1201" ht="21" customHeight="1" spans="1:6" x14ac:dyDescent="0.25">
      <c r="A1201" s="8"/>
      <c r="B1201" s="8"/>
      <c r="C1201" s="8"/>
      <c r="D1201" s="8"/>
      <c r="E1201" s="10">
        <f>IFERROR(VLOOKUP(C1201,'Inventory Master'!$A$3:$L$300,4,FALSE),0)</f>
      </c>
      <c r="F1201" s="10">
        <f>D1201*E1201</f>
      </c>
    </row>
    <row r="1202" ht="21" customHeight="1" spans="1:6" x14ac:dyDescent="0.25">
      <c r="A1202" s="8"/>
      <c r="B1202" s="8"/>
      <c r="C1202" s="8"/>
      <c r="D1202" s="8"/>
      <c r="E1202" s="10">
        <f>IFERROR(VLOOKUP(C1202,'Inventory Master'!$A$3:$L$300,4,FALSE),0)</f>
      </c>
      <c r="F1202" s="10">
        <f>D1202*E1202</f>
      </c>
    </row>
    <row r="1203" ht="21" customHeight="1" spans="1:6" x14ac:dyDescent="0.25">
      <c r="A1203" s="8"/>
      <c r="B1203" s="8"/>
      <c r="C1203" s="8"/>
      <c r="D1203" s="8"/>
      <c r="E1203" s="10">
        <f>IFERROR(VLOOKUP(C1203,'Inventory Master'!$A$3:$L$300,4,FALSE),0)</f>
      </c>
      <c r="F1203" s="10">
        <f>D1203*E1203</f>
      </c>
    </row>
    <row r="1204" ht="21" customHeight="1" spans="1:6" x14ac:dyDescent="0.25">
      <c r="A1204" s="8"/>
      <c r="B1204" s="8"/>
      <c r="C1204" s="8"/>
      <c r="D1204" s="8"/>
      <c r="E1204" s="10">
        <f>IFERROR(VLOOKUP(C1204,'Inventory Master'!$A$3:$L$300,4,FALSE),0)</f>
      </c>
      <c r="F1204" s="10">
        <f>D1204*E1204</f>
      </c>
    </row>
    <row r="1205" ht="21" customHeight="1" spans="1:6" x14ac:dyDescent="0.25">
      <c r="A1205" s="8"/>
      <c r="B1205" s="8"/>
      <c r="C1205" s="8"/>
      <c r="D1205" s="8"/>
      <c r="E1205" s="10">
        <f>IFERROR(VLOOKUP(C1205,'Inventory Master'!$A$3:$L$300,4,FALSE),0)</f>
      </c>
      <c r="F1205" s="10">
        <f>D1205*E1205</f>
      </c>
    </row>
    <row r="1206" ht="21" customHeight="1" spans="1:6" x14ac:dyDescent="0.25">
      <c r="A1206" s="8"/>
      <c r="B1206" s="8"/>
      <c r="C1206" s="8"/>
      <c r="D1206" s="8"/>
      <c r="E1206" s="10">
        <f>IFERROR(VLOOKUP(C1206,'Inventory Master'!$A$3:$L$300,4,FALSE),0)</f>
      </c>
      <c r="F1206" s="10">
        <f>D1206*E1206</f>
      </c>
    </row>
    <row r="1207" ht="21" customHeight="1" spans="1:6" x14ac:dyDescent="0.25">
      <c r="A1207" s="8"/>
      <c r="B1207" s="8"/>
      <c r="C1207" s="8"/>
      <c r="D1207" s="8"/>
      <c r="E1207" s="10">
        <f>IFERROR(VLOOKUP(C1207,'Inventory Master'!$A$3:$L$300,4,FALSE),0)</f>
      </c>
      <c r="F1207" s="10">
        <f>D1207*E1207</f>
      </c>
    </row>
    <row r="1208" ht="21" customHeight="1" spans="1:6" x14ac:dyDescent="0.25">
      <c r="A1208" s="8"/>
      <c r="B1208" s="8"/>
      <c r="C1208" s="8"/>
      <c r="D1208" s="8"/>
      <c r="E1208" s="10">
        <f>IFERROR(VLOOKUP(C1208,'Inventory Master'!$A$3:$L$300,4,FALSE),0)</f>
      </c>
      <c r="F1208" s="10">
        <f>D1208*E1208</f>
      </c>
    </row>
    <row r="1209" ht="21" customHeight="1" spans="1:6" x14ac:dyDescent="0.25">
      <c r="A1209" s="8"/>
      <c r="B1209" s="8"/>
      <c r="C1209" s="8"/>
      <c r="D1209" s="8"/>
      <c r="E1209" s="10">
        <f>IFERROR(VLOOKUP(C1209,'Inventory Master'!$A$3:$L$300,4,FALSE),0)</f>
      </c>
      <c r="F1209" s="10">
        <f>D1209*E1209</f>
      </c>
    </row>
    <row r="1210" ht="21" customHeight="1" spans="1:6" x14ac:dyDescent="0.25">
      <c r="A1210" s="8"/>
      <c r="B1210" s="8"/>
      <c r="C1210" s="8"/>
      <c r="D1210" s="8"/>
      <c r="E1210" s="10">
        <f>IFERROR(VLOOKUP(C1210,'Inventory Master'!$A$3:$L$300,4,FALSE),0)</f>
      </c>
      <c r="F1210" s="10">
        <f>D1210*E1210</f>
      </c>
    </row>
    <row r="1211" ht="21" customHeight="1" spans="1:6" x14ac:dyDescent="0.25">
      <c r="A1211" s="8"/>
      <c r="B1211" s="8"/>
      <c r="C1211" s="8"/>
      <c r="D1211" s="8"/>
      <c r="E1211" s="10">
        <f>IFERROR(VLOOKUP(C1211,'Inventory Master'!$A$3:$L$300,4,FALSE),0)</f>
      </c>
      <c r="F1211" s="10">
        <f>D1211*E1211</f>
      </c>
    </row>
    <row r="1212" ht="21" customHeight="1" spans="1:6" x14ac:dyDescent="0.25">
      <c r="A1212" s="8"/>
      <c r="B1212" s="8"/>
      <c r="C1212" s="8"/>
      <c r="D1212" s="8"/>
      <c r="E1212" s="10">
        <f>IFERROR(VLOOKUP(C1212,'Inventory Master'!$A$3:$L$300,4,FALSE),0)</f>
      </c>
      <c r="F1212" s="10">
        <f>D1212*E1212</f>
      </c>
    </row>
    <row r="1213" ht="21" customHeight="1" spans="1:6" x14ac:dyDescent="0.25">
      <c r="A1213" s="8"/>
      <c r="B1213" s="8"/>
      <c r="C1213" s="8"/>
      <c r="D1213" s="8"/>
      <c r="E1213" s="10">
        <f>IFERROR(VLOOKUP(C1213,'Inventory Master'!$A$3:$L$300,4,FALSE),0)</f>
      </c>
      <c r="F1213" s="10">
        <f>D1213*E1213</f>
      </c>
    </row>
    <row r="1214" ht="21" customHeight="1" spans="1:6" x14ac:dyDescent="0.25">
      <c r="A1214" s="8"/>
      <c r="B1214" s="8"/>
      <c r="C1214" s="8"/>
      <c r="D1214" s="8"/>
      <c r="E1214" s="10">
        <f>IFERROR(VLOOKUP(C1214,'Inventory Master'!$A$3:$L$300,4,FALSE),0)</f>
      </c>
      <c r="F1214" s="10">
        <f>D1214*E1214</f>
      </c>
    </row>
    <row r="1215" ht="21" customHeight="1" spans="1:6" x14ac:dyDescent="0.25">
      <c r="A1215" s="8"/>
      <c r="B1215" s="8"/>
      <c r="C1215" s="8"/>
      <c r="D1215" s="8"/>
      <c r="E1215" s="10">
        <f>IFERROR(VLOOKUP(C1215,'Inventory Master'!$A$3:$L$300,4,FALSE),0)</f>
      </c>
      <c r="F1215" s="10">
        <f>D1215*E1215</f>
      </c>
    </row>
    <row r="1216" ht="21" customHeight="1" spans="1:6" x14ac:dyDescent="0.25">
      <c r="A1216" s="8"/>
      <c r="B1216" s="8"/>
      <c r="C1216" s="8"/>
      <c r="D1216" s="8"/>
      <c r="E1216" s="10">
        <f>IFERROR(VLOOKUP(C1216,'Inventory Master'!$A$3:$L$300,4,FALSE),0)</f>
      </c>
      <c r="F1216" s="10">
        <f>D1216*E1216</f>
      </c>
    </row>
    <row r="1217" ht="21" customHeight="1" spans="1:6" x14ac:dyDescent="0.25">
      <c r="A1217" s="8"/>
      <c r="B1217" s="8"/>
      <c r="C1217" s="8"/>
      <c r="D1217" s="8"/>
      <c r="E1217" s="10">
        <f>IFERROR(VLOOKUP(C1217,'Inventory Master'!$A$3:$L$300,4,FALSE),0)</f>
      </c>
      <c r="F1217" s="10">
        <f>D1217*E1217</f>
      </c>
    </row>
    <row r="1218" ht="21" customHeight="1" spans="1:6" x14ac:dyDescent="0.25">
      <c r="A1218" s="8"/>
      <c r="B1218" s="8"/>
      <c r="C1218" s="8"/>
      <c r="D1218" s="8"/>
      <c r="E1218" s="10">
        <f>IFERROR(VLOOKUP(C1218,'Inventory Master'!$A$3:$L$300,4,FALSE),0)</f>
      </c>
      <c r="F1218" s="10">
        <f>D1218*E1218</f>
      </c>
    </row>
    <row r="1219" ht="21" customHeight="1" spans="1:6" x14ac:dyDescent="0.25">
      <c r="A1219" s="8"/>
      <c r="B1219" s="8"/>
      <c r="C1219" s="8"/>
      <c r="D1219" s="8"/>
      <c r="E1219" s="10">
        <f>IFERROR(VLOOKUP(C1219,'Inventory Master'!$A$3:$L$300,4,FALSE),0)</f>
      </c>
      <c r="F1219" s="10">
        <f>D1219*E1219</f>
      </c>
    </row>
    <row r="1220" ht="21" customHeight="1" spans="1:6" x14ac:dyDescent="0.25">
      <c r="A1220" s="8"/>
      <c r="B1220" s="8"/>
      <c r="C1220" s="8"/>
      <c r="D1220" s="8"/>
      <c r="E1220" s="10">
        <f>IFERROR(VLOOKUP(C1220,'Inventory Master'!$A$3:$L$300,4,FALSE),0)</f>
      </c>
      <c r="F1220" s="10">
        <f>D1220*E1220</f>
      </c>
    </row>
    <row r="1221" ht="21" customHeight="1" spans="1:6" x14ac:dyDescent="0.25">
      <c r="A1221" s="8"/>
      <c r="B1221" s="8"/>
      <c r="C1221" s="8"/>
      <c r="D1221" s="8"/>
      <c r="E1221" s="10">
        <f>IFERROR(VLOOKUP(C1221,'Inventory Master'!$A$3:$L$300,4,FALSE),0)</f>
      </c>
      <c r="F1221" s="10">
        <f>D1221*E1221</f>
      </c>
    </row>
    <row r="1222" ht="21" customHeight="1" spans="1:6" x14ac:dyDescent="0.25">
      <c r="A1222" s="8"/>
      <c r="B1222" s="8"/>
      <c r="C1222" s="8"/>
      <c r="D1222" s="8"/>
      <c r="E1222" s="10">
        <f>IFERROR(VLOOKUP(C1222,'Inventory Master'!$A$3:$L$300,4,FALSE),0)</f>
      </c>
      <c r="F1222" s="10">
        <f>D1222*E1222</f>
      </c>
    </row>
    <row r="1223" ht="21" customHeight="1" spans="1:6" x14ac:dyDescent="0.25">
      <c r="A1223" s="8"/>
      <c r="B1223" s="8"/>
      <c r="C1223" s="8"/>
      <c r="D1223" s="8"/>
      <c r="E1223" s="10">
        <f>IFERROR(VLOOKUP(C1223,'Inventory Master'!$A$3:$L$300,4,FALSE),0)</f>
      </c>
      <c r="F1223" s="10">
        <f>D1223*E1223</f>
      </c>
    </row>
    <row r="1224" ht="21" customHeight="1" spans="1:6" x14ac:dyDescent="0.25">
      <c r="A1224" s="8"/>
      <c r="B1224" s="8"/>
      <c r="C1224" s="8"/>
      <c r="D1224" s="8"/>
      <c r="E1224" s="10">
        <f>IFERROR(VLOOKUP(C1224,'Inventory Master'!$A$3:$L$300,4,FALSE),0)</f>
      </c>
      <c r="F1224" s="10">
        <f>D1224*E1224</f>
      </c>
    </row>
    <row r="1225" ht="21" customHeight="1" spans="1:6" x14ac:dyDescent="0.25">
      <c r="A1225" s="8"/>
      <c r="B1225" s="8"/>
      <c r="C1225" s="8"/>
      <c r="D1225" s="8"/>
      <c r="E1225" s="10">
        <f>IFERROR(VLOOKUP(C1225,'Inventory Master'!$A$3:$L$300,4,FALSE),0)</f>
      </c>
      <c r="F1225" s="10">
        <f>D1225*E1225</f>
      </c>
    </row>
    <row r="1226" ht="21" customHeight="1" spans="1:6" x14ac:dyDescent="0.25">
      <c r="A1226" s="8"/>
      <c r="B1226" s="8"/>
      <c r="C1226" s="8"/>
      <c r="D1226" s="8"/>
      <c r="E1226" s="10">
        <f>IFERROR(VLOOKUP(C1226,'Inventory Master'!$A$3:$L$300,4,FALSE),0)</f>
      </c>
      <c r="F1226" s="10">
        <f>D1226*E1226</f>
      </c>
    </row>
    <row r="1227" ht="21" customHeight="1" spans="1:6" x14ac:dyDescent="0.25">
      <c r="A1227" s="8"/>
      <c r="B1227" s="8"/>
      <c r="C1227" s="8"/>
      <c r="D1227" s="8"/>
      <c r="E1227" s="10">
        <f>IFERROR(VLOOKUP(C1227,'Inventory Master'!$A$3:$L$300,4,FALSE),0)</f>
      </c>
      <c r="F1227" s="10">
        <f>D1227*E1227</f>
      </c>
    </row>
    <row r="1228" ht="21" customHeight="1" spans="1:6" x14ac:dyDescent="0.25">
      <c r="A1228" s="8"/>
      <c r="B1228" s="8"/>
      <c r="C1228" s="8"/>
      <c r="D1228" s="8"/>
      <c r="E1228" s="10">
        <f>IFERROR(VLOOKUP(C1228,'Inventory Master'!$A$3:$L$300,4,FALSE),0)</f>
      </c>
      <c r="F1228" s="10">
        <f>D1228*E1228</f>
      </c>
    </row>
    <row r="1229" ht="21" customHeight="1" spans="1:6" x14ac:dyDescent="0.25">
      <c r="A1229" s="8"/>
      <c r="B1229" s="8"/>
      <c r="C1229" s="8"/>
      <c r="D1229" s="8"/>
      <c r="E1229" s="10">
        <f>IFERROR(VLOOKUP(C1229,'Inventory Master'!$A$3:$L$300,4,FALSE),0)</f>
      </c>
      <c r="F1229" s="10">
        <f>D1229*E1229</f>
      </c>
    </row>
    <row r="1230" ht="21" customHeight="1" spans="1:6" x14ac:dyDescent="0.25">
      <c r="A1230" s="8"/>
      <c r="B1230" s="8"/>
      <c r="C1230" s="8"/>
      <c r="D1230" s="8"/>
      <c r="E1230" s="10">
        <f>IFERROR(VLOOKUP(C1230,'Inventory Master'!$A$3:$L$300,4,FALSE),0)</f>
      </c>
      <c r="F1230" s="10">
        <f>D1230*E1230</f>
      </c>
    </row>
    <row r="1231" ht="21" customHeight="1" spans="1:6" x14ac:dyDescent="0.25">
      <c r="A1231" s="8"/>
      <c r="B1231" s="8"/>
      <c r="C1231" s="8"/>
      <c r="D1231" s="8"/>
      <c r="E1231" s="10">
        <f>IFERROR(VLOOKUP(C1231,'Inventory Master'!$A$3:$L$300,4,FALSE),0)</f>
      </c>
      <c r="F1231" s="10">
        <f>D1231*E1231</f>
      </c>
    </row>
    <row r="1232" ht="21" customHeight="1" spans="1:6" x14ac:dyDescent="0.25">
      <c r="A1232" s="8"/>
      <c r="B1232" s="8"/>
      <c r="C1232" s="8"/>
      <c r="D1232" s="8"/>
      <c r="E1232" s="10">
        <f>IFERROR(VLOOKUP(C1232,'Inventory Master'!$A$3:$L$300,4,FALSE),0)</f>
      </c>
      <c r="F1232" s="10">
        <f>D1232*E1232</f>
      </c>
    </row>
    <row r="1233" ht="21" customHeight="1" spans="1:6" x14ac:dyDescent="0.25">
      <c r="A1233" s="8"/>
      <c r="B1233" s="8"/>
      <c r="C1233" s="8"/>
      <c r="D1233" s="8"/>
      <c r="E1233" s="10">
        <f>IFERROR(VLOOKUP(C1233,'Inventory Master'!$A$3:$L$300,4,FALSE),0)</f>
      </c>
      <c r="F1233" s="10">
        <f>D1233*E1233</f>
      </c>
    </row>
    <row r="1234" ht="21" customHeight="1" spans="1:6" x14ac:dyDescent="0.25">
      <c r="A1234" s="8"/>
      <c r="B1234" s="8"/>
      <c r="C1234" s="8"/>
      <c r="D1234" s="8"/>
      <c r="E1234" s="10">
        <f>IFERROR(VLOOKUP(C1234,'Inventory Master'!$A$3:$L$300,4,FALSE),0)</f>
      </c>
      <c r="F1234" s="10">
        <f>D1234*E1234</f>
      </c>
    </row>
    <row r="1235" ht="21" customHeight="1" spans="1:6" x14ac:dyDescent="0.25">
      <c r="A1235" s="8"/>
      <c r="B1235" s="8"/>
      <c r="C1235" s="8"/>
      <c r="D1235" s="8"/>
      <c r="E1235" s="10">
        <f>IFERROR(VLOOKUP(C1235,'Inventory Master'!$A$3:$L$300,4,FALSE),0)</f>
      </c>
      <c r="F1235" s="10">
        <f>D1235*E1235</f>
      </c>
    </row>
    <row r="1236" ht="21" customHeight="1" spans="1:6" x14ac:dyDescent="0.25">
      <c r="A1236" s="8"/>
      <c r="B1236" s="8"/>
      <c r="C1236" s="8"/>
      <c r="D1236" s="8"/>
      <c r="E1236" s="10">
        <f>IFERROR(VLOOKUP(C1236,'Inventory Master'!$A$3:$L$300,4,FALSE),0)</f>
      </c>
      <c r="F1236" s="10">
        <f>D1236*E1236</f>
      </c>
    </row>
    <row r="1237" ht="21" customHeight="1" spans="1:6" x14ac:dyDescent="0.25">
      <c r="A1237" s="8"/>
      <c r="B1237" s="8"/>
      <c r="C1237" s="8"/>
      <c r="D1237" s="8"/>
      <c r="E1237" s="10">
        <f>IFERROR(VLOOKUP(C1237,'Inventory Master'!$A$3:$L$300,4,FALSE),0)</f>
      </c>
      <c r="F1237" s="10">
        <f>D1237*E1237</f>
      </c>
    </row>
    <row r="1238" ht="21" customHeight="1" spans="1:6" x14ac:dyDescent="0.25">
      <c r="A1238" s="8"/>
      <c r="B1238" s="8"/>
      <c r="C1238" s="8"/>
      <c r="D1238" s="8"/>
      <c r="E1238" s="10">
        <f>IFERROR(VLOOKUP(C1238,'Inventory Master'!$A$3:$L$300,4,FALSE),0)</f>
      </c>
      <c r="F1238" s="10">
        <f>D1238*E1238</f>
      </c>
    </row>
    <row r="1239" ht="21" customHeight="1" spans="1:6" x14ac:dyDescent="0.25">
      <c r="A1239" s="8"/>
      <c r="B1239" s="8"/>
      <c r="C1239" s="8"/>
      <c r="D1239" s="8"/>
      <c r="E1239" s="10">
        <f>IFERROR(VLOOKUP(C1239,'Inventory Master'!$A$3:$L$300,4,FALSE),0)</f>
      </c>
      <c r="F1239" s="10">
        <f>D1239*E1239</f>
      </c>
    </row>
    <row r="1240" ht="21" customHeight="1" spans="1:6" x14ac:dyDescent="0.25">
      <c r="A1240" s="8"/>
      <c r="B1240" s="8"/>
      <c r="C1240" s="8"/>
      <c r="D1240" s="8"/>
      <c r="E1240" s="10">
        <f>IFERROR(VLOOKUP(C1240,'Inventory Master'!$A$3:$L$300,4,FALSE),0)</f>
      </c>
      <c r="F1240" s="10">
        <f>D1240*E1240</f>
      </c>
    </row>
    <row r="1241" ht="21" customHeight="1" spans="1:6" x14ac:dyDescent="0.25">
      <c r="A1241" s="8"/>
      <c r="B1241" s="8"/>
      <c r="C1241" s="8"/>
      <c r="D1241" s="8"/>
      <c r="E1241" s="10">
        <f>IFERROR(VLOOKUP(C1241,'Inventory Master'!$A$3:$L$300,4,FALSE),0)</f>
      </c>
      <c r="F1241" s="10">
        <f>D1241*E1241</f>
      </c>
    </row>
    <row r="1242" ht="21" customHeight="1" spans="1:6" x14ac:dyDescent="0.25">
      <c r="A1242" s="8"/>
      <c r="B1242" s="8"/>
      <c r="C1242" s="8"/>
      <c r="D1242" s="8"/>
      <c r="E1242" s="10">
        <f>IFERROR(VLOOKUP(C1242,'Inventory Master'!$A$3:$L$300,4,FALSE),0)</f>
      </c>
      <c r="F1242" s="10">
        <f>D1242*E1242</f>
      </c>
    </row>
    <row r="1243" ht="21" customHeight="1" spans="1:6" x14ac:dyDescent="0.25">
      <c r="A1243" s="8"/>
      <c r="B1243" s="8"/>
      <c r="C1243" s="8"/>
      <c r="D1243" s="8"/>
      <c r="E1243" s="10">
        <f>IFERROR(VLOOKUP(C1243,'Inventory Master'!$A$3:$L$300,4,FALSE),0)</f>
      </c>
      <c r="F1243" s="10">
        <f>D1243*E1243</f>
      </c>
    </row>
    <row r="1244" ht="21" customHeight="1" spans="1:6" x14ac:dyDescent="0.25">
      <c r="A1244" s="8"/>
      <c r="B1244" s="8"/>
      <c r="C1244" s="8"/>
      <c r="D1244" s="8"/>
      <c r="E1244" s="10">
        <f>IFERROR(VLOOKUP(C1244,'Inventory Master'!$A$3:$L$300,4,FALSE),0)</f>
      </c>
      <c r="F1244" s="10">
        <f>D1244*E1244</f>
      </c>
    </row>
    <row r="1245" ht="21" customHeight="1" spans="1:6" x14ac:dyDescent="0.25">
      <c r="A1245" s="8"/>
      <c r="B1245" s="8"/>
      <c r="C1245" s="8"/>
      <c r="D1245" s="8"/>
      <c r="E1245" s="10">
        <f>IFERROR(VLOOKUP(C1245,'Inventory Master'!$A$3:$L$300,4,FALSE),0)</f>
      </c>
      <c r="F1245" s="10">
        <f>D1245*E1245</f>
      </c>
    </row>
    <row r="1246" ht="21" customHeight="1" spans="1:6" x14ac:dyDescent="0.25">
      <c r="A1246" s="8"/>
      <c r="B1246" s="8"/>
      <c r="C1246" s="8"/>
      <c r="D1246" s="8"/>
      <c r="E1246" s="10">
        <f>IFERROR(VLOOKUP(C1246,'Inventory Master'!$A$3:$L$300,4,FALSE),0)</f>
      </c>
      <c r="F1246" s="10">
        <f>D1246*E1246</f>
      </c>
    </row>
    <row r="1247" ht="21" customHeight="1" spans="1:6" x14ac:dyDescent="0.25">
      <c r="A1247" s="8"/>
      <c r="B1247" s="8"/>
      <c r="C1247" s="8"/>
      <c r="D1247" s="8"/>
      <c r="E1247" s="10">
        <f>IFERROR(VLOOKUP(C1247,'Inventory Master'!$A$3:$L$300,4,FALSE),0)</f>
      </c>
      <c r="F1247" s="10">
        <f>D1247*E1247</f>
      </c>
    </row>
    <row r="1248" ht="21" customHeight="1" spans="1:6" x14ac:dyDescent="0.25">
      <c r="A1248" s="8"/>
      <c r="B1248" s="8"/>
      <c r="C1248" s="8"/>
      <c r="D1248" s="8"/>
      <c r="E1248" s="10">
        <f>IFERROR(VLOOKUP(C1248,'Inventory Master'!$A$3:$L$300,4,FALSE),0)</f>
      </c>
      <c r="F1248" s="10">
        <f>D1248*E1248</f>
      </c>
    </row>
    <row r="1249" ht="21" customHeight="1" spans="1:6" x14ac:dyDescent="0.25">
      <c r="A1249" s="8"/>
      <c r="B1249" s="8"/>
      <c r="C1249" s="8"/>
      <c r="D1249" s="8"/>
      <c r="E1249" s="10">
        <f>IFERROR(VLOOKUP(C1249,'Inventory Master'!$A$3:$L$300,4,FALSE),0)</f>
      </c>
      <c r="F1249" s="10">
        <f>D1249*E1249</f>
      </c>
    </row>
    <row r="1250" ht="21" customHeight="1" spans="1:6" x14ac:dyDescent="0.25">
      <c r="A1250" s="8"/>
      <c r="B1250" s="8"/>
      <c r="C1250" s="8"/>
      <c r="D1250" s="8"/>
      <c r="E1250" s="10">
        <f>IFERROR(VLOOKUP(C1250,'Inventory Master'!$A$3:$L$300,4,FALSE),0)</f>
      </c>
      <c r="F1250" s="10">
        <f>D1250*E1250</f>
      </c>
    </row>
    <row r="1251" ht="21" customHeight="1" spans="1:6" x14ac:dyDescent="0.25">
      <c r="A1251" s="8"/>
      <c r="B1251" s="8"/>
      <c r="C1251" s="8"/>
      <c r="D1251" s="8"/>
      <c r="E1251" s="10">
        <f>IFERROR(VLOOKUP(C1251,'Inventory Master'!$A$3:$L$300,4,FALSE),0)</f>
      </c>
      <c r="F1251" s="10">
        <f>D1251*E1251</f>
      </c>
    </row>
    <row r="1252" ht="21" customHeight="1" spans="1:6" x14ac:dyDescent="0.25">
      <c r="A1252" s="8"/>
      <c r="B1252" s="8"/>
      <c r="C1252" s="8"/>
      <c r="D1252" s="8"/>
      <c r="E1252" s="10">
        <f>IFERROR(VLOOKUP(C1252,'Inventory Master'!$A$3:$L$300,4,FALSE),0)</f>
      </c>
      <c r="F1252" s="10">
        <f>D1252*E1252</f>
      </c>
    </row>
    <row r="1253" ht="21" customHeight="1" spans="1:6" x14ac:dyDescent="0.25">
      <c r="A1253" s="8"/>
      <c r="B1253" s="8"/>
      <c r="C1253" s="8"/>
      <c r="D1253" s="8"/>
      <c r="E1253" s="10">
        <f>IFERROR(VLOOKUP(C1253,'Inventory Master'!$A$3:$L$300,4,FALSE),0)</f>
      </c>
      <c r="F1253" s="10">
        <f>D1253*E1253</f>
      </c>
    </row>
    <row r="1254" ht="21" customHeight="1" spans="1:6" x14ac:dyDescent="0.25">
      <c r="A1254" s="8"/>
      <c r="B1254" s="8"/>
      <c r="C1254" s="8"/>
      <c r="D1254" s="8"/>
      <c r="E1254" s="10">
        <f>IFERROR(VLOOKUP(C1254,'Inventory Master'!$A$3:$L$300,4,FALSE),0)</f>
      </c>
      <c r="F1254" s="10">
        <f>D1254*E1254</f>
      </c>
    </row>
    <row r="1255" ht="21" customHeight="1" spans="1:6" x14ac:dyDescent="0.25">
      <c r="A1255" s="8"/>
      <c r="B1255" s="8"/>
      <c r="C1255" s="8"/>
      <c r="D1255" s="8"/>
      <c r="E1255" s="10">
        <f>IFERROR(VLOOKUP(C1255,'Inventory Master'!$A$3:$L$300,4,FALSE),0)</f>
      </c>
      <c r="F1255" s="10">
        <f>D1255*E1255</f>
      </c>
    </row>
    <row r="1256" ht="21" customHeight="1" spans="1:6" x14ac:dyDescent="0.25">
      <c r="A1256" s="8"/>
      <c r="B1256" s="8"/>
      <c r="C1256" s="8"/>
      <c r="D1256" s="8"/>
      <c r="E1256" s="10">
        <f>IFERROR(VLOOKUP(C1256,'Inventory Master'!$A$3:$L$300,4,FALSE),0)</f>
      </c>
      <c r="F1256" s="10">
        <f>D1256*E1256</f>
      </c>
    </row>
    <row r="1257" ht="21" customHeight="1" spans="1:6" x14ac:dyDescent="0.25">
      <c r="A1257" s="8"/>
      <c r="B1257" s="8"/>
      <c r="C1257" s="8"/>
      <c r="D1257" s="8"/>
      <c r="E1257" s="10">
        <f>IFERROR(VLOOKUP(C1257,'Inventory Master'!$A$3:$L$300,4,FALSE),0)</f>
      </c>
      <c r="F1257" s="10">
        <f>D1257*E1257</f>
      </c>
    </row>
    <row r="1258" ht="21" customHeight="1" spans="1:6" x14ac:dyDescent="0.25">
      <c r="A1258" s="8"/>
      <c r="B1258" s="8"/>
      <c r="C1258" s="8"/>
      <c r="D1258" s="8"/>
      <c r="E1258" s="10">
        <f>IFERROR(VLOOKUP(C1258,'Inventory Master'!$A$3:$L$300,4,FALSE),0)</f>
      </c>
      <c r="F1258" s="10">
        <f>D1258*E1258</f>
      </c>
    </row>
    <row r="1259" ht="21" customHeight="1" spans="1:6" x14ac:dyDescent="0.25">
      <c r="A1259" s="8"/>
      <c r="B1259" s="8"/>
      <c r="C1259" s="8"/>
      <c r="D1259" s="8"/>
      <c r="E1259" s="10">
        <f>IFERROR(VLOOKUP(C1259,'Inventory Master'!$A$3:$L$300,4,FALSE),0)</f>
      </c>
      <c r="F1259" s="10">
        <f>D1259*E1259</f>
      </c>
    </row>
    <row r="1260" ht="21" customHeight="1" spans="1:6" x14ac:dyDescent="0.25">
      <c r="A1260" s="8"/>
      <c r="B1260" s="8"/>
      <c r="C1260" s="8"/>
      <c r="D1260" s="8"/>
      <c r="E1260" s="10">
        <f>IFERROR(VLOOKUP(C1260,'Inventory Master'!$A$3:$L$300,4,FALSE),0)</f>
      </c>
      <c r="F1260" s="10">
        <f>D1260*E1260</f>
      </c>
    </row>
    <row r="1261" ht="21" customHeight="1" spans="1:6" x14ac:dyDescent="0.25">
      <c r="A1261" s="8"/>
      <c r="B1261" s="8"/>
      <c r="C1261" s="8"/>
      <c r="D1261" s="8"/>
      <c r="E1261" s="10">
        <f>IFERROR(VLOOKUP(C1261,'Inventory Master'!$A$3:$L$300,4,FALSE),0)</f>
      </c>
      <c r="F1261" s="10">
        <f>D1261*E1261</f>
      </c>
    </row>
    <row r="1262" ht="21" customHeight="1" spans="1:6" x14ac:dyDescent="0.25">
      <c r="A1262" s="8"/>
      <c r="B1262" s="8"/>
      <c r="C1262" s="8"/>
      <c r="D1262" s="8"/>
      <c r="E1262" s="10">
        <f>IFERROR(VLOOKUP(C1262,'Inventory Master'!$A$3:$L$300,4,FALSE),0)</f>
      </c>
      <c r="F1262" s="10">
        <f>D1262*E1262</f>
      </c>
    </row>
    <row r="1263" ht="21" customHeight="1" spans="1:6" x14ac:dyDescent="0.25">
      <c r="A1263" s="8"/>
      <c r="B1263" s="8"/>
      <c r="C1263" s="8"/>
      <c r="D1263" s="8"/>
      <c r="E1263" s="10">
        <f>IFERROR(VLOOKUP(C1263,'Inventory Master'!$A$3:$L$300,4,FALSE),0)</f>
      </c>
      <c r="F1263" s="10">
        <f>D1263*E1263</f>
      </c>
    </row>
    <row r="1264" ht="21" customHeight="1" spans="1:6" x14ac:dyDescent="0.25">
      <c r="A1264" s="8"/>
      <c r="B1264" s="8"/>
      <c r="C1264" s="8"/>
      <c r="D1264" s="8"/>
      <c r="E1264" s="10">
        <f>IFERROR(VLOOKUP(C1264,'Inventory Master'!$A$3:$L$300,4,FALSE),0)</f>
      </c>
      <c r="F1264" s="10">
        <f>D1264*E1264</f>
      </c>
    </row>
    <row r="1265" ht="21" customHeight="1" spans="1:6" x14ac:dyDescent="0.25">
      <c r="A1265" s="8"/>
      <c r="B1265" s="8"/>
      <c r="C1265" s="8"/>
      <c r="D1265" s="8"/>
      <c r="E1265" s="10">
        <f>IFERROR(VLOOKUP(C1265,'Inventory Master'!$A$3:$L$300,4,FALSE),0)</f>
      </c>
      <c r="F1265" s="10">
        <f>D1265*E1265</f>
      </c>
    </row>
    <row r="1266" ht="21" customHeight="1" spans="1:6" x14ac:dyDescent="0.25">
      <c r="A1266" s="8"/>
      <c r="B1266" s="8"/>
      <c r="C1266" s="8"/>
      <c r="D1266" s="8"/>
      <c r="E1266" s="10">
        <f>IFERROR(VLOOKUP(C1266,'Inventory Master'!$A$3:$L$300,4,FALSE),0)</f>
      </c>
      <c r="F1266" s="10">
        <f>D1266*E1266</f>
      </c>
    </row>
    <row r="1267" ht="21" customHeight="1" spans="1:6" x14ac:dyDescent="0.25">
      <c r="A1267" s="8"/>
      <c r="B1267" s="8"/>
      <c r="C1267" s="8"/>
      <c r="D1267" s="8"/>
      <c r="E1267" s="10">
        <f>IFERROR(VLOOKUP(C1267,'Inventory Master'!$A$3:$L$300,4,FALSE),0)</f>
      </c>
      <c r="F1267" s="10">
        <f>D1267*E1267</f>
      </c>
    </row>
    <row r="1268" ht="21" customHeight="1" spans="1:6" x14ac:dyDescent="0.25">
      <c r="A1268" s="8"/>
      <c r="B1268" s="8"/>
      <c r="C1268" s="8"/>
      <c r="D1268" s="8"/>
      <c r="E1268" s="10">
        <f>IFERROR(VLOOKUP(C1268,'Inventory Master'!$A$3:$L$300,4,FALSE),0)</f>
      </c>
      <c r="F1268" s="10">
        <f>D1268*E1268</f>
      </c>
    </row>
    <row r="1269" ht="21" customHeight="1" spans="1:6" x14ac:dyDescent="0.25">
      <c r="A1269" s="8"/>
      <c r="B1269" s="8"/>
      <c r="C1269" s="8"/>
      <c r="D1269" s="8"/>
      <c r="E1269" s="10">
        <f>IFERROR(VLOOKUP(C1269,'Inventory Master'!$A$3:$L$300,4,FALSE),0)</f>
      </c>
      <c r="F1269" s="10">
        <f>D1269*E1269</f>
      </c>
    </row>
    <row r="1270" ht="21" customHeight="1" spans="1:6" x14ac:dyDescent="0.25">
      <c r="A1270" s="8"/>
      <c r="B1270" s="8"/>
      <c r="C1270" s="8"/>
      <c r="D1270" s="8"/>
      <c r="E1270" s="10">
        <f>IFERROR(VLOOKUP(C1270,'Inventory Master'!$A$3:$L$300,4,FALSE),0)</f>
      </c>
      <c r="F1270" s="10">
        <f>D1270*E1270</f>
      </c>
    </row>
    <row r="1271" ht="21" customHeight="1" spans="1:6" x14ac:dyDescent="0.25">
      <c r="A1271" s="8"/>
      <c r="B1271" s="8"/>
      <c r="C1271" s="8"/>
      <c r="D1271" s="8"/>
      <c r="E1271" s="10">
        <f>IFERROR(VLOOKUP(C1271,'Inventory Master'!$A$3:$L$300,4,FALSE),0)</f>
      </c>
      <c r="F1271" s="10">
        <f>D1271*E1271</f>
      </c>
    </row>
    <row r="1272" ht="21" customHeight="1" spans="1:6" x14ac:dyDescent="0.25">
      <c r="A1272" s="8"/>
      <c r="B1272" s="8"/>
      <c r="C1272" s="8"/>
      <c r="D1272" s="8"/>
      <c r="E1272" s="10">
        <f>IFERROR(VLOOKUP(C1272,'Inventory Master'!$A$3:$L$300,4,FALSE),0)</f>
      </c>
      <c r="F1272" s="10">
        <f>D1272*E1272</f>
      </c>
    </row>
    <row r="1273" ht="21" customHeight="1" spans="1:6" x14ac:dyDescent="0.25">
      <c r="A1273" s="8"/>
      <c r="B1273" s="8"/>
      <c r="C1273" s="8"/>
      <c r="D1273" s="8"/>
      <c r="E1273" s="10">
        <f>IFERROR(VLOOKUP(C1273,'Inventory Master'!$A$3:$L$300,4,FALSE),0)</f>
      </c>
      <c r="F1273" s="10">
        <f>D1273*E1273</f>
      </c>
    </row>
    <row r="1274" ht="21" customHeight="1" spans="1:6" x14ac:dyDescent="0.25">
      <c r="A1274" s="8"/>
      <c r="B1274" s="8"/>
      <c r="C1274" s="8"/>
      <c r="D1274" s="8"/>
      <c r="E1274" s="10">
        <f>IFERROR(VLOOKUP(C1274,'Inventory Master'!$A$3:$L$300,4,FALSE),0)</f>
      </c>
      <c r="F1274" s="10">
        <f>D1274*E1274</f>
      </c>
    </row>
    <row r="1275" ht="21" customHeight="1" spans="1:6" x14ac:dyDescent="0.25">
      <c r="A1275" s="8"/>
      <c r="B1275" s="8"/>
      <c r="C1275" s="8"/>
      <c r="D1275" s="8"/>
      <c r="E1275" s="10">
        <f>IFERROR(VLOOKUP(C1275,'Inventory Master'!$A$3:$L$300,4,FALSE),0)</f>
      </c>
      <c r="F1275" s="10">
        <f>D1275*E1275</f>
      </c>
    </row>
    <row r="1276" ht="21" customHeight="1" spans="1:6" x14ac:dyDescent="0.25">
      <c r="A1276" s="8"/>
      <c r="B1276" s="8"/>
      <c r="C1276" s="8"/>
      <c r="D1276" s="8"/>
      <c r="E1276" s="10">
        <f>IFERROR(VLOOKUP(C1276,'Inventory Master'!$A$3:$L$300,4,FALSE),0)</f>
      </c>
      <c r="F1276" s="10">
        <f>D1276*E1276</f>
      </c>
    </row>
    <row r="1277" ht="21" customHeight="1" spans="1:6" x14ac:dyDescent="0.25">
      <c r="A1277" s="8"/>
      <c r="B1277" s="8"/>
      <c r="C1277" s="8"/>
      <c r="D1277" s="8"/>
      <c r="E1277" s="10">
        <f>IFERROR(VLOOKUP(C1277,'Inventory Master'!$A$3:$L$300,4,FALSE),0)</f>
      </c>
      <c r="F1277" s="10">
        <f>D1277*E1277</f>
      </c>
    </row>
    <row r="1278" ht="21" customHeight="1" spans="1:6" x14ac:dyDescent="0.25">
      <c r="A1278" s="8"/>
      <c r="B1278" s="8"/>
      <c r="C1278" s="8"/>
      <c r="D1278" s="8"/>
      <c r="E1278" s="10">
        <f>IFERROR(VLOOKUP(C1278,'Inventory Master'!$A$3:$L$300,4,FALSE),0)</f>
      </c>
      <c r="F1278" s="10">
        <f>D1278*E1278</f>
      </c>
    </row>
    <row r="1279" ht="21" customHeight="1" spans="1:6" x14ac:dyDescent="0.25">
      <c r="A1279" s="8"/>
      <c r="B1279" s="8"/>
      <c r="C1279" s="8"/>
      <c r="D1279" s="8"/>
      <c r="E1279" s="10">
        <f>IFERROR(VLOOKUP(C1279,'Inventory Master'!$A$3:$L$300,4,FALSE),0)</f>
      </c>
      <c r="F1279" s="10">
        <f>D1279*E1279</f>
      </c>
    </row>
    <row r="1280" ht="21" customHeight="1" spans="1:6" x14ac:dyDescent="0.25">
      <c r="A1280" s="8"/>
      <c r="B1280" s="8"/>
      <c r="C1280" s="8"/>
      <c r="D1280" s="8"/>
      <c r="E1280" s="10">
        <f>IFERROR(VLOOKUP(C1280,'Inventory Master'!$A$3:$L$300,4,FALSE),0)</f>
      </c>
      <c r="F1280" s="10">
        <f>D1280*E1280</f>
      </c>
    </row>
    <row r="1281" ht="21" customHeight="1" spans="1:6" x14ac:dyDescent="0.25">
      <c r="A1281" s="8"/>
      <c r="B1281" s="8"/>
      <c r="C1281" s="8"/>
      <c r="D1281" s="8"/>
      <c r="E1281" s="10">
        <f>IFERROR(VLOOKUP(C1281,'Inventory Master'!$A$3:$L$300,4,FALSE),0)</f>
      </c>
      <c r="F1281" s="10">
        <f>D1281*E1281</f>
      </c>
    </row>
    <row r="1282" ht="21" customHeight="1" spans="1:6" x14ac:dyDescent="0.25">
      <c r="A1282" s="8"/>
      <c r="B1282" s="8"/>
      <c r="C1282" s="8"/>
      <c r="D1282" s="8"/>
      <c r="E1282" s="10">
        <f>IFERROR(VLOOKUP(C1282,'Inventory Master'!$A$3:$L$300,4,FALSE),0)</f>
      </c>
      <c r="F1282" s="10">
        <f>D1282*E1282</f>
      </c>
    </row>
    <row r="1283" ht="21" customHeight="1" spans="1:6" x14ac:dyDescent="0.25">
      <c r="A1283" s="8"/>
      <c r="B1283" s="8"/>
      <c r="C1283" s="8"/>
      <c r="D1283" s="8"/>
      <c r="E1283" s="10">
        <f>IFERROR(VLOOKUP(C1283,'Inventory Master'!$A$3:$L$300,4,FALSE),0)</f>
      </c>
      <c r="F1283" s="10">
        <f>D1283*E1283</f>
      </c>
    </row>
    <row r="1284" ht="21" customHeight="1" spans="1:6" x14ac:dyDescent="0.25">
      <c r="A1284" s="8"/>
      <c r="B1284" s="8"/>
      <c r="C1284" s="8"/>
      <c r="D1284" s="8"/>
      <c r="E1284" s="10">
        <f>IFERROR(VLOOKUP(C1284,'Inventory Master'!$A$3:$L$300,4,FALSE),0)</f>
      </c>
      <c r="F1284" s="10">
        <f>D1284*E1284</f>
      </c>
    </row>
    <row r="1285" ht="21" customHeight="1" spans="1:6" x14ac:dyDescent="0.25">
      <c r="A1285" s="8"/>
      <c r="B1285" s="8"/>
      <c r="C1285" s="8"/>
      <c r="D1285" s="8"/>
      <c r="E1285" s="10">
        <f>IFERROR(VLOOKUP(C1285,'Inventory Master'!$A$3:$L$300,4,FALSE),0)</f>
      </c>
      <c r="F1285" s="10">
        <f>D1285*E1285</f>
      </c>
    </row>
    <row r="1286" ht="21" customHeight="1" spans="1:6" x14ac:dyDescent="0.25">
      <c r="A1286" s="8"/>
      <c r="B1286" s="8"/>
      <c r="C1286" s="8"/>
      <c r="D1286" s="8"/>
      <c r="E1286" s="10">
        <f>IFERROR(VLOOKUP(C1286,'Inventory Master'!$A$3:$L$300,4,FALSE),0)</f>
      </c>
      <c r="F1286" s="10">
        <f>D1286*E1286</f>
      </c>
    </row>
    <row r="1287" ht="21" customHeight="1" spans="1:6" x14ac:dyDescent="0.25">
      <c r="A1287" s="8"/>
      <c r="B1287" s="8"/>
      <c r="C1287" s="8"/>
      <c r="D1287" s="8"/>
      <c r="E1287" s="10">
        <f>IFERROR(VLOOKUP(C1287,'Inventory Master'!$A$3:$L$300,4,FALSE),0)</f>
      </c>
      <c r="F1287" s="10">
        <f>D1287*E1287</f>
      </c>
    </row>
    <row r="1288" ht="21" customHeight="1" spans="1:6" x14ac:dyDescent="0.25">
      <c r="A1288" s="8"/>
      <c r="B1288" s="8"/>
      <c r="C1288" s="8"/>
      <c r="D1288" s="8"/>
      <c r="E1288" s="10">
        <f>IFERROR(VLOOKUP(C1288,'Inventory Master'!$A$3:$L$300,4,FALSE),0)</f>
      </c>
      <c r="F1288" s="10">
        <f>D1288*E1288</f>
      </c>
    </row>
    <row r="1289" ht="21" customHeight="1" spans="1:6" x14ac:dyDescent="0.25">
      <c r="A1289" s="8"/>
      <c r="B1289" s="8"/>
      <c r="C1289" s="8"/>
      <c r="D1289" s="8"/>
      <c r="E1289" s="10">
        <f>IFERROR(VLOOKUP(C1289,'Inventory Master'!$A$3:$L$300,4,FALSE),0)</f>
      </c>
      <c r="F1289" s="10">
        <f>D1289*E1289</f>
      </c>
    </row>
    <row r="1290" ht="21" customHeight="1" spans="1:6" x14ac:dyDescent="0.25">
      <c r="A1290" s="8"/>
      <c r="B1290" s="8"/>
      <c r="C1290" s="8"/>
      <c r="D1290" s="8"/>
      <c r="E1290" s="10">
        <f>IFERROR(VLOOKUP(C1290,'Inventory Master'!$A$3:$L$300,4,FALSE),0)</f>
      </c>
      <c r="F1290" s="10">
        <f>D1290*E1290</f>
      </c>
    </row>
    <row r="1291" ht="21" customHeight="1" spans="1:6" x14ac:dyDescent="0.25">
      <c r="A1291" s="8"/>
      <c r="B1291" s="8"/>
      <c r="C1291" s="8"/>
      <c r="D1291" s="8"/>
      <c r="E1291" s="10">
        <f>IFERROR(VLOOKUP(C1291,'Inventory Master'!$A$3:$L$300,4,FALSE),0)</f>
      </c>
      <c r="F1291" s="10">
        <f>D1291*E1291</f>
      </c>
    </row>
    <row r="1292" ht="21" customHeight="1" spans="1:6" x14ac:dyDescent="0.25">
      <c r="A1292" s="8"/>
      <c r="B1292" s="8"/>
      <c r="C1292" s="8"/>
      <c r="D1292" s="8"/>
      <c r="E1292" s="10">
        <f>IFERROR(VLOOKUP(C1292,'Inventory Master'!$A$3:$L$300,4,FALSE),0)</f>
      </c>
      <c r="F1292" s="10">
        <f>D1292*E1292</f>
      </c>
    </row>
    <row r="1293" ht="21" customHeight="1" spans="1:6" x14ac:dyDescent="0.25">
      <c r="A1293" s="8"/>
      <c r="B1293" s="8"/>
      <c r="C1293" s="8"/>
      <c r="D1293" s="8"/>
      <c r="E1293" s="10">
        <f>IFERROR(VLOOKUP(C1293,'Inventory Master'!$A$3:$L$300,4,FALSE),0)</f>
      </c>
      <c r="F1293" s="10">
        <f>D1293*E1293</f>
      </c>
    </row>
    <row r="1294" ht="21" customHeight="1" spans="1:6" x14ac:dyDescent="0.25">
      <c r="A1294" s="8"/>
      <c r="B1294" s="8"/>
      <c r="C1294" s="8"/>
      <c r="D1294" s="8"/>
      <c r="E1294" s="10">
        <f>IFERROR(VLOOKUP(C1294,'Inventory Master'!$A$3:$L$300,4,FALSE),0)</f>
      </c>
      <c r="F1294" s="10">
        <f>D1294*E1294</f>
      </c>
    </row>
    <row r="1295" ht="21" customHeight="1" spans="1:6" x14ac:dyDescent="0.25">
      <c r="A1295" s="8"/>
      <c r="B1295" s="8"/>
      <c r="C1295" s="8"/>
      <c r="D1295" s="8"/>
      <c r="E1295" s="10">
        <f>IFERROR(VLOOKUP(C1295,'Inventory Master'!$A$3:$L$300,4,FALSE),0)</f>
      </c>
      <c r="F1295" s="10">
        <f>D1295*E1295</f>
      </c>
    </row>
    <row r="1296" ht="21" customHeight="1" spans="1:6" x14ac:dyDescent="0.25">
      <c r="A1296" s="8"/>
      <c r="B1296" s="8"/>
      <c r="C1296" s="8"/>
      <c r="D1296" s="8"/>
      <c r="E1296" s="10">
        <f>IFERROR(VLOOKUP(C1296,'Inventory Master'!$A$3:$L$300,4,FALSE),0)</f>
      </c>
      <c r="F1296" s="10">
        <f>D1296*E1296</f>
      </c>
    </row>
    <row r="1297" ht="21" customHeight="1" spans="1:6" x14ac:dyDescent="0.25">
      <c r="A1297" s="8"/>
      <c r="B1297" s="8"/>
      <c r="C1297" s="8"/>
      <c r="D1297" s="8"/>
      <c r="E1297" s="10">
        <f>IFERROR(VLOOKUP(C1297,'Inventory Master'!$A$3:$L$300,4,FALSE),0)</f>
      </c>
      <c r="F1297" s="10">
        <f>D1297*E1297</f>
      </c>
    </row>
    <row r="1298" ht="21" customHeight="1" spans="1:6" x14ac:dyDescent="0.25">
      <c r="A1298" s="8"/>
      <c r="B1298" s="8"/>
      <c r="C1298" s="8"/>
      <c r="D1298" s="8"/>
      <c r="E1298" s="10">
        <f>IFERROR(VLOOKUP(C1298,'Inventory Master'!$A$3:$L$300,4,FALSE),0)</f>
      </c>
      <c r="F1298" s="10">
        <f>D1298*E1298</f>
      </c>
    </row>
    <row r="1299" ht="21" customHeight="1" spans="1:6" x14ac:dyDescent="0.25">
      <c r="A1299" s="8"/>
      <c r="B1299" s="8"/>
      <c r="C1299" s="8"/>
      <c r="D1299" s="8"/>
      <c r="E1299" s="10">
        <f>IFERROR(VLOOKUP(C1299,'Inventory Master'!$A$3:$L$300,4,FALSE),0)</f>
      </c>
      <c r="F1299" s="10">
        <f>D1299*E1299</f>
      </c>
    </row>
    <row r="1300" ht="21" customHeight="1" spans="1:6" x14ac:dyDescent="0.25">
      <c r="A1300" s="8"/>
      <c r="B1300" s="8"/>
      <c r="C1300" s="8"/>
      <c r="D1300" s="8"/>
      <c r="E1300" s="10">
        <f>IFERROR(VLOOKUP(C1300,'Inventory Master'!$A$3:$L$300,4,FALSE),0)</f>
      </c>
      <c r="F1300" s="10">
        <f>D1300*E1300</f>
      </c>
    </row>
    <row r="1301" ht="21" customHeight="1" spans="1:6" x14ac:dyDescent="0.25">
      <c r="A1301" s="8"/>
      <c r="B1301" s="8"/>
      <c r="C1301" s="8"/>
      <c r="D1301" s="8"/>
      <c r="E1301" s="10">
        <f>IFERROR(VLOOKUP(C1301,'Inventory Master'!$A$3:$L$300,4,FALSE),0)</f>
      </c>
      <c r="F1301" s="10">
        <f>D1301*E1301</f>
      </c>
    </row>
    <row r="1302" ht="21" customHeight="1" spans="1:6" x14ac:dyDescent="0.25">
      <c r="A1302" s="8"/>
      <c r="B1302" s="8"/>
      <c r="C1302" s="8"/>
      <c r="D1302" s="8"/>
      <c r="E1302" s="10">
        <f>IFERROR(VLOOKUP(C1302,'Inventory Master'!$A$3:$L$300,4,FALSE),0)</f>
      </c>
      <c r="F1302" s="10">
        <f>D1302*E1302</f>
      </c>
    </row>
    <row r="1303" ht="21" customHeight="1" spans="1:6" x14ac:dyDescent="0.25">
      <c r="A1303" s="8"/>
      <c r="B1303" s="8"/>
      <c r="C1303" s="8"/>
      <c r="D1303" s="8"/>
      <c r="E1303" s="10">
        <f>IFERROR(VLOOKUP(C1303,'Inventory Master'!$A$3:$L$300,4,FALSE),0)</f>
      </c>
      <c r="F1303" s="10">
        <f>D1303*E1303</f>
      </c>
    </row>
    <row r="1304" ht="21" customHeight="1" spans="1:6" x14ac:dyDescent="0.25">
      <c r="A1304" s="8"/>
      <c r="B1304" s="8"/>
      <c r="C1304" s="8"/>
      <c r="D1304" s="8"/>
      <c r="E1304" s="10">
        <f>IFERROR(VLOOKUP(C1304,'Inventory Master'!$A$3:$L$300,4,FALSE),0)</f>
      </c>
      <c r="F1304" s="10">
        <f>D1304*E1304</f>
      </c>
    </row>
    <row r="1305" ht="21" customHeight="1" spans="1:6" x14ac:dyDescent="0.25">
      <c r="A1305" s="8"/>
      <c r="B1305" s="8"/>
      <c r="C1305" s="8"/>
      <c r="D1305" s="8"/>
      <c r="E1305" s="10">
        <f>IFERROR(VLOOKUP(C1305,'Inventory Master'!$A$3:$L$300,4,FALSE),0)</f>
      </c>
      <c r="F1305" s="10">
        <f>D1305*E1305</f>
      </c>
    </row>
    <row r="1306" ht="21" customHeight="1" spans="1:6" x14ac:dyDescent="0.25">
      <c r="A1306" s="8"/>
      <c r="B1306" s="8"/>
      <c r="C1306" s="8"/>
      <c r="D1306" s="8"/>
      <c r="E1306" s="10">
        <f>IFERROR(VLOOKUP(C1306,'Inventory Master'!$A$3:$L$300,4,FALSE),0)</f>
      </c>
      <c r="F1306" s="10">
        <f>D1306*E1306</f>
      </c>
    </row>
    <row r="1307" ht="21" customHeight="1" spans="1:6" x14ac:dyDescent="0.25">
      <c r="A1307" s="8"/>
      <c r="B1307" s="8"/>
      <c r="C1307" s="8"/>
      <c r="D1307" s="8"/>
      <c r="E1307" s="10">
        <f>IFERROR(VLOOKUP(C1307,'Inventory Master'!$A$3:$L$300,4,FALSE),0)</f>
      </c>
      <c r="F1307" s="10">
        <f>D1307*E1307</f>
      </c>
    </row>
    <row r="1308" ht="21" customHeight="1" spans="1:6" x14ac:dyDescent="0.25">
      <c r="A1308" s="8"/>
      <c r="B1308" s="8"/>
      <c r="C1308" s="8"/>
      <c r="D1308" s="8"/>
      <c r="E1308" s="10">
        <f>IFERROR(VLOOKUP(C1308,'Inventory Master'!$A$3:$L$300,4,FALSE),0)</f>
      </c>
      <c r="F1308" s="10">
        <f>D1308*E1308</f>
      </c>
    </row>
    <row r="1309" ht="21" customHeight="1" spans="1:6" x14ac:dyDescent="0.25">
      <c r="A1309" s="8"/>
      <c r="B1309" s="8"/>
      <c r="C1309" s="8"/>
      <c r="D1309" s="8"/>
      <c r="E1309" s="10">
        <f>IFERROR(VLOOKUP(C1309,'Inventory Master'!$A$3:$L$300,4,FALSE),0)</f>
      </c>
      <c r="F1309" s="10">
        <f>D1309*E1309</f>
      </c>
    </row>
    <row r="1310" ht="21" customHeight="1" spans="1:6" x14ac:dyDescent="0.25">
      <c r="A1310" s="8"/>
      <c r="B1310" s="8"/>
      <c r="C1310" s="8"/>
      <c r="D1310" s="8"/>
      <c r="E1310" s="10">
        <f>IFERROR(VLOOKUP(C1310,'Inventory Master'!$A$3:$L$300,4,FALSE),0)</f>
      </c>
      <c r="F1310" s="10">
        <f>D1310*E1310</f>
      </c>
    </row>
    <row r="1311" ht="21" customHeight="1" spans="1:6" x14ac:dyDescent="0.25">
      <c r="A1311" s="8"/>
      <c r="B1311" s="8"/>
      <c r="C1311" s="8"/>
      <c r="D1311" s="8"/>
      <c r="E1311" s="10">
        <f>IFERROR(VLOOKUP(C1311,'Inventory Master'!$A$3:$L$300,4,FALSE),0)</f>
      </c>
      <c r="F1311" s="10">
        <f>D1311*E1311</f>
      </c>
    </row>
    <row r="1312" ht="21" customHeight="1" spans="1:6" x14ac:dyDescent="0.25">
      <c r="A1312" s="8"/>
      <c r="B1312" s="8"/>
      <c r="C1312" s="8"/>
      <c r="D1312" s="8"/>
      <c r="E1312" s="10">
        <f>IFERROR(VLOOKUP(C1312,'Inventory Master'!$A$3:$L$300,4,FALSE),0)</f>
      </c>
      <c r="F1312" s="10">
        <f>D1312*E1312</f>
      </c>
    </row>
    <row r="1313" ht="21" customHeight="1" spans="1:6" x14ac:dyDescent="0.25">
      <c r="A1313" s="8"/>
      <c r="B1313" s="8"/>
      <c r="C1313" s="8"/>
      <c r="D1313" s="8"/>
      <c r="E1313" s="10">
        <f>IFERROR(VLOOKUP(C1313,'Inventory Master'!$A$3:$L$300,4,FALSE),0)</f>
      </c>
      <c r="F1313" s="10">
        <f>D1313*E1313</f>
      </c>
    </row>
    <row r="1314" ht="21" customHeight="1" spans="1:6" x14ac:dyDescent="0.25">
      <c r="A1314" s="8"/>
      <c r="B1314" s="8"/>
      <c r="C1314" s="8"/>
      <c r="D1314" s="8"/>
      <c r="E1314" s="10">
        <f>IFERROR(VLOOKUP(C1314,'Inventory Master'!$A$3:$L$300,4,FALSE),0)</f>
      </c>
      <c r="F1314" s="10">
        <f>D1314*E1314</f>
      </c>
    </row>
    <row r="1315" ht="21" customHeight="1" spans="1:6" x14ac:dyDescent="0.25">
      <c r="A1315" s="8"/>
      <c r="B1315" s="8"/>
      <c r="C1315" s="8"/>
      <c r="D1315" s="8"/>
      <c r="E1315" s="10">
        <f>IFERROR(VLOOKUP(C1315,'Inventory Master'!$A$3:$L$300,4,FALSE),0)</f>
      </c>
      <c r="F1315" s="10">
        <f>D1315*E1315</f>
      </c>
    </row>
    <row r="1316" ht="21" customHeight="1" spans="1:6" x14ac:dyDescent="0.25">
      <c r="A1316" s="8"/>
      <c r="B1316" s="8"/>
      <c r="C1316" s="8"/>
      <c r="D1316" s="8"/>
      <c r="E1316" s="10">
        <f>IFERROR(VLOOKUP(C1316,'Inventory Master'!$A$3:$L$300,4,FALSE),0)</f>
      </c>
      <c r="F1316" s="10">
        <f>D1316*E1316</f>
      </c>
    </row>
    <row r="1317" ht="21" customHeight="1" spans="1:6" x14ac:dyDescent="0.25">
      <c r="A1317" s="8"/>
      <c r="B1317" s="8"/>
      <c r="C1317" s="8"/>
      <c r="D1317" s="8"/>
      <c r="E1317" s="10">
        <f>IFERROR(VLOOKUP(C1317,'Inventory Master'!$A$3:$L$300,4,FALSE),0)</f>
      </c>
      <c r="F1317" s="10">
        <f>D1317*E1317</f>
      </c>
    </row>
    <row r="1318" ht="21" customHeight="1" spans="1:6" x14ac:dyDescent="0.25">
      <c r="A1318" s="8"/>
      <c r="B1318" s="8"/>
      <c r="C1318" s="8"/>
      <c r="D1318" s="8"/>
      <c r="E1318" s="10">
        <f>IFERROR(VLOOKUP(C1318,'Inventory Master'!$A$3:$L$300,4,FALSE),0)</f>
      </c>
      <c r="F1318" s="10">
        <f>D1318*E1318</f>
      </c>
    </row>
    <row r="1319" ht="21" customHeight="1" spans="1:6" x14ac:dyDescent="0.25">
      <c r="A1319" s="8"/>
      <c r="B1319" s="8"/>
      <c r="C1319" s="8"/>
      <c r="D1319" s="8"/>
      <c r="E1319" s="10">
        <f>IFERROR(VLOOKUP(C1319,'Inventory Master'!$A$3:$L$300,4,FALSE),0)</f>
      </c>
      <c r="F1319" s="10">
        <f>D1319*E1319</f>
      </c>
    </row>
    <row r="1320" ht="21" customHeight="1" spans="1:6" x14ac:dyDescent="0.25">
      <c r="A1320" s="8"/>
      <c r="B1320" s="8"/>
      <c r="C1320" s="8"/>
      <c r="D1320" s="8"/>
      <c r="E1320" s="10">
        <f>IFERROR(VLOOKUP(C1320,'Inventory Master'!$A$3:$L$300,4,FALSE),0)</f>
      </c>
      <c r="F1320" s="10">
        <f>D1320*E1320</f>
      </c>
    </row>
    <row r="1321" ht="21" customHeight="1" spans="1:6" x14ac:dyDescent="0.25">
      <c r="A1321" s="8"/>
      <c r="B1321" s="8"/>
      <c r="C1321" s="8"/>
      <c r="D1321" s="8"/>
      <c r="E1321" s="10">
        <f>IFERROR(VLOOKUP(C1321,'Inventory Master'!$A$3:$L$300,4,FALSE),0)</f>
      </c>
      <c r="F1321" s="10">
        <f>D1321*E1321</f>
      </c>
    </row>
    <row r="1322" ht="21" customHeight="1" spans="1:6" x14ac:dyDescent="0.25">
      <c r="A1322" s="8"/>
      <c r="B1322" s="8"/>
      <c r="C1322" s="8"/>
      <c r="D1322" s="8"/>
      <c r="E1322" s="10">
        <f>IFERROR(VLOOKUP(C1322,'Inventory Master'!$A$3:$L$300,4,FALSE),0)</f>
      </c>
      <c r="F1322" s="10">
        <f>D1322*E1322</f>
      </c>
    </row>
    <row r="1323" ht="21" customHeight="1" spans="1:6" x14ac:dyDescent="0.25">
      <c r="A1323" s="8"/>
      <c r="B1323" s="8"/>
      <c r="C1323" s="8"/>
      <c r="D1323" s="8"/>
      <c r="E1323" s="10">
        <f>IFERROR(VLOOKUP(C1323,'Inventory Master'!$A$3:$L$300,4,FALSE),0)</f>
      </c>
      <c r="F1323" s="10">
        <f>D1323*E1323</f>
      </c>
    </row>
    <row r="1324" ht="21" customHeight="1" spans="1:6" x14ac:dyDescent="0.25">
      <c r="A1324" s="8"/>
      <c r="B1324" s="8"/>
      <c r="C1324" s="8"/>
      <c r="D1324" s="8"/>
      <c r="E1324" s="10">
        <f>IFERROR(VLOOKUP(C1324,'Inventory Master'!$A$3:$L$300,4,FALSE),0)</f>
      </c>
      <c r="F1324" s="10">
        <f>D1324*E1324</f>
      </c>
    </row>
    <row r="1325" ht="21" customHeight="1" spans="1:6" x14ac:dyDescent="0.25">
      <c r="A1325" s="8"/>
      <c r="B1325" s="8"/>
      <c r="C1325" s="8"/>
      <c r="D1325" s="8"/>
      <c r="E1325" s="10">
        <f>IFERROR(VLOOKUP(C1325,'Inventory Master'!$A$3:$L$300,4,FALSE),0)</f>
      </c>
      <c r="F1325" s="10">
        <f>D1325*E1325</f>
      </c>
    </row>
    <row r="1326" ht="21" customHeight="1" spans="1:6" x14ac:dyDescent="0.25">
      <c r="A1326" s="8"/>
      <c r="B1326" s="8"/>
      <c r="C1326" s="8"/>
      <c r="D1326" s="8"/>
      <c r="E1326" s="10">
        <f>IFERROR(VLOOKUP(C1326,'Inventory Master'!$A$3:$L$300,4,FALSE),0)</f>
      </c>
      <c r="F1326" s="10">
        <f>D1326*E1326</f>
      </c>
    </row>
    <row r="1327" ht="21" customHeight="1" spans="1:6" x14ac:dyDescent="0.25">
      <c r="A1327" s="8"/>
      <c r="B1327" s="8"/>
      <c r="C1327" s="8"/>
      <c r="D1327" s="8"/>
      <c r="E1327" s="10">
        <f>IFERROR(VLOOKUP(C1327,'Inventory Master'!$A$3:$L$300,4,FALSE),0)</f>
      </c>
      <c r="F1327" s="10">
        <f>D1327*E1327</f>
      </c>
    </row>
    <row r="1328" ht="21" customHeight="1" spans="1:6" x14ac:dyDescent="0.25">
      <c r="A1328" s="8"/>
      <c r="B1328" s="8"/>
      <c r="C1328" s="8"/>
      <c r="D1328" s="8"/>
      <c r="E1328" s="10">
        <f>IFERROR(VLOOKUP(C1328,'Inventory Master'!$A$3:$L$300,4,FALSE),0)</f>
      </c>
      <c r="F1328" s="10">
        <f>D1328*E1328</f>
      </c>
    </row>
    <row r="1329" ht="21" customHeight="1" spans="1:6" x14ac:dyDescent="0.25">
      <c r="A1329" s="8"/>
      <c r="B1329" s="8"/>
      <c r="C1329" s="8"/>
      <c r="D1329" s="8"/>
      <c r="E1329" s="10">
        <f>IFERROR(VLOOKUP(C1329,'Inventory Master'!$A$3:$L$300,4,FALSE),0)</f>
      </c>
      <c r="F1329" s="10">
        <f>D1329*E1329</f>
      </c>
    </row>
    <row r="1330" ht="21" customHeight="1" spans="1:6" x14ac:dyDescent="0.25">
      <c r="A1330" s="8"/>
      <c r="B1330" s="8"/>
      <c r="C1330" s="8"/>
      <c r="D1330" s="8"/>
      <c r="E1330" s="10">
        <f>IFERROR(VLOOKUP(C1330,'Inventory Master'!$A$3:$L$300,4,FALSE),0)</f>
      </c>
      <c r="F1330" s="10">
        <f>D1330*E1330</f>
      </c>
    </row>
    <row r="1331" ht="21" customHeight="1" spans="1:6" x14ac:dyDescent="0.25">
      <c r="A1331" s="8"/>
      <c r="B1331" s="8"/>
      <c r="C1331" s="8"/>
      <c r="D1331" s="8"/>
      <c r="E1331" s="10">
        <f>IFERROR(VLOOKUP(C1331,'Inventory Master'!$A$3:$L$300,4,FALSE),0)</f>
      </c>
      <c r="F1331" s="10">
        <f>D1331*E1331</f>
      </c>
    </row>
    <row r="1332" ht="21" customHeight="1" spans="1:6" x14ac:dyDescent="0.25">
      <c r="A1332" s="8"/>
      <c r="B1332" s="8"/>
      <c r="C1332" s="8"/>
      <c r="D1332" s="8"/>
      <c r="E1332" s="10">
        <f>IFERROR(VLOOKUP(C1332,'Inventory Master'!$A$3:$L$300,4,FALSE),0)</f>
      </c>
      <c r="F1332" s="10">
        <f>D1332*E1332</f>
      </c>
    </row>
    <row r="1333" ht="21" customHeight="1" spans="1:6" x14ac:dyDescent="0.25">
      <c r="A1333" s="8"/>
      <c r="B1333" s="8"/>
      <c r="C1333" s="8"/>
      <c r="D1333" s="8"/>
      <c r="E1333" s="10">
        <f>IFERROR(VLOOKUP(C1333,'Inventory Master'!$A$3:$L$300,4,FALSE),0)</f>
      </c>
      <c r="F1333" s="10">
        <f>D1333*E1333</f>
      </c>
    </row>
    <row r="1334" ht="21" customHeight="1" spans="1:6" x14ac:dyDescent="0.25">
      <c r="A1334" s="8"/>
      <c r="B1334" s="8"/>
      <c r="C1334" s="8"/>
      <c r="D1334" s="8"/>
      <c r="E1334" s="10">
        <f>IFERROR(VLOOKUP(C1334,'Inventory Master'!$A$3:$L$300,4,FALSE),0)</f>
      </c>
      <c r="F1334" s="10">
        <f>D1334*E1334</f>
      </c>
    </row>
    <row r="1335" ht="21" customHeight="1" spans="1:6" x14ac:dyDescent="0.25">
      <c r="A1335" s="8"/>
      <c r="B1335" s="8"/>
      <c r="C1335" s="8"/>
      <c r="D1335" s="8"/>
      <c r="E1335" s="10">
        <f>IFERROR(VLOOKUP(C1335,'Inventory Master'!$A$3:$L$300,4,FALSE),0)</f>
      </c>
      <c r="F1335" s="10">
        <f>D1335*E1335</f>
      </c>
    </row>
    <row r="1336" ht="21" customHeight="1" spans="1:6" x14ac:dyDescent="0.25">
      <c r="A1336" s="8"/>
      <c r="B1336" s="8"/>
      <c r="C1336" s="8"/>
      <c r="D1336" s="8"/>
      <c r="E1336" s="10">
        <f>IFERROR(VLOOKUP(C1336,'Inventory Master'!$A$3:$L$300,4,FALSE),0)</f>
      </c>
      <c r="F1336" s="10">
        <f>D1336*E1336</f>
      </c>
    </row>
    <row r="1337" ht="21" customHeight="1" spans="1:6" x14ac:dyDescent="0.25">
      <c r="A1337" s="8"/>
      <c r="B1337" s="8"/>
      <c r="C1337" s="8"/>
      <c r="D1337" s="8"/>
      <c r="E1337" s="10">
        <f>IFERROR(VLOOKUP(C1337,'Inventory Master'!$A$3:$L$300,4,FALSE),0)</f>
      </c>
      <c r="F1337" s="10">
        <f>D1337*E1337</f>
      </c>
    </row>
    <row r="1338" ht="21" customHeight="1" spans="1:6" x14ac:dyDescent="0.25">
      <c r="A1338" s="8"/>
      <c r="B1338" s="8"/>
      <c r="C1338" s="8"/>
      <c r="D1338" s="8"/>
      <c r="E1338" s="10">
        <f>IFERROR(VLOOKUP(C1338,'Inventory Master'!$A$3:$L$300,4,FALSE),0)</f>
      </c>
      <c r="F1338" s="10">
        <f>D1338*E1338</f>
      </c>
    </row>
    <row r="1339" ht="21" customHeight="1" spans="1:6" x14ac:dyDescent="0.25">
      <c r="A1339" s="8"/>
      <c r="B1339" s="8"/>
      <c r="C1339" s="8"/>
      <c r="D1339" s="8"/>
      <c r="E1339" s="10">
        <f>IFERROR(VLOOKUP(C1339,'Inventory Master'!$A$3:$L$300,4,FALSE),0)</f>
      </c>
      <c r="F1339" s="10">
        <f>D1339*E1339</f>
      </c>
    </row>
    <row r="1340" ht="21" customHeight="1" spans="1:6" x14ac:dyDescent="0.25">
      <c r="A1340" s="8"/>
      <c r="B1340" s="8"/>
      <c r="C1340" s="8"/>
      <c r="D1340" s="8"/>
      <c r="E1340" s="10">
        <f>IFERROR(VLOOKUP(C1340,'Inventory Master'!$A$3:$L$300,4,FALSE),0)</f>
      </c>
      <c r="F1340" s="10">
        <f>D1340*E1340</f>
      </c>
    </row>
    <row r="1341" ht="21" customHeight="1" spans="1:6" x14ac:dyDescent="0.25">
      <c r="A1341" s="8"/>
      <c r="B1341" s="8"/>
      <c r="C1341" s="8"/>
      <c r="D1341" s="8"/>
      <c r="E1341" s="10">
        <f>IFERROR(VLOOKUP(C1341,'Inventory Master'!$A$3:$L$300,4,FALSE),0)</f>
      </c>
      <c r="F1341" s="10">
        <f>D1341*E1341</f>
      </c>
    </row>
    <row r="1342" ht="21" customHeight="1" spans="1:6" x14ac:dyDescent="0.25">
      <c r="A1342" s="8"/>
      <c r="B1342" s="8"/>
      <c r="C1342" s="8"/>
      <c r="D1342" s="8"/>
      <c r="E1342" s="10">
        <f>IFERROR(VLOOKUP(C1342,'Inventory Master'!$A$3:$L$300,4,FALSE),0)</f>
      </c>
      <c r="F1342" s="10">
        <f>D1342*E1342</f>
      </c>
    </row>
    <row r="1343" ht="21" customHeight="1" spans="1:6" x14ac:dyDescent="0.25">
      <c r="A1343" s="8"/>
      <c r="B1343" s="8"/>
      <c r="C1343" s="8"/>
      <c r="D1343" s="8"/>
      <c r="E1343" s="10">
        <f>IFERROR(VLOOKUP(C1343,'Inventory Master'!$A$3:$L$300,4,FALSE),0)</f>
      </c>
      <c r="F1343" s="10">
        <f>D1343*E1343</f>
      </c>
    </row>
    <row r="1344" ht="21" customHeight="1" spans="1:6" x14ac:dyDescent="0.25">
      <c r="A1344" s="8"/>
      <c r="B1344" s="8"/>
      <c r="C1344" s="8"/>
      <c r="D1344" s="8"/>
      <c r="E1344" s="10">
        <f>IFERROR(VLOOKUP(C1344,'Inventory Master'!$A$3:$L$300,4,FALSE),0)</f>
      </c>
      <c r="F1344" s="10">
        <f>D1344*E1344</f>
      </c>
    </row>
    <row r="1345" ht="21" customHeight="1" spans="1:6" x14ac:dyDescent="0.25">
      <c r="A1345" s="8"/>
      <c r="B1345" s="8"/>
      <c r="C1345" s="8"/>
      <c r="D1345" s="8"/>
      <c r="E1345" s="10">
        <f>IFERROR(VLOOKUP(C1345,'Inventory Master'!$A$3:$L$300,4,FALSE),0)</f>
      </c>
      <c r="F1345" s="10">
        <f>D1345*E1345</f>
      </c>
    </row>
    <row r="1346" ht="21" customHeight="1" spans="1:6" x14ac:dyDescent="0.25">
      <c r="A1346" s="8"/>
      <c r="B1346" s="8"/>
      <c r="C1346" s="8"/>
      <c r="D1346" s="8"/>
      <c r="E1346" s="10">
        <f>IFERROR(VLOOKUP(C1346,'Inventory Master'!$A$3:$L$300,4,FALSE),0)</f>
      </c>
      <c r="F1346" s="10">
        <f>D1346*E1346</f>
      </c>
    </row>
    <row r="1347" ht="21" customHeight="1" spans="1:6" x14ac:dyDescent="0.25">
      <c r="A1347" s="8"/>
      <c r="B1347" s="8"/>
      <c r="C1347" s="8"/>
      <c r="D1347" s="8"/>
      <c r="E1347" s="10">
        <f>IFERROR(VLOOKUP(C1347,'Inventory Master'!$A$3:$L$300,4,FALSE),0)</f>
      </c>
      <c r="F1347" s="10">
        <f>D1347*E1347</f>
      </c>
    </row>
    <row r="1348" ht="21" customHeight="1" spans="1:6" x14ac:dyDescent="0.25">
      <c r="A1348" s="8"/>
      <c r="B1348" s="8"/>
      <c r="C1348" s="8"/>
      <c r="D1348" s="8"/>
      <c r="E1348" s="10">
        <f>IFERROR(VLOOKUP(C1348,'Inventory Master'!$A$3:$L$300,4,FALSE),0)</f>
      </c>
      <c r="F1348" s="10">
        <f>D1348*E1348</f>
      </c>
    </row>
    <row r="1349" ht="21" customHeight="1" spans="1:6" x14ac:dyDescent="0.25">
      <c r="A1349" s="8"/>
      <c r="B1349" s="8"/>
      <c r="C1349" s="8"/>
      <c r="D1349" s="8"/>
      <c r="E1349" s="10">
        <f>IFERROR(VLOOKUP(C1349,'Inventory Master'!$A$3:$L$300,4,FALSE),0)</f>
      </c>
      <c r="F1349" s="10">
        <f>D1349*E1349</f>
      </c>
    </row>
    <row r="1350" ht="21" customHeight="1" spans="1:6" x14ac:dyDescent="0.25">
      <c r="A1350" s="8"/>
      <c r="B1350" s="8"/>
      <c r="C1350" s="8"/>
      <c r="D1350" s="8"/>
      <c r="E1350" s="10">
        <f>IFERROR(VLOOKUP(C1350,'Inventory Master'!$A$3:$L$300,4,FALSE),0)</f>
      </c>
      <c r="F1350" s="10">
        <f>D1350*E1350</f>
      </c>
    </row>
    <row r="1351" ht="21" customHeight="1" spans="1:6" x14ac:dyDescent="0.25">
      <c r="A1351" s="8"/>
      <c r="B1351" s="8"/>
      <c r="C1351" s="8"/>
      <c r="D1351" s="8"/>
      <c r="E1351" s="10">
        <f>IFERROR(VLOOKUP(C1351,'Inventory Master'!$A$3:$L$300,4,FALSE),0)</f>
      </c>
      <c r="F1351" s="10">
        <f>D1351*E1351</f>
      </c>
    </row>
    <row r="1352" ht="21" customHeight="1" spans="1:6" x14ac:dyDescent="0.25">
      <c r="A1352" s="8"/>
      <c r="B1352" s="8"/>
      <c r="C1352" s="8"/>
      <c r="D1352" s="8"/>
      <c r="E1352" s="10">
        <f>IFERROR(VLOOKUP(C1352,'Inventory Master'!$A$3:$L$300,4,FALSE),0)</f>
      </c>
      <c r="F1352" s="10">
        <f>D1352*E1352</f>
      </c>
    </row>
    <row r="1353" ht="21" customHeight="1" spans="1:6" x14ac:dyDescent="0.25">
      <c r="A1353" s="8"/>
      <c r="B1353" s="8"/>
      <c r="C1353" s="8"/>
      <c r="D1353" s="8"/>
      <c r="E1353" s="10">
        <f>IFERROR(VLOOKUP(C1353,'Inventory Master'!$A$3:$L$300,4,FALSE),0)</f>
      </c>
      <c r="F1353" s="10">
        <f>D1353*E1353</f>
      </c>
    </row>
    <row r="1354" ht="21" customHeight="1" spans="1:6" x14ac:dyDescent="0.25">
      <c r="A1354" s="8"/>
      <c r="B1354" s="8"/>
      <c r="C1354" s="8"/>
      <c r="D1354" s="8"/>
      <c r="E1354" s="10">
        <f>IFERROR(VLOOKUP(C1354,'Inventory Master'!$A$3:$L$300,4,FALSE),0)</f>
      </c>
      <c r="F1354" s="10">
        <f>D1354*E1354</f>
      </c>
    </row>
    <row r="1355" ht="21" customHeight="1" spans="1:6" x14ac:dyDescent="0.25">
      <c r="A1355" s="8"/>
      <c r="B1355" s="8"/>
      <c r="C1355" s="8"/>
      <c r="D1355" s="8"/>
      <c r="E1355" s="10">
        <f>IFERROR(VLOOKUP(C1355,'Inventory Master'!$A$3:$L$300,4,FALSE),0)</f>
      </c>
      <c r="F1355" s="10">
        <f>D1355*E1355</f>
      </c>
    </row>
    <row r="1356" ht="21" customHeight="1" spans="1:6" x14ac:dyDescent="0.25">
      <c r="A1356" s="8"/>
      <c r="B1356" s="8"/>
      <c r="C1356" s="8"/>
      <c r="D1356" s="8"/>
      <c r="E1356" s="10">
        <f>IFERROR(VLOOKUP(C1356,'Inventory Master'!$A$3:$L$300,4,FALSE),0)</f>
      </c>
      <c r="F1356" s="10">
        <f>D1356*E1356</f>
      </c>
    </row>
    <row r="1357" ht="21" customHeight="1" spans="1:6" x14ac:dyDescent="0.25">
      <c r="A1357" s="8"/>
      <c r="B1357" s="8"/>
      <c r="C1357" s="8"/>
      <c r="D1357" s="8"/>
      <c r="E1357" s="10">
        <f>IFERROR(VLOOKUP(C1357,'Inventory Master'!$A$3:$L$300,4,FALSE),0)</f>
      </c>
      <c r="F1357" s="10">
        <f>D1357*E1357</f>
      </c>
    </row>
    <row r="1358" ht="21" customHeight="1" spans="1:6" x14ac:dyDescent="0.25">
      <c r="A1358" s="8"/>
      <c r="B1358" s="8"/>
      <c r="C1358" s="8"/>
      <c r="D1358" s="8"/>
      <c r="E1358" s="10">
        <f>IFERROR(VLOOKUP(C1358,'Inventory Master'!$A$3:$L$300,4,FALSE),0)</f>
      </c>
      <c r="F1358" s="10">
        <f>D1358*E1358</f>
      </c>
    </row>
    <row r="1359" ht="21" customHeight="1" spans="1:6" x14ac:dyDescent="0.25">
      <c r="A1359" s="8"/>
      <c r="B1359" s="8"/>
      <c r="C1359" s="8"/>
      <c r="D1359" s="8"/>
      <c r="E1359" s="10">
        <f>IFERROR(VLOOKUP(C1359,'Inventory Master'!$A$3:$L$300,4,FALSE),0)</f>
      </c>
      <c r="F1359" s="10">
        <f>D1359*E1359</f>
      </c>
    </row>
    <row r="1360" ht="21" customHeight="1" spans="1:6" x14ac:dyDescent="0.25">
      <c r="A1360" s="8"/>
      <c r="B1360" s="8"/>
      <c r="C1360" s="8"/>
      <c r="D1360" s="8"/>
      <c r="E1360" s="10">
        <f>IFERROR(VLOOKUP(C1360,'Inventory Master'!$A$3:$L$300,4,FALSE),0)</f>
      </c>
      <c r="F1360" s="10">
        <f>D1360*E1360</f>
      </c>
    </row>
    <row r="1361" ht="21" customHeight="1" spans="1:6" x14ac:dyDescent="0.25">
      <c r="A1361" s="8"/>
      <c r="B1361" s="8"/>
      <c r="C1361" s="8"/>
      <c r="D1361" s="8"/>
      <c r="E1361" s="10">
        <f>IFERROR(VLOOKUP(C1361,'Inventory Master'!$A$3:$L$300,4,FALSE),0)</f>
      </c>
      <c r="F1361" s="10">
        <f>D1361*E1361</f>
      </c>
    </row>
    <row r="1362" ht="21" customHeight="1" spans="1:6" x14ac:dyDescent="0.25">
      <c r="A1362" s="8"/>
      <c r="B1362" s="8"/>
      <c r="C1362" s="8"/>
      <c r="D1362" s="8"/>
      <c r="E1362" s="10">
        <f>IFERROR(VLOOKUP(C1362,'Inventory Master'!$A$3:$L$300,4,FALSE),0)</f>
      </c>
      <c r="F1362" s="10">
        <f>D1362*E1362</f>
      </c>
    </row>
    <row r="1363" ht="21" customHeight="1" spans="1:6" x14ac:dyDescent="0.25">
      <c r="A1363" s="8"/>
      <c r="B1363" s="8"/>
      <c r="C1363" s="8"/>
      <c r="D1363" s="8"/>
      <c r="E1363" s="10">
        <f>IFERROR(VLOOKUP(C1363,'Inventory Master'!$A$3:$L$300,4,FALSE),0)</f>
      </c>
      <c r="F1363" s="10">
        <f>D1363*E1363</f>
      </c>
    </row>
    <row r="1364" ht="21" customHeight="1" spans="1:6" x14ac:dyDescent="0.25">
      <c r="A1364" s="8"/>
      <c r="B1364" s="8"/>
      <c r="C1364" s="8"/>
      <c r="D1364" s="8"/>
      <c r="E1364" s="10">
        <f>IFERROR(VLOOKUP(C1364,'Inventory Master'!$A$3:$L$300,4,FALSE),0)</f>
      </c>
      <c r="F1364" s="10">
        <f>D1364*E1364</f>
      </c>
    </row>
    <row r="1365" ht="21" customHeight="1" spans="1:6" x14ac:dyDescent="0.25">
      <c r="A1365" s="8"/>
      <c r="B1365" s="8"/>
      <c r="C1365" s="8"/>
      <c r="D1365" s="8"/>
      <c r="E1365" s="10">
        <f>IFERROR(VLOOKUP(C1365,'Inventory Master'!$A$3:$L$300,4,FALSE),0)</f>
      </c>
      <c r="F1365" s="10">
        <f>D1365*E1365</f>
      </c>
    </row>
    <row r="1366" ht="21" customHeight="1" spans="1:6" x14ac:dyDescent="0.25">
      <c r="A1366" s="8"/>
      <c r="B1366" s="8"/>
      <c r="C1366" s="8"/>
      <c r="D1366" s="8"/>
      <c r="E1366" s="10">
        <f>IFERROR(VLOOKUP(C1366,'Inventory Master'!$A$3:$L$300,4,FALSE),0)</f>
      </c>
      <c r="F1366" s="10">
        <f>D1366*E1366</f>
      </c>
    </row>
    <row r="1367" ht="21" customHeight="1" spans="1:6" x14ac:dyDescent="0.25">
      <c r="A1367" s="8"/>
      <c r="B1367" s="8"/>
      <c r="C1367" s="8"/>
      <c r="D1367" s="8"/>
      <c r="E1367" s="10">
        <f>IFERROR(VLOOKUP(C1367,'Inventory Master'!$A$3:$L$300,4,FALSE),0)</f>
      </c>
      <c r="F1367" s="10">
        <f>D1367*E1367</f>
      </c>
    </row>
    <row r="1368" ht="21" customHeight="1" spans="1:6" x14ac:dyDescent="0.25">
      <c r="A1368" s="8"/>
      <c r="B1368" s="8"/>
      <c r="C1368" s="8"/>
      <c r="D1368" s="8"/>
      <c r="E1368" s="10">
        <f>IFERROR(VLOOKUP(C1368,'Inventory Master'!$A$3:$L$300,4,FALSE),0)</f>
      </c>
      <c r="F1368" s="10">
        <f>D1368*E1368</f>
      </c>
    </row>
    <row r="1369" ht="21" customHeight="1" spans="1:6" x14ac:dyDescent="0.25">
      <c r="A1369" s="8"/>
      <c r="B1369" s="8"/>
      <c r="C1369" s="8"/>
      <c r="D1369" s="8"/>
      <c r="E1369" s="10">
        <f>IFERROR(VLOOKUP(C1369,'Inventory Master'!$A$3:$L$300,4,FALSE),0)</f>
      </c>
      <c r="F1369" s="10">
        <f>D1369*E1369</f>
      </c>
    </row>
    <row r="1370" ht="21" customHeight="1" spans="1:6" x14ac:dyDescent="0.25">
      <c r="A1370" s="8"/>
      <c r="B1370" s="8"/>
      <c r="C1370" s="8"/>
      <c r="D1370" s="8"/>
      <c r="E1370" s="10">
        <f>IFERROR(VLOOKUP(C1370,'Inventory Master'!$A$3:$L$300,4,FALSE),0)</f>
      </c>
      <c r="F1370" s="10">
        <f>D1370*E1370</f>
      </c>
    </row>
    <row r="1371" ht="21" customHeight="1" spans="1:6" x14ac:dyDescent="0.25">
      <c r="A1371" s="8"/>
      <c r="B1371" s="8"/>
      <c r="C1371" s="8"/>
      <c r="D1371" s="8"/>
      <c r="E1371" s="10">
        <f>IFERROR(VLOOKUP(C1371,'Inventory Master'!$A$3:$L$300,4,FALSE),0)</f>
      </c>
      <c r="F1371" s="10">
        <f>D1371*E1371</f>
      </c>
    </row>
    <row r="1372" ht="21" customHeight="1" spans="1:6" x14ac:dyDescent="0.25">
      <c r="A1372" s="8"/>
      <c r="B1372" s="8"/>
      <c r="C1372" s="8"/>
      <c r="D1372" s="8"/>
      <c r="E1372" s="10">
        <f>IFERROR(VLOOKUP(C1372,'Inventory Master'!$A$3:$L$300,4,FALSE),0)</f>
      </c>
      <c r="F1372" s="10">
        <f>D1372*E1372</f>
      </c>
    </row>
    <row r="1373" ht="21" customHeight="1" spans="1:6" x14ac:dyDescent="0.25">
      <c r="A1373" s="8"/>
      <c r="B1373" s="8"/>
      <c r="C1373" s="8"/>
      <c r="D1373" s="8"/>
      <c r="E1373" s="10">
        <f>IFERROR(VLOOKUP(C1373,'Inventory Master'!$A$3:$L$300,4,FALSE),0)</f>
      </c>
      <c r="F1373" s="10">
        <f>D1373*E1373</f>
      </c>
    </row>
    <row r="1374" ht="21" customHeight="1" spans="1:6" x14ac:dyDescent="0.25">
      <c r="A1374" s="8"/>
      <c r="B1374" s="8"/>
      <c r="C1374" s="8"/>
      <c r="D1374" s="8"/>
      <c r="E1374" s="10">
        <f>IFERROR(VLOOKUP(C1374,'Inventory Master'!$A$3:$L$300,4,FALSE),0)</f>
      </c>
      <c r="F1374" s="10">
        <f>D1374*E1374</f>
      </c>
    </row>
    <row r="1375" ht="21" customHeight="1" spans="1:6" x14ac:dyDescent="0.25">
      <c r="A1375" s="8"/>
      <c r="B1375" s="8"/>
      <c r="C1375" s="8"/>
      <c r="D1375" s="8"/>
      <c r="E1375" s="10">
        <f>IFERROR(VLOOKUP(C1375,'Inventory Master'!$A$3:$L$300,4,FALSE),0)</f>
      </c>
      <c r="F1375" s="10">
        <f>D1375*E1375</f>
      </c>
    </row>
    <row r="1376" ht="21" customHeight="1" spans="1:6" x14ac:dyDescent="0.25">
      <c r="A1376" s="8"/>
      <c r="B1376" s="8"/>
      <c r="C1376" s="8"/>
      <c r="D1376" s="8"/>
      <c r="E1376" s="10">
        <f>IFERROR(VLOOKUP(C1376,'Inventory Master'!$A$3:$L$300,4,FALSE),0)</f>
      </c>
      <c r="F1376" s="10">
        <f>D1376*E1376</f>
      </c>
    </row>
    <row r="1377" ht="21" customHeight="1" spans="1:6" x14ac:dyDescent="0.25">
      <c r="A1377" s="8"/>
      <c r="B1377" s="8"/>
      <c r="C1377" s="8"/>
      <c r="D1377" s="8"/>
      <c r="E1377" s="10">
        <f>IFERROR(VLOOKUP(C1377,'Inventory Master'!$A$3:$L$300,4,FALSE),0)</f>
      </c>
      <c r="F1377" s="10">
        <f>D1377*E1377</f>
      </c>
    </row>
    <row r="1378" ht="21" customHeight="1" spans="1:6" x14ac:dyDescent="0.25">
      <c r="A1378" s="8"/>
      <c r="B1378" s="8"/>
      <c r="C1378" s="8"/>
      <c r="D1378" s="8"/>
      <c r="E1378" s="10">
        <f>IFERROR(VLOOKUP(C1378,'Inventory Master'!$A$3:$L$300,4,FALSE),0)</f>
      </c>
      <c r="F1378" s="10">
        <f>D1378*E1378</f>
      </c>
    </row>
    <row r="1379" ht="21" customHeight="1" spans="1:6" x14ac:dyDescent="0.25">
      <c r="A1379" s="8"/>
      <c r="B1379" s="8"/>
      <c r="C1379" s="8"/>
      <c r="D1379" s="8"/>
      <c r="E1379" s="10">
        <f>IFERROR(VLOOKUP(C1379,'Inventory Master'!$A$3:$L$300,4,FALSE),0)</f>
      </c>
      <c r="F1379" s="10">
        <f>D1379*E1379</f>
      </c>
    </row>
    <row r="1380" ht="21" customHeight="1" spans="1:6" x14ac:dyDescent="0.25">
      <c r="A1380" s="8"/>
      <c r="B1380" s="8"/>
      <c r="C1380" s="8"/>
      <c r="D1380" s="8"/>
      <c r="E1380" s="10">
        <f>IFERROR(VLOOKUP(C1380,'Inventory Master'!$A$3:$L$300,4,FALSE),0)</f>
      </c>
      <c r="F1380" s="10">
        <f>D1380*E1380</f>
      </c>
    </row>
    <row r="1381" ht="21" customHeight="1" spans="1:6" x14ac:dyDescent="0.25">
      <c r="A1381" s="8"/>
      <c r="B1381" s="8"/>
      <c r="C1381" s="8"/>
      <c r="D1381" s="8"/>
      <c r="E1381" s="10">
        <f>IFERROR(VLOOKUP(C1381,'Inventory Master'!$A$3:$L$300,4,FALSE),0)</f>
      </c>
      <c r="F1381" s="10">
        <f>D1381*E1381</f>
      </c>
    </row>
    <row r="1382" ht="21" customHeight="1" spans="1:6" x14ac:dyDescent="0.25">
      <c r="A1382" s="8"/>
      <c r="B1382" s="8"/>
      <c r="C1382" s="8"/>
      <c r="D1382" s="8"/>
      <c r="E1382" s="10">
        <f>IFERROR(VLOOKUP(C1382,'Inventory Master'!$A$3:$L$300,4,FALSE),0)</f>
      </c>
      <c r="F1382" s="10">
        <f>D1382*E1382</f>
      </c>
    </row>
    <row r="1383" ht="21" customHeight="1" spans="1:6" x14ac:dyDescent="0.25">
      <c r="A1383" s="8"/>
      <c r="B1383" s="8"/>
      <c r="C1383" s="8"/>
      <c r="D1383" s="8"/>
      <c r="E1383" s="10">
        <f>IFERROR(VLOOKUP(C1383,'Inventory Master'!$A$3:$L$300,4,FALSE),0)</f>
      </c>
      <c r="F1383" s="10">
        <f>D1383*E1383</f>
      </c>
    </row>
    <row r="1384" ht="21" customHeight="1" spans="1:6" x14ac:dyDescent="0.25">
      <c r="A1384" s="8"/>
      <c r="B1384" s="8"/>
      <c r="C1384" s="8"/>
      <c r="D1384" s="8"/>
      <c r="E1384" s="10">
        <f>IFERROR(VLOOKUP(C1384,'Inventory Master'!$A$3:$L$300,4,FALSE),0)</f>
      </c>
      <c r="F1384" s="10">
        <f>D1384*E1384</f>
      </c>
    </row>
    <row r="1385" ht="21" customHeight="1" spans="1:6" x14ac:dyDescent="0.25">
      <c r="A1385" s="8"/>
      <c r="B1385" s="8"/>
      <c r="C1385" s="8"/>
      <c r="D1385" s="8"/>
      <c r="E1385" s="10">
        <f>IFERROR(VLOOKUP(C1385,'Inventory Master'!$A$3:$L$300,4,FALSE),0)</f>
      </c>
      <c r="F1385" s="10">
        <f>D1385*E1385</f>
      </c>
    </row>
    <row r="1386" ht="21" customHeight="1" spans="1:6" x14ac:dyDescent="0.25">
      <c r="A1386" s="8"/>
      <c r="B1386" s="8"/>
      <c r="C1386" s="8"/>
      <c r="D1386" s="8"/>
      <c r="E1386" s="10">
        <f>IFERROR(VLOOKUP(C1386,'Inventory Master'!$A$3:$L$300,4,FALSE),0)</f>
      </c>
      <c r="F1386" s="10">
        <f>D1386*E1386</f>
      </c>
    </row>
    <row r="1387" ht="21" customHeight="1" spans="1:6" x14ac:dyDescent="0.25">
      <c r="A1387" s="8"/>
      <c r="B1387" s="8"/>
      <c r="C1387" s="8"/>
      <c r="D1387" s="8"/>
      <c r="E1387" s="10">
        <f>IFERROR(VLOOKUP(C1387,'Inventory Master'!$A$3:$L$300,4,FALSE),0)</f>
      </c>
      <c r="F1387" s="10">
        <f>D1387*E1387</f>
      </c>
    </row>
    <row r="1388" ht="21" customHeight="1" spans="1:6" x14ac:dyDescent="0.25">
      <c r="A1388" s="8"/>
      <c r="B1388" s="8"/>
      <c r="C1388" s="8"/>
      <c r="D1388" s="8"/>
      <c r="E1388" s="10">
        <f>IFERROR(VLOOKUP(C1388,'Inventory Master'!$A$3:$L$300,4,FALSE),0)</f>
      </c>
      <c r="F1388" s="10">
        <f>D1388*E1388</f>
      </c>
    </row>
    <row r="1389" ht="21" customHeight="1" spans="1:6" x14ac:dyDescent="0.25">
      <c r="A1389" s="8"/>
      <c r="B1389" s="8"/>
      <c r="C1389" s="8"/>
      <c r="D1389" s="8"/>
      <c r="E1389" s="10">
        <f>IFERROR(VLOOKUP(C1389,'Inventory Master'!$A$3:$L$300,4,FALSE),0)</f>
      </c>
      <c r="F1389" s="10">
        <f>D1389*E1389</f>
      </c>
    </row>
    <row r="1390" ht="21" customHeight="1" spans="1:6" x14ac:dyDescent="0.25">
      <c r="A1390" s="8"/>
      <c r="B1390" s="8"/>
      <c r="C1390" s="8"/>
      <c r="D1390" s="8"/>
      <c r="E1390" s="10">
        <f>IFERROR(VLOOKUP(C1390,'Inventory Master'!$A$3:$L$300,4,FALSE),0)</f>
      </c>
      <c r="F1390" s="10">
        <f>D1390*E1390</f>
      </c>
    </row>
    <row r="1391" ht="21" customHeight="1" spans="1:6" x14ac:dyDescent="0.25">
      <c r="A1391" s="8"/>
      <c r="B1391" s="8"/>
      <c r="C1391" s="8"/>
      <c r="D1391" s="8"/>
      <c r="E1391" s="10">
        <f>IFERROR(VLOOKUP(C1391,'Inventory Master'!$A$3:$L$300,4,FALSE),0)</f>
      </c>
      <c r="F1391" s="10">
        <f>D1391*E1391</f>
      </c>
    </row>
    <row r="1392" ht="21" customHeight="1" spans="1:6" x14ac:dyDescent="0.25">
      <c r="A1392" s="8"/>
      <c r="B1392" s="8"/>
      <c r="C1392" s="8"/>
      <c r="D1392" s="8"/>
      <c r="E1392" s="10">
        <f>IFERROR(VLOOKUP(C1392,'Inventory Master'!$A$3:$L$300,4,FALSE),0)</f>
      </c>
      <c r="F1392" s="10">
        <f>D1392*E1392</f>
      </c>
    </row>
    <row r="1393" ht="21" customHeight="1" spans="1:6" x14ac:dyDescent="0.25">
      <c r="A1393" s="8"/>
      <c r="B1393" s="8"/>
      <c r="C1393" s="8"/>
      <c r="D1393" s="8"/>
      <c r="E1393" s="10">
        <f>IFERROR(VLOOKUP(C1393,'Inventory Master'!$A$3:$L$300,4,FALSE),0)</f>
      </c>
      <c r="F1393" s="10">
        <f>D1393*E1393</f>
      </c>
    </row>
    <row r="1394" ht="21" customHeight="1" spans="1:6" x14ac:dyDescent="0.25">
      <c r="A1394" s="8"/>
      <c r="B1394" s="8"/>
      <c r="C1394" s="8"/>
      <c r="D1394" s="8"/>
      <c r="E1394" s="10">
        <f>IFERROR(VLOOKUP(C1394,'Inventory Master'!$A$3:$L$300,4,FALSE),0)</f>
      </c>
      <c r="F1394" s="10">
        <f>D1394*E1394</f>
      </c>
    </row>
    <row r="1395" ht="21" customHeight="1" spans="1:6" x14ac:dyDescent="0.25">
      <c r="A1395" s="8"/>
      <c r="B1395" s="8"/>
      <c r="C1395" s="8"/>
      <c r="D1395" s="8"/>
      <c r="E1395" s="10">
        <f>IFERROR(VLOOKUP(C1395,'Inventory Master'!$A$3:$L$300,4,FALSE),0)</f>
      </c>
      <c r="F1395" s="10">
        <f>D1395*E1395</f>
      </c>
    </row>
    <row r="1396" ht="21" customHeight="1" spans="1:6" x14ac:dyDescent="0.25">
      <c r="A1396" s="8"/>
      <c r="B1396" s="8"/>
      <c r="C1396" s="8"/>
      <c r="D1396" s="8"/>
      <c r="E1396" s="10">
        <f>IFERROR(VLOOKUP(C1396,'Inventory Master'!$A$3:$L$300,4,FALSE),0)</f>
      </c>
      <c r="F1396" s="10">
        <f>D1396*E1396</f>
      </c>
    </row>
    <row r="1397" ht="21" customHeight="1" spans="1:6" x14ac:dyDescent="0.25">
      <c r="A1397" s="8"/>
      <c r="B1397" s="8"/>
      <c r="C1397" s="8"/>
      <c r="D1397" s="8"/>
      <c r="E1397" s="10">
        <f>IFERROR(VLOOKUP(C1397,'Inventory Master'!$A$3:$L$300,4,FALSE),0)</f>
      </c>
      <c r="F1397" s="10">
        <f>D1397*E1397</f>
      </c>
    </row>
    <row r="1398" ht="21" customHeight="1" spans="1:6" x14ac:dyDescent="0.25">
      <c r="A1398" s="8"/>
      <c r="B1398" s="8"/>
      <c r="C1398" s="8"/>
      <c r="D1398" s="8"/>
      <c r="E1398" s="10">
        <f>IFERROR(VLOOKUP(C1398,'Inventory Master'!$A$3:$L$300,4,FALSE),0)</f>
      </c>
      <c r="F1398" s="10">
        <f>D1398*E1398</f>
      </c>
    </row>
    <row r="1399" ht="21" customHeight="1" spans="1:6" x14ac:dyDescent="0.25">
      <c r="A1399" s="8"/>
      <c r="B1399" s="8"/>
      <c r="C1399" s="8"/>
      <c r="D1399" s="8"/>
      <c r="E1399" s="10">
        <f>IFERROR(VLOOKUP(C1399,'Inventory Master'!$A$3:$L$300,4,FALSE),0)</f>
      </c>
      <c r="F1399" s="10">
        <f>D1399*E1399</f>
      </c>
    </row>
    <row r="1400" ht="21" customHeight="1" spans="1:6" x14ac:dyDescent="0.25">
      <c r="A1400" s="8"/>
      <c r="B1400" s="8"/>
      <c r="C1400" s="8"/>
      <c r="D1400" s="8"/>
      <c r="E1400" s="10">
        <f>IFERROR(VLOOKUP(C1400,'Inventory Master'!$A$3:$L$300,4,FALSE),0)</f>
      </c>
      <c r="F1400" s="10">
        <f>D1400*E1400</f>
      </c>
    </row>
    <row r="1401" ht="21" customHeight="1" spans="1:6" x14ac:dyDescent="0.25">
      <c r="A1401" s="8"/>
      <c r="B1401" s="8"/>
      <c r="C1401" s="8"/>
      <c r="D1401" s="8"/>
      <c r="E1401" s="10">
        <f>IFERROR(VLOOKUP(C1401,'Inventory Master'!$A$3:$L$300,4,FALSE),0)</f>
      </c>
      <c r="F1401" s="10">
        <f>D1401*E1401</f>
      </c>
    </row>
    <row r="1402" ht="21" customHeight="1" spans="1:6" x14ac:dyDescent="0.25">
      <c r="A1402" s="8"/>
      <c r="B1402" s="8"/>
      <c r="C1402" s="8"/>
      <c r="D1402" s="8"/>
      <c r="E1402" s="10">
        <f>IFERROR(VLOOKUP(C1402,'Inventory Master'!$A$3:$L$300,4,FALSE),0)</f>
      </c>
      <c r="F1402" s="10">
        <f>D1402*E1402</f>
      </c>
    </row>
    <row r="1403" ht="21" customHeight="1" spans="1:6" x14ac:dyDescent="0.25">
      <c r="A1403" s="8"/>
      <c r="B1403" s="8"/>
      <c r="C1403" s="8"/>
      <c r="D1403" s="8"/>
      <c r="E1403" s="10">
        <f>IFERROR(VLOOKUP(C1403,'Inventory Master'!$A$3:$L$300,4,FALSE),0)</f>
      </c>
      <c r="F1403" s="10">
        <f>D1403*E1403</f>
      </c>
    </row>
    <row r="1404" ht="21" customHeight="1" spans="1:6" x14ac:dyDescent="0.25">
      <c r="A1404" s="8"/>
      <c r="B1404" s="8"/>
      <c r="C1404" s="8"/>
      <c r="D1404" s="8"/>
      <c r="E1404" s="10">
        <f>IFERROR(VLOOKUP(C1404,'Inventory Master'!$A$3:$L$300,4,FALSE),0)</f>
      </c>
      <c r="F1404" s="10">
        <f>D1404*E1404</f>
      </c>
    </row>
    <row r="1405" ht="21" customHeight="1" spans="1:6" x14ac:dyDescent="0.25">
      <c r="A1405" s="8"/>
      <c r="B1405" s="8"/>
      <c r="C1405" s="8"/>
      <c r="D1405" s="8"/>
      <c r="E1405" s="10">
        <f>IFERROR(VLOOKUP(C1405,'Inventory Master'!$A$3:$L$300,4,FALSE),0)</f>
      </c>
      <c r="F1405" s="10">
        <f>D1405*E1405</f>
      </c>
    </row>
    <row r="1406" ht="21" customHeight="1" spans="1:6" x14ac:dyDescent="0.25">
      <c r="A1406" s="8"/>
      <c r="B1406" s="8"/>
      <c r="C1406" s="8"/>
      <c r="D1406" s="8"/>
      <c r="E1406" s="10">
        <f>IFERROR(VLOOKUP(C1406,'Inventory Master'!$A$3:$L$300,4,FALSE),0)</f>
      </c>
      <c r="F1406" s="10">
        <f>D1406*E1406</f>
      </c>
    </row>
    <row r="1407" ht="21" customHeight="1" spans="1:6" x14ac:dyDescent="0.25">
      <c r="A1407" s="8"/>
      <c r="B1407" s="8"/>
      <c r="C1407" s="8"/>
      <c r="D1407" s="8"/>
      <c r="E1407" s="10">
        <f>IFERROR(VLOOKUP(C1407,'Inventory Master'!$A$3:$L$300,4,FALSE),0)</f>
      </c>
      <c r="F1407" s="10">
        <f>D1407*E1407</f>
      </c>
    </row>
    <row r="1408" ht="21" customHeight="1" spans="1:6" x14ac:dyDescent="0.25">
      <c r="A1408" s="8"/>
      <c r="B1408" s="8"/>
      <c r="C1408" s="8"/>
      <c r="D1408" s="8"/>
      <c r="E1408" s="10">
        <f>IFERROR(VLOOKUP(C1408,'Inventory Master'!$A$3:$L$300,4,FALSE),0)</f>
      </c>
      <c r="F1408" s="10">
        <f>D1408*E1408</f>
      </c>
    </row>
    <row r="1409" ht="21" customHeight="1" spans="1:6" x14ac:dyDescent="0.25">
      <c r="A1409" s="8"/>
      <c r="B1409" s="8"/>
      <c r="C1409" s="8"/>
      <c r="D1409" s="8"/>
      <c r="E1409" s="10">
        <f>IFERROR(VLOOKUP(C1409,'Inventory Master'!$A$3:$L$300,4,FALSE),0)</f>
      </c>
      <c r="F1409" s="10">
        <f>D1409*E1409</f>
      </c>
    </row>
    <row r="1410" ht="21" customHeight="1" spans="1:6" x14ac:dyDescent="0.25">
      <c r="A1410" s="8"/>
      <c r="B1410" s="8"/>
      <c r="C1410" s="8"/>
      <c r="D1410" s="8"/>
      <c r="E1410" s="10">
        <f>IFERROR(VLOOKUP(C1410,'Inventory Master'!$A$3:$L$300,4,FALSE),0)</f>
      </c>
      <c r="F1410" s="10">
        <f>D1410*E1410</f>
      </c>
    </row>
    <row r="1411" ht="21" customHeight="1" spans="1:6" x14ac:dyDescent="0.25">
      <c r="A1411" s="8"/>
      <c r="B1411" s="8"/>
      <c r="C1411" s="8"/>
      <c r="D1411" s="8"/>
      <c r="E1411" s="10">
        <f>IFERROR(VLOOKUP(C1411,'Inventory Master'!$A$3:$L$300,4,FALSE),0)</f>
      </c>
      <c r="F1411" s="10">
        <f>D1411*E1411</f>
      </c>
    </row>
    <row r="1412" ht="21" customHeight="1" spans="1:6" x14ac:dyDescent="0.25">
      <c r="A1412" s="8"/>
      <c r="B1412" s="8"/>
      <c r="C1412" s="8"/>
      <c r="D1412" s="8"/>
      <c r="E1412" s="10">
        <f>IFERROR(VLOOKUP(C1412,'Inventory Master'!$A$3:$L$300,4,FALSE),0)</f>
      </c>
      <c r="F1412" s="10">
        <f>D1412*E1412</f>
      </c>
    </row>
    <row r="1413" ht="21" customHeight="1" spans="1:6" x14ac:dyDescent="0.25">
      <c r="A1413" s="8"/>
      <c r="B1413" s="8"/>
      <c r="C1413" s="8"/>
      <c r="D1413" s="8"/>
      <c r="E1413" s="10">
        <f>IFERROR(VLOOKUP(C1413,'Inventory Master'!$A$3:$L$300,4,FALSE),0)</f>
      </c>
      <c r="F1413" s="10">
        <f>D1413*E1413</f>
      </c>
    </row>
    <row r="1414" ht="21" customHeight="1" spans="1:6" x14ac:dyDescent="0.25">
      <c r="A1414" s="8"/>
      <c r="B1414" s="8"/>
      <c r="C1414" s="8"/>
      <c r="D1414" s="8"/>
      <c r="E1414" s="10">
        <f>IFERROR(VLOOKUP(C1414,'Inventory Master'!$A$3:$L$300,4,FALSE),0)</f>
      </c>
      <c r="F1414" s="10">
        <f>D1414*E1414</f>
      </c>
    </row>
    <row r="1415" ht="21" customHeight="1" spans="1:6" x14ac:dyDescent="0.25">
      <c r="A1415" s="8"/>
      <c r="B1415" s="8"/>
      <c r="C1415" s="8"/>
      <c r="D1415" s="8"/>
      <c r="E1415" s="10">
        <f>IFERROR(VLOOKUP(C1415,'Inventory Master'!$A$3:$L$300,4,FALSE),0)</f>
      </c>
      <c r="F1415" s="10">
        <f>D1415*E1415</f>
      </c>
    </row>
    <row r="1416" ht="21" customHeight="1" spans="1:6" x14ac:dyDescent="0.25">
      <c r="A1416" s="8"/>
      <c r="B1416" s="8"/>
      <c r="C1416" s="8"/>
      <c r="D1416" s="8"/>
      <c r="E1416" s="10">
        <f>IFERROR(VLOOKUP(C1416,'Inventory Master'!$A$3:$L$300,4,FALSE),0)</f>
      </c>
      <c r="F1416" s="10">
        <f>D1416*E1416</f>
      </c>
    </row>
    <row r="1417" ht="21" customHeight="1" spans="1:6" x14ac:dyDescent="0.25">
      <c r="A1417" s="8"/>
      <c r="B1417" s="8"/>
      <c r="C1417" s="8"/>
      <c r="D1417" s="8"/>
      <c r="E1417" s="10">
        <f>IFERROR(VLOOKUP(C1417,'Inventory Master'!$A$3:$L$300,4,FALSE),0)</f>
      </c>
      <c r="F1417" s="10">
        <f>D1417*E1417</f>
      </c>
    </row>
    <row r="1418" ht="21" customHeight="1" spans="1:6" x14ac:dyDescent="0.25">
      <c r="A1418" s="8"/>
      <c r="B1418" s="8"/>
      <c r="C1418" s="8"/>
      <c r="D1418" s="8"/>
      <c r="E1418" s="10">
        <f>IFERROR(VLOOKUP(C1418,'Inventory Master'!$A$3:$L$300,4,FALSE),0)</f>
      </c>
      <c r="F1418" s="10">
        <f>D1418*E1418</f>
      </c>
    </row>
    <row r="1419" ht="21" customHeight="1" spans="1:6" x14ac:dyDescent="0.25">
      <c r="A1419" s="8"/>
      <c r="B1419" s="8"/>
      <c r="C1419" s="8"/>
      <c r="D1419" s="8"/>
      <c r="E1419" s="10">
        <f>IFERROR(VLOOKUP(C1419,'Inventory Master'!$A$3:$L$300,4,FALSE),0)</f>
      </c>
      <c r="F1419" s="10">
        <f>D1419*E1419</f>
      </c>
    </row>
    <row r="1420" ht="21" customHeight="1" spans="1:6" x14ac:dyDescent="0.25">
      <c r="A1420" s="8"/>
      <c r="B1420" s="8"/>
      <c r="C1420" s="8"/>
      <c r="D1420" s="8"/>
      <c r="E1420" s="10">
        <f>IFERROR(VLOOKUP(C1420,'Inventory Master'!$A$3:$L$300,4,FALSE),0)</f>
      </c>
      <c r="F1420" s="10">
        <f>D1420*E1420</f>
      </c>
    </row>
    <row r="1421" ht="21" customHeight="1" spans="1:6" x14ac:dyDescent="0.25">
      <c r="A1421" s="8"/>
      <c r="B1421" s="8"/>
      <c r="C1421" s="8"/>
      <c r="D1421" s="8"/>
      <c r="E1421" s="10">
        <f>IFERROR(VLOOKUP(C1421,'Inventory Master'!$A$3:$L$300,4,FALSE),0)</f>
      </c>
      <c r="F1421" s="10">
        <f>D1421*E1421</f>
      </c>
    </row>
    <row r="1422" ht="21" customHeight="1" spans="1:6" x14ac:dyDescent="0.25">
      <c r="A1422" s="8"/>
      <c r="B1422" s="8"/>
      <c r="C1422" s="8"/>
      <c r="D1422" s="8"/>
      <c r="E1422" s="10">
        <f>IFERROR(VLOOKUP(C1422,'Inventory Master'!$A$3:$L$300,4,FALSE),0)</f>
      </c>
      <c r="F1422" s="10">
        <f>D1422*E1422</f>
      </c>
    </row>
    <row r="1423" ht="21" customHeight="1" spans="1:6" x14ac:dyDescent="0.25">
      <c r="A1423" s="8"/>
      <c r="B1423" s="8"/>
      <c r="C1423" s="8"/>
      <c r="D1423" s="8"/>
      <c r="E1423" s="10">
        <f>IFERROR(VLOOKUP(C1423,'Inventory Master'!$A$3:$L$300,4,FALSE),0)</f>
      </c>
      <c r="F1423" s="10">
        <f>D1423*E1423</f>
      </c>
    </row>
    <row r="1424" ht="21" customHeight="1" spans="1:6" x14ac:dyDescent="0.25">
      <c r="A1424" s="8"/>
      <c r="B1424" s="8"/>
      <c r="C1424" s="8"/>
      <c r="D1424" s="8"/>
      <c r="E1424" s="10">
        <f>IFERROR(VLOOKUP(C1424,'Inventory Master'!$A$3:$L$300,4,FALSE),0)</f>
      </c>
      <c r="F1424" s="10">
        <f>D1424*E1424</f>
      </c>
    </row>
    <row r="1425" ht="21" customHeight="1" spans="1:6" x14ac:dyDescent="0.25">
      <c r="A1425" s="8"/>
      <c r="B1425" s="8"/>
      <c r="C1425" s="8"/>
      <c r="D1425" s="8"/>
      <c r="E1425" s="10">
        <f>IFERROR(VLOOKUP(C1425,'Inventory Master'!$A$3:$L$300,4,FALSE),0)</f>
      </c>
      <c r="F1425" s="10">
        <f>D1425*E1425</f>
      </c>
    </row>
    <row r="1426" ht="21" customHeight="1" spans="1:6" x14ac:dyDescent="0.25">
      <c r="A1426" s="8"/>
      <c r="B1426" s="8"/>
      <c r="C1426" s="8"/>
      <c r="D1426" s="8"/>
      <c r="E1426" s="10">
        <f>IFERROR(VLOOKUP(C1426,'Inventory Master'!$A$3:$L$300,4,FALSE),0)</f>
      </c>
      <c r="F1426" s="10">
        <f>D1426*E1426</f>
      </c>
    </row>
    <row r="1427" ht="21" customHeight="1" spans="1:6" x14ac:dyDescent="0.25">
      <c r="A1427" s="8"/>
      <c r="B1427" s="8"/>
      <c r="C1427" s="8"/>
      <c r="D1427" s="8"/>
      <c r="E1427" s="10">
        <f>IFERROR(VLOOKUP(C1427,'Inventory Master'!$A$3:$L$300,4,FALSE),0)</f>
      </c>
      <c r="F1427" s="10">
        <f>D1427*E1427</f>
      </c>
    </row>
    <row r="1428" ht="21" customHeight="1" spans="1:6" x14ac:dyDescent="0.25">
      <c r="A1428" s="8"/>
      <c r="B1428" s="8"/>
      <c r="C1428" s="8"/>
      <c r="D1428" s="8"/>
      <c r="E1428" s="10">
        <f>IFERROR(VLOOKUP(C1428,'Inventory Master'!$A$3:$L$300,4,FALSE),0)</f>
      </c>
      <c r="F1428" s="10">
        <f>D1428*E1428</f>
      </c>
    </row>
    <row r="1429" ht="21" customHeight="1" spans="1:6" x14ac:dyDescent="0.25">
      <c r="A1429" s="8"/>
      <c r="B1429" s="8"/>
      <c r="C1429" s="8"/>
      <c r="D1429" s="8"/>
      <c r="E1429" s="10">
        <f>IFERROR(VLOOKUP(C1429,'Inventory Master'!$A$3:$L$300,4,FALSE),0)</f>
      </c>
      <c r="F1429" s="10">
        <f>D1429*E1429</f>
      </c>
    </row>
    <row r="1430" ht="21" customHeight="1" spans="1:6" x14ac:dyDescent="0.25">
      <c r="A1430" s="8"/>
      <c r="B1430" s="8"/>
      <c r="C1430" s="8"/>
      <c r="D1430" s="8"/>
      <c r="E1430" s="10">
        <f>IFERROR(VLOOKUP(C1430,'Inventory Master'!$A$3:$L$300,4,FALSE),0)</f>
      </c>
      <c r="F1430" s="10">
        <f>D1430*E1430</f>
      </c>
    </row>
    <row r="1431" ht="21" customHeight="1" spans="1:6" x14ac:dyDescent="0.25">
      <c r="A1431" s="8"/>
      <c r="B1431" s="8"/>
      <c r="C1431" s="8"/>
      <c r="D1431" s="8"/>
      <c r="E1431" s="10">
        <f>IFERROR(VLOOKUP(C1431,'Inventory Master'!$A$3:$L$300,4,FALSE),0)</f>
      </c>
      <c r="F1431" s="10">
        <f>D1431*E1431</f>
      </c>
    </row>
    <row r="1432" ht="21" customHeight="1" spans="1:6" x14ac:dyDescent="0.25">
      <c r="A1432" s="8"/>
      <c r="B1432" s="8"/>
      <c r="C1432" s="8"/>
      <c r="D1432" s="8"/>
      <c r="E1432" s="10">
        <f>IFERROR(VLOOKUP(C1432,'Inventory Master'!$A$3:$L$300,4,FALSE),0)</f>
      </c>
      <c r="F1432" s="10">
        <f>D1432*E1432</f>
      </c>
    </row>
    <row r="1433" ht="21" customHeight="1" spans="1:6" x14ac:dyDescent="0.25">
      <c r="A1433" s="8"/>
      <c r="B1433" s="8"/>
      <c r="C1433" s="8"/>
      <c r="D1433" s="8"/>
      <c r="E1433" s="10">
        <f>IFERROR(VLOOKUP(C1433,'Inventory Master'!$A$3:$L$300,4,FALSE),0)</f>
      </c>
      <c r="F1433" s="10">
        <f>D1433*E1433</f>
      </c>
    </row>
    <row r="1434" ht="21" customHeight="1" spans="1:6" x14ac:dyDescent="0.25">
      <c r="A1434" s="8"/>
      <c r="B1434" s="8"/>
      <c r="C1434" s="8"/>
      <c r="D1434" s="8"/>
      <c r="E1434" s="10">
        <f>IFERROR(VLOOKUP(C1434,'Inventory Master'!$A$3:$L$300,4,FALSE),0)</f>
      </c>
      <c r="F1434" s="10">
        <f>D1434*E1434</f>
      </c>
    </row>
    <row r="1435" ht="21" customHeight="1" spans="1:6" x14ac:dyDescent="0.25">
      <c r="A1435" s="8"/>
      <c r="B1435" s="8"/>
      <c r="C1435" s="8"/>
      <c r="D1435" s="8"/>
      <c r="E1435" s="10">
        <f>IFERROR(VLOOKUP(C1435,'Inventory Master'!$A$3:$L$300,4,FALSE),0)</f>
      </c>
      <c r="F1435" s="10">
        <f>D1435*E1435</f>
      </c>
    </row>
    <row r="1436" ht="21" customHeight="1" spans="1:6" x14ac:dyDescent="0.25">
      <c r="A1436" s="8"/>
      <c r="B1436" s="8"/>
      <c r="C1436" s="8"/>
      <c r="D1436" s="8"/>
      <c r="E1436" s="10">
        <f>IFERROR(VLOOKUP(C1436,'Inventory Master'!$A$3:$L$300,4,FALSE),0)</f>
      </c>
      <c r="F1436" s="10">
        <f>D1436*E1436</f>
      </c>
    </row>
    <row r="1437" ht="21" customHeight="1" spans="1:6" x14ac:dyDescent="0.25">
      <c r="A1437" s="8"/>
      <c r="B1437" s="8"/>
      <c r="C1437" s="8"/>
      <c r="D1437" s="8"/>
      <c r="E1437" s="10">
        <f>IFERROR(VLOOKUP(C1437,'Inventory Master'!$A$3:$L$300,4,FALSE),0)</f>
      </c>
      <c r="F1437" s="10">
        <f>D1437*E1437</f>
      </c>
    </row>
    <row r="1438" ht="21" customHeight="1" spans="1:6" x14ac:dyDescent="0.25">
      <c r="A1438" s="8"/>
      <c r="B1438" s="8"/>
      <c r="C1438" s="8"/>
      <c r="D1438" s="8"/>
      <c r="E1438" s="10">
        <f>IFERROR(VLOOKUP(C1438,'Inventory Master'!$A$3:$L$300,4,FALSE),0)</f>
      </c>
      <c r="F1438" s="10">
        <f>D1438*E1438</f>
      </c>
    </row>
    <row r="1439" ht="21" customHeight="1" spans="1:6" x14ac:dyDescent="0.25">
      <c r="A1439" s="8"/>
      <c r="B1439" s="8"/>
      <c r="C1439" s="8"/>
      <c r="D1439" s="8"/>
      <c r="E1439" s="10">
        <f>IFERROR(VLOOKUP(C1439,'Inventory Master'!$A$3:$L$300,4,FALSE),0)</f>
      </c>
      <c r="F1439" s="10">
        <f>D1439*E1439</f>
      </c>
    </row>
    <row r="1440" ht="21" customHeight="1" spans="1:6" x14ac:dyDescent="0.25">
      <c r="A1440" s="8"/>
      <c r="B1440" s="8"/>
      <c r="C1440" s="8"/>
      <c r="D1440" s="8"/>
      <c r="E1440" s="10">
        <f>IFERROR(VLOOKUP(C1440,'Inventory Master'!$A$3:$L$300,4,FALSE),0)</f>
      </c>
      <c r="F1440" s="10">
        <f>D1440*E1440</f>
      </c>
    </row>
    <row r="1441" ht="21" customHeight="1" spans="1:6" x14ac:dyDescent="0.25">
      <c r="A1441" s="8"/>
      <c r="B1441" s="8"/>
      <c r="C1441" s="8"/>
      <c r="D1441" s="8"/>
      <c r="E1441" s="10">
        <f>IFERROR(VLOOKUP(C1441,'Inventory Master'!$A$3:$L$300,4,FALSE),0)</f>
      </c>
      <c r="F1441" s="10">
        <f>D1441*E1441</f>
      </c>
    </row>
    <row r="1442" ht="21" customHeight="1" spans="1:6" x14ac:dyDescent="0.25">
      <c r="A1442" s="8"/>
      <c r="B1442" s="8"/>
      <c r="C1442" s="8"/>
      <c r="D1442" s="8"/>
      <c r="E1442" s="10">
        <f>IFERROR(VLOOKUP(C1442,'Inventory Master'!$A$3:$L$300,4,FALSE),0)</f>
      </c>
      <c r="F1442" s="10">
        <f>D1442*E1442</f>
      </c>
    </row>
    <row r="1443" ht="21" customHeight="1" spans="1:6" x14ac:dyDescent="0.25">
      <c r="A1443" s="8"/>
      <c r="B1443" s="8"/>
      <c r="C1443" s="8"/>
      <c r="D1443" s="8"/>
      <c r="E1443" s="10">
        <f>IFERROR(VLOOKUP(C1443,'Inventory Master'!$A$3:$L$300,4,FALSE),0)</f>
      </c>
      <c r="F1443" s="10">
        <f>D1443*E1443</f>
      </c>
    </row>
    <row r="1444" ht="21" customHeight="1" spans="1:6" x14ac:dyDescent="0.25">
      <c r="A1444" s="8"/>
      <c r="B1444" s="8"/>
      <c r="C1444" s="8"/>
      <c r="D1444" s="8"/>
      <c r="E1444" s="10">
        <f>IFERROR(VLOOKUP(C1444,'Inventory Master'!$A$3:$L$300,4,FALSE),0)</f>
      </c>
      <c r="F1444" s="10">
        <f>D1444*E1444</f>
      </c>
    </row>
    <row r="1445" ht="21" customHeight="1" spans="1:6" x14ac:dyDescent="0.25">
      <c r="A1445" s="8"/>
      <c r="B1445" s="8"/>
      <c r="C1445" s="8"/>
      <c r="D1445" s="8"/>
      <c r="E1445" s="10">
        <f>IFERROR(VLOOKUP(C1445,'Inventory Master'!$A$3:$L$300,4,FALSE),0)</f>
      </c>
      <c r="F1445" s="10">
        <f>D1445*E1445</f>
      </c>
    </row>
    <row r="1446" ht="21" customHeight="1" spans="1:6" x14ac:dyDescent="0.25">
      <c r="A1446" s="8"/>
      <c r="B1446" s="8"/>
      <c r="C1446" s="8"/>
      <c r="D1446" s="8"/>
      <c r="E1446" s="10">
        <f>IFERROR(VLOOKUP(C1446,'Inventory Master'!$A$3:$L$300,4,FALSE),0)</f>
      </c>
      <c r="F1446" s="10">
        <f>D1446*E1446</f>
      </c>
    </row>
    <row r="1447" ht="21" customHeight="1" spans="1:6" x14ac:dyDescent="0.25">
      <c r="A1447" s="8"/>
      <c r="B1447" s="8"/>
      <c r="C1447" s="8"/>
      <c r="D1447" s="8"/>
      <c r="E1447" s="10">
        <f>IFERROR(VLOOKUP(C1447,'Inventory Master'!$A$3:$L$300,4,FALSE),0)</f>
      </c>
      <c r="F1447" s="10">
        <f>D1447*E1447</f>
      </c>
    </row>
    <row r="1448" ht="21" customHeight="1" spans="1:6" x14ac:dyDescent="0.25">
      <c r="A1448" s="8"/>
      <c r="B1448" s="8"/>
      <c r="C1448" s="8"/>
      <c r="D1448" s="8"/>
      <c r="E1448" s="10">
        <f>IFERROR(VLOOKUP(C1448,'Inventory Master'!$A$3:$L$300,4,FALSE),0)</f>
      </c>
      <c r="F1448" s="10">
        <f>D1448*E1448</f>
      </c>
    </row>
    <row r="1449" ht="21" customHeight="1" spans="1:6" x14ac:dyDescent="0.25">
      <c r="A1449" s="8"/>
      <c r="B1449" s="8"/>
      <c r="C1449" s="8"/>
      <c r="D1449" s="8"/>
      <c r="E1449" s="10">
        <f>IFERROR(VLOOKUP(C1449,'Inventory Master'!$A$3:$L$300,4,FALSE),0)</f>
      </c>
      <c r="F1449" s="10">
        <f>D1449*E1449</f>
      </c>
    </row>
    <row r="1450" ht="21" customHeight="1" spans="1:6" x14ac:dyDescent="0.25">
      <c r="A1450" s="8"/>
      <c r="B1450" s="8"/>
      <c r="C1450" s="8"/>
      <c r="D1450" s="8"/>
      <c r="E1450" s="10">
        <f>IFERROR(VLOOKUP(C1450,'Inventory Master'!$A$3:$L$300,4,FALSE),0)</f>
      </c>
      <c r="F1450" s="10">
        <f>D1450*E1450</f>
      </c>
    </row>
    <row r="1451" ht="21" customHeight="1" spans="1:6" x14ac:dyDescent="0.25">
      <c r="A1451" s="8"/>
      <c r="B1451" s="8"/>
      <c r="C1451" s="8"/>
      <c r="D1451" s="8"/>
      <c r="E1451" s="10">
        <f>IFERROR(VLOOKUP(C1451,'Inventory Master'!$A$3:$L$300,4,FALSE),0)</f>
      </c>
      <c r="F1451" s="10">
        <f>D1451*E1451</f>
      </c>
    </row>
    <row r="1452" ht="21" customHeight="1" spans="1:6" x14ac:dyDescent="0.25">
      <c r="A1452" s="8"/>
      <c r="B1452" s="8"/>
      <c r="C1452" s="8"/>
      <c r="D1452" s="8"/>
      <c r="E1452" s="10">
        <f>IFERROR(VLOOKUP(C1452,'Inventory Master'!$A$3:$L$300,4,FALSE),0)</f>
      </c>
      <c r="F1452" s="10">
        <f>D1452*E1452</f>
      </c>
    </row>
    <row r="1453" ht="21" customHeight="1" spans="1:6" x14ac:dyDescent="0.25">
      <c r="A1453" s="8"/>
      <c r="B1453" s="8"/>
      <c r="C1453" s="8"/>
      <c r="D1453" s="8"/>
      <c r="E1453" s="10">
        <f>IFERROR(VLOOKUP(C1453,'Inventory Master'!$A$3:$L$300,4,FALSE),0)</f>
      </c>
      <c r="F1453" s="10">
        <f>D1453*E1453</f>
      </c>
    </row>
    <row r="1454" ht="21" customHeight="1" spans="1:6" x14ac:dyDescent="0.25">
      <c r="A1454" s="8"/>
      <c r="B1454" s="8"/>
      <c r="C1454" s="8"/>
      <c r="D1454" s="8"/>
      <c r="E1454" s="10">
        <f>IFERROR(VLOOKUP(C1454,'Inventory Master'!$A$3:$L$300,4,FALSE),0)</f>
      </c>
      <c r="F1454" s="10">
        <f>D1454*E1454</f>
      </c>
    </row>
    <row r="1455" ht="21" customHeight="1" spans="1:6" x14ac:dyDescent="0.25">
      <c r="A1455" s="8"/>
      <c r="B1455" s="8"/>
      <c r="C1455" s="8"/>
      <c r="D1455" s="8"/>
      <c r="E1455" s="10">
        <f>IFERROR(VLOOKUP(C1455,'Inventory Master'!$A$3:$L$300,4,FALSE),0)</f>
      </c>
      <c r="F1455" s="10">
        <f>D1455*E1455</f>
      </c>
    </row>
    <row r="1456" ht="21" customHeight="1" spans="1:6" x14ac:dyDescent="0.25">
      <c r="A1456" s="8"/>
      <c r="B1456" s="8"/>
      <c r="C1456" s="8"/>
      <c r="D1456" s="8"/>
      <c r="E1456" s="10">
        <f>IFERROR(VLOOKUP(C1456,'Inventory Master'!$A$3:$L$300,4,FALSE),0)</f>
      </c>
      <c r="F1456" s="10">
        <f>D1456*E1456</f>
      </c>
    </row>
    <row r="1457" ht="21" customHeight="1" spans="1:6" x14ac:dyDescent="0.25">
      <c r="A1457" s="8"/>
      <c r="B1457" s="8"/>
      <c r="C1457" s="8"/>
      <c r="D1457" s="8"/>
      <c r="E1457" s="10">
        <f>IFERROR(VLOOKUP(C1457,'Inventory Master'!$A$3:$L$300,4,FALSE),0)</f>
      </c>
      <c r="F1457" s="10">
        <f>D1457*E1457</f>
      </c>
    </row>
    <row r="1458" ht="21" customHeight="1" spans="1:6" x14ac:dyDescent="0.25">
      <c r="A1458" s="8"/>
      <c r="B1458" s="8"/>
      <c r="C1458" s="8"/>
      <c r="D1458" s="8"/>
      <c r="E1458" s="10">
        <f>IFERROR(VLOOKUP(C1458,'Inventory Master'!$A$3:$L$300,4,FALSE),0)</f>
      </c>
      <c r="F1458" s="10">
        <f>D1458*E1458</f>
      </c>
    </row>
    <row r="1459" ht="21" customHeight="1" spans="1:6" x14ac:dyDescent="0.25">
      <c r="A1459" s="8"/>
      <c r="B1459" s="8"/>
      <c r="C1459" s="8"/>
      <c r="D1459" s="8"/>
      <c r="E1459" s="10">
        <f>IFERROR(VLOOKUP(C1459,'Inventory Master'!$A$3:$L$300,4,FALSE),0)</f>
      </c>
      <c r="F1459" s="10">
        <f>D1459*E1459</f>
      </c>
    </row>
    <row r="1460" ht="21" customHeight="1" spans="1:6" x14ac:dyDescent="0.25">
      <c r="A1460" s="8"/>
      <c r="B1460" s="8"/>
      <c r="C1460" s="8"/>
      <c r="D1460" s="8"/>
      <c r="E1460" s="10">
        <f>IFERROR(VLOOKUP(C1460,'Inventory Master'!$A$3:$L$300,4,FALSE),0)</f>
      </c>
      <c r="F1460" s="10">
        <f>D1460*E1460</f>
      </c>
    </row>
    <row r="1461" ht="21" customHeight="1" spans="1:6" x14ac:dyDescent="0.25">
      <c r="A1461" s="8"/>
      <c r="B1461" s="8"/>
      <c r="C1461" s="8"/>
      <c r="D1461" s="8"/>
      <c r="E1461" s="10">
        <f>IFERROR(VLOOKUP(C1461,'Inventory Master'!$A$3:$L$300,4,FALSE),0)</f>
      </c>
      <c r="F1461" s="10">
        <f>D1461*E1461</f>
      </c>
    </row>
    <row r="1462" ht="21" customHeight="1" spans="1:6" x14ac:dyDescent="0.25">
      <c r="A1462" s="8"/>
      <c r="B1462" s="8"/>
      <c r="C1462" s="8"/>
      <c r="D1462" s="8"/>
      <c r="E1462" s="10">
        <f>IFERROR(VLOOKUP(C1462,'Inventory Master'!$A$3:$L$300,4,FALSE),0)</f>
      </c>
      <c r="F1462" s="10">
        <f>D1462*E1462</f>
      </c>
    </row>
    <row r="1463" ht="21" customHeight="1" spans="1:6" x14ac:dyDescent="0.25">
      <c r="A1463" s="8"/>
      <c r="B1463" s="8"/>
      <c r="C1463" s="8"/>
      <c r="D1463" s="8"/>
      <c r="E1463" s="10">
        <f>IFERROR(VLOOKUP(C1463,'Inventory Master'!$A$3:$L$300,4,FALSE),0)</f>
      </c>
      <c r="F1463" s="10">
        <f>D1463*E1463</f>
      </c>
    </row>
    <row r="1464" ht="21" customHeight="1" spans="1:6" x14ac:dyDescent="0.25">
      <c r="A1464" s="8"/>
      <c r="B1464" s="8"/>
      <c r="C1464" s="8"/>
      <c r="D1464" s="8"/>
      <c r="E1464" s="10">
        <f>IFERROR(VLOOKUP(C1464,'Inventory Master'!$A$3:$L$300,4,FALSE),0)</f>
      </c>
      <c r="F1464" s="10">
        <f>D1464*E1464</f>
      </c>
    </row>
    <row r="1465" ht="21" customHeight="1" spans="1:6" x14ac:dyDescent="0.25">
      <c r="A1465" s="8"/>
      <c r="B1465" s="8"/>
      <c r="C1465" s="8"/>
      <c r="D1465" s="8"/>
      <c r="E1465" s="10">
        <f>IFERROR(VLOOKUP(C1465,'Inventory Master'!$A$3:$L$300,4,FALSE),0)</f>
      </c>
      <c r="F1465" s="10">
        <f>D1465*E1465</f>
      </c>
    </row>
    <row r="1466" ht="21" customHeight="1" spans="1:6" x14ac:dyDescent="0.25">
      <c r="A1466" s="8"/>
      <c r="B1466" s="8"/>
      <c r="C1466" s="8"/>
      <c r="D1466" s="8"/>
      <c r="E1466" s="10">
        <f>IFERROR(VLOOKUP(C1466,'Inventory Master'!$A$3:$L$300,4,FALSE),0)</f>
      </c>
      <c r="F1466" s="10">
        <f>D1466*E1466</f>
      </c>
    </row>
    <row r="1467" ht="21" customHeight="1" spans="1:6" x14ac:dyDescent="0.25">
      <c r="A1467" s="8"/>
      <c r="B1467" s="8"/>
      <c r="C1467" s="8"/>
      <c r="D1467" s="8"/>
      <c r="E1467" s="10">
        <f>IFERROR(VLOOKUP(C1467,'Inventory Master'!$A$3:$L$300,4,FALSE),0)</f>
      </c>
      <c r="F1467" s="10">
        <f>D1467*E1467</f>
      </c>
    </row>
    <row r="1468" ht="21" customHeight="1" spans="1:6" x14ac:dyDescent="0.25">
      <c r="A1468" s="8"/>
      <c r="B1468" s="8"/>
      <c r="C1468" s="8"/>
      <c r="D1468" s="8"/>
      <c r="E1468" s="10">
        <f>IFERROR(VLOOKUP(C1468,'Inventory Master'!$A$3:$L$300,4,FALSE),0)</f>
      </c>
      <c r="F1468" s="10">
        <f>D1468*E1468</f>
      </c>
    </row>
    <row r="1469" ht="21" customHeight="1" spans="1:6" x14ac:dyDescent="0.25">
      <c r="A1469" s="8"/>
      <c r="B1469" s="8"/>
      <c r="C1469" s="8"/>
      <c r="D1469" s="8"/>
      <c r="E1469" s="10">
        <f>IFERROR(VLOOKUP(C1469,'Inventory Master'!$A$3:$L$300,4,FALSE),0)</f>
      </c>
      <c r="F1469" s="10">
        <f>D1469*E1469</f>
      </c>
    </row>
    <row r="1470" ht="21" customHeight="1" spans="1:6" x14ac:dyDescent="0.25">
      <c r="A1470" s="8"/>
      <c r="B1470" s="8"/>
      <c r="C1470" s="8"/>
      <c r="D1470" s="8"/>
      <c r="E1470" s="10">
        <f>IFERROR(VLOOKUP(C1470,'Inventory Master'!$A$3:$L$300,4,FALSE),0)</f>
      </c>
      <c r="F1470" s="10">
        <f>D1470*E1470</f>
      </c>
    </row>
    <row r="1471" ht="21" customHeight="1" spans="1:6" x14ac:dyDescent="0.25">
      <c r="A1471" s="8"/>
      <c r="B1471" s="8"/>
      <c r="C1471" s="8"/>
      <c r="D1471" s="8"/>
      <c r="E1471" s="10">
        <f>IFERROR(VLOOKUP(C1471,'Inventory Master'!$A$3:$L$300,4,FALSE),0)</f>
      </c>
      <c r="F1471" s="10">
        <f>D1471*E1471</f>
      </c>
    </row>
    <row r="1472" ht="21" customHeight="1" spans="1:6" x14ac:dyDescent="0.25">
      <c r="A1472" s="8"/>
      <c r="B1472" s="8"/>
      <c r="C1472" s="8"/>
      <c r="D1472" s="8"/>
      <c r="E1472" s="10">
        <f>IFERROR(VLOOKUP(C1472,'Inventory Master'!$A$3:$L$300,4,FALSE),0)</f>
      </c>
      <c r="F1472" s="10">
        <f>D1472*E1472</f>
      </c>
    </row>
    <row r="1473" ht="21" customHeight="1" spans="1:6" x14ac:dyDescent="0.25">
      <c r="A1473" s="8"/>
      <c r="B1473" s="8"/>
      <c r="C1473" s="8"/>
      <c r="D1473" s="8"/>
      <c r="E1473" s="10">
        <f>IFERROR(VLOOKUP(C1473,'Inventory Master'!$A$3:$L$300,4,FALSE),0)</f>
      </c>
      <c r="F1473" s="10">
        <f>D1473*E1473</f>
      </c>
    </row>
    <row r="1474" ht="21" customHeight="1" spans="1:6" x14ac:dyDescent="0.25">
      <c r="A1474" s="8"/>
      <c r="B1474" s="8"/>
      <c r="C1474" s="8"/>
      <c r="D1474" s="8"/>
      <c r="E1474" s="10">
        <f>IFERROR(VLOOKUP(C1474,'Inventory Master'!$A$3:$L$300,4,FALSE),0)</f>
      </c>
      <c r="F1474" s="10">
        <f>D1474*E1474</f>
      </c>
    </row>
    <row r="1475" ht="21" customHeight="1" spans="1:6" x14ac:dyDescent="0.25">
      <c r="A1475" s="8"/>
      <c r="B1475" s="8"/>
      <c r="C1475" s="8"/>
      <c r="D1475" s="8"/>
      <c r="E1475" s="10">
        <f>IFERROR(VLOOKUP(C1475,'Inventory Master'!$A$3:$L$300,4,FALSE),0)</f>
      </c>
      <c r="F1475" s="10">
        <f>D1475*E1475</f>
      </c>
    </row>
    <row r="1476" ht="21" customHeight="1" spans="1:6" x14ac:dyDescent="0.25">
      <c r="A1476" s="8"/>
      <c r="B1476" s="8"/>
      <c r="C1476" s="8"/>
      <c r="D1476" s="8"/>
      <c r="E1476" s="10">
        <f>IFERROR(VLOOKUP(C1476,'Inventory Master'!$A$3:$L$300,4,FALSE),0)</f>
      </c>
      <c r="F1476" s="10">
        <f>D1476*E1476</f>
      </c>
    </row>
    <row r="1477" ht="21" customHeight="1" spans="1:6" x14ac:dyDescent="0.25">
      <c r="A1477" s="8"/>
      <c r="B1477" s="8"/>
      <c r="C1477" s="8"/>
      <c r="D1477" s="8"/>
      <c r="E1477" s="10">
        <f>IFERROR(VLOOKUP(C1477,'Inventory Master'!$A$3:$L$300,4,FALSE),0)</f>
      </c>
      <c r="F1477" s="10">
        <f>D1477*E1477</f>
      </c>
    </row>
    <row r="1478" ht="21" customHeight="1" spans="1:6" x14ac:dyDescent="0.25">
      <c r="A1478" s="8"/>
      <c r="B1478" s="8"/>
      <c r="C1478" s="8"/>
      <c r="D1478" s="8"/>
      <c r="E1478" s="10">
        <f>IFERROR(VLOOKUP(C1478,'Inventory Master'!$A$3:$L$300,4,FALSE),0)</f>
      </c>
      <c r="F1478" s="10">
        <f>D1478*E1478</f>
      </c>
    </row>
    <row r="1479" ht="21" customHeight="1" spans="1:6" x14ac:dyDescent="0.25">
      <c r="A1479" s="8"/>
      <c r="B1479" s="8"/>
      <c r="C1479" s="8"/>
      <c r="D1479" s="8"/>
      <c r="E1479" s="10">
        <f>IFERROR(VLOOKUP(C1479,'Inventory Master'!$A$3:$L$300,4,FALSE),0)</f>
      </c>
      <c r="F1479" s="10">
        <f>D1479*E1479</f>
      </c>
    </row>
    <row r="1480" ht="21" customHeight="1" spans="1:6" x14ac:dyDescent="0.25">
      <c r="A1480" s="8"/>
      <c r="B1480" s="8"/>
      <c r="C1480" s="8"/>
      <c r="D1480" s="8"/>
      <c r="E1480" s="10">
        <f>IFERROR(VLOOKUP(C1480,'Inventory Master'!$A$3:$L$300,4,FALSE),0)</f>
      </c>
      <c r="F1480" s="10">
        <f>D1480*E1480</f>
      </c>
    </row>
    <row r="1481" ht="21" customHeight="1" spans="1:6" x14ac:dyDescent="0.25">
      <c r="A1481" s="8"/>
      <c r="B1481" s="8"/>
      <c r="C1481" s="8"/>
      <c r="D1481" s="8"/>
      <c r="E1481" s="10">
        <f>IFERROR(VLOOKUP(C1481,'Inventory Master'!$A$3:$L$300,4,FALSE),0)</f>
      </c>
      <c r="F1481" s="10">
        <f>D1481*E1481</f>
      </c>
    </row>
    <row r="1482" ht="21" customHeight="1" spans="1:6" x14ac:dyDescent="0.25">
      <c r="A1482" s="8"/>
      <c r="B1482" s="8"/>
      <c r="C1482" s="8"/>
      <c r="D1482" s="8"/>
      <c r="E1482" s="10">
        <f>IFERROR(VLOOKUP(C1482,'Inventory Master'!$A$3:$L$300,4,FALSE),0)</f>
      </c>
      <c r="F1482" s="10">
        <f>D1482*E1482</f>
      </c>
    </row>
    <row r="1483" ht="21" customHeight="1" spans="1:6" x14ac:dyDescent="0.25">
      <c r="A1483" s="8"/>
      <c r="B1483" s="8"/>
      <c r="C1483" s="8"/>
      <c r="D1483" s="8"/>
      <c r="E1483" s="10">
        <f>IFERROR(VLOOKUP(C1483,'Inventory Master'!$A$3:$L$300,4,FALSE),0)</f>
      </c>
      <c r="F1483" s="10">
        <f>D1483*E1483</f>
      </c>
    </row>
    <row r="1484" ht="21" customHeight="1" spans="1:6" x14ac:dyDescent="0.25">
      <c r="A1484" s="8"/>
      <c r="B1484" s="8"/>
      <c r="C1484" s="8"/>
      <c r="D1484" s="8"/>
      <c r="E1484" s="10">
        <f>IFERROR(VLOOKUP(C1484,'Inventory Master'!$A$3:$L$300,4,FALSE),0)</f>
      </c>
      <c r="F1484" s="10">
        <f>D1484*E1484</f>
      </c>
    </row>
    <row r="1485" ht="21" customHeight="1" spans="1:6" x14ac:dyDescent="0.25">
      <c r="A1485" s="8"/>
      <c r="B1485" s="8"/>
      <c r="C1485" s="8"/>
      <c r="D1485" s="8"/>
      <c r="E1485" s="10">
        <f>IFERROR(VLOOKUP(C1485,'Inventory Master'!$A$3:$L$300,4,FALSE),0)</f>
      </c>
      <c r="F1485" s="10">
        <f>D1485*E1485</f>
      </c>
    </row>
    <row r="1486" ht="21" customHeight="1" spans="1:6" x14ac:dyDescent="0.25">
      <c r="A1486" s="8"/>
      <c r="B1486" s="8"/>
      <c r="C1486" s="8"/>
      <c r="D1486" s="8"/>
      <c r="E1486" s="10">
        <f>IFERROR(VLOOKUP(C1486,'Inventory Master'!$A$3:$L$300,4,FALSE),0)</f>
      </c>
      <c r="F1486" s="10">
        <f>D1486*E1486</f>
      </c>
    </row>
    <row r="1487" ht="21" customHeight="1" spans="1:6" x14ac:dyDescent="0.25">
      <c r="A1487" s="8"/>
      <c r="B1487" s="8"/>
      <c r="C1487" s="8"/>
      <c r="D1487" s="8"/>
      <c r="E1487" s="10">
        <f>IFERROR(VLOOKUP(C1487,'Inventory Master'!$A$3:$L$300,4,FALSE),0)</f>
      </c>
      <c r="F1487" s="10">
        <f>D1487*E1487</f>
      </c>
    </row>
    <row r="1488" ht="21" customHeight="1" spans="1:6" x14ac:dyDescent="0.25">
      <c r="A1488" s="8"/>
      <c r="B1488" s="8"/>
      <c r="C1488" s="8"/>
      <c r="D1488" s="8"/>
      <c r="E1488" s="10">
        <f>IFERROR(VLOOKUP(C1488,'Inventory Master'!$A$3:$L$300,4,FALSE),0)</f>
      </c>
      <c r="F1488" s="10">
        <f>D1488*E1488</f>
      </c>
    </row>
    <row r="1489" ht="21" customHeight="1" spans="1:6" x14ac:dyDescent="0.25">
      <c r="A1489" s="8"/>
      <c r="B1489" s="8"/>
      <c r="C1489" s="8"/>
      <c r="D1489" s="8"/>
      <c r="E1489" s="10">
        <f>IFERROR(VLOOKUP(C1489,'Inventory Master'!$A$3:$L$300,4,FALSE),0)</f>
      </c>
      <c r="F1489" s="10">
        <f>D1489*E1489</f>
      </c>
    </row>
    <row r="1490" ht="21" customHeight="1" spans="1:6" x14ac:dyDescent="0.25">
      <c r="A1490" s="8"/>
      <c r="B1490" s="8"/>
      <c r="C1490" s="8"/>
      <c r="D1490" s="8"/>
      <c r="E1490" s="10">
        <f>IFERROR(VLOOKUP(C1490,'Inventory Master'!$A$3:$L$300,4,FALSE),0)</f>
      </c>
      <c r="F1490" s="10">
        <f>D1490*E1490</f>
      </c>
    </row>
    <row r="1491" ht="21" customHeight="1" spans="1:6" x14ac:dyDescent="0.25">
      <c r="A1491" s="8"/>
      <c r="B1491" s="8"/>
      <c r="C1491" s="8"/>
      <c r="D1491" s="8"/>
      <c r="E1491" s="10">
        <f>IFERROR(VLOOKUP(C1491,'Inventory Master'!$A$3:$L$300,4,FALSE),0)</f>
      </c>
      <c r="F1491" s="10">
        <f>D1491*E1491</f>
      </c>
    </row>
    <row r="1492" ht="21" customHeight="1" spans="1:6" x14ac:dyDescent="0.25">
      <c r="A1492" s="8"/>
      <c r="B1492" s="8"/>
      <c r="C1492" s="8"/>
      <c r="D1492" s="8"/>
      <c r="E1492" s="10">
        <f>IFERROR(VLOOKUP(C1492,'Inventory Master'!$A$3:$L$300,4,FALSE),0)</f>
      </c>
      <c r="F1492" s="10">
        <f>D1492*E1492</f>
      </c>
    </row>
    <row r="1493" ht="21" customHeight="1" spans="1:6" x14ac:dyDescent="0.25">
      <c r="A1493" s="8"/>
      <c r="B1493" s="8"/>
      <c r="C1493" s="8"/>
      <c r="D1493" s="8"/>
      <c r="E1493" s="10">
        <f>IFERROR(VLOOKUP(C1493,'Inventory Master'!$A$3:$L$300,4,FALSE),0)</f>
      </c>
      <c r="F1493" s="10">
        <f>D1493*E1493</f>
      </c>
    </row>
    <row r="1494" ht="21" customHeight="1" spans="1:6" x14ac:dyDescent="0.25">
      <c r="A1494" s="8"/>
      <c r="B1494" s="8"/>
      <c r="C1494" s="8"/>
      <c r="D1494" s="8"/>
      <c r="E1494" s="10">
        <f>IFERROR(VLOOKUP(C1494,'Inventory Master'!$A$3:$L$300,4,FALSE),0)</f>
      </c>
      <c r="F1494" s="10">
        <f>D1494*E1494</f>
      </c>
    </row>
    <row r="1495" ht="21" customHeight="1" spans="1:6" x14ac:dyDescent="0.25">
      <c r="A1495" s="8"/>
      <c r="B1495" s="8"/>
      <c r="C1495" s="8"/>
      <c r="D1495" s="8"/>
      <c r="E1495" s="10">
        <f>IFERROR(VLOOKUP(C1495,'Inventory Master'!$A$3:$L$300,4,FALSE),0)</f>
      </c>
      <c r="F1495" s="10">
        <f>D1495*E1495</f>
      </c>
    </row>
    <row r="1496" ht="21" customHeight="1" spans="1:6" x14ac:dyDescent="0.25">
      <c r="A1496" s="8"/>
      <c r="B1496" s="8"/>
      <c r="C1496" s="8"/>
      <c r="D1496" s="8"/>
      <c r="E1496" s="10">
        <f>IFERROR(VLOOKUP(C1496,'Inventory Master'!$A$3:$L$300,4,FALSE),0)</f>
      </c>
      <c r="F1496" s="10">
        <f>D1496*E1496</f>
      </c>
    </row>
    <row r="1497" ht="21" customHeight="1" spans="1:6" x14ac:dyDescent="0.25">
      <c r="A1497" s="8"/>
      <c r="B1497" s="8"/>
      <c r="C1497" s="8"/>
      <c r="D1497" s="8"/>
      <c r="E1497" s="10">
        <f>IFERROR(VLOOKUP(C1497,'Inventory Master'!$A$3:$L$300,4,FALSE),0)</f>
      </c>
      <c r="F1497" s="10">
        <f>D1497*E1497</f>
      </c>
    </row>
    <row r="1498" ht="21" customHeight="1" spans="1:6" x14ac:dyDescent="0.25">
      <c r="A1498" s="8"/>
      <c r="B1498" s="8"/>
      <c r="C1498" s="8"/>
      <c r="D1498" s="8"/>
      <c r="E1498" s="10">
        <f>IFERROR(VLOOKUP(C1498,'Inventory Master'!$A$3:$L$300,4,FALSE),0)</f>
      </c>
      <c r="F1498" s="10">
        <f>D1498*E1498</f>
      </c>
    </row>
    <row r="1499" ht="21" customHeight="1" spans="1:6" x14ac:dyDescent="0.25">
      <c r="A1499" s="8"/>
      <c r="B1499" s="8"/>
      <c r="C1499" s="8"/>
      <c r="D1499" s="8"/>
      <c r="E1499" s="10">
        <f>IFERROR(VLOOKUP(C1499,'Inventory Master'!$A$3:$L$300,4,FALSE),0)</f>
      </c>
      <c r="F1499" s="10">
        <f>D1499*E1499</f>
      </c>
    </row>
    <row r="1500" ht="21" customHeight="1" spans="1:6" x14ac:dyDescent="0.25">
      <c r="A1500" s="8"/>
      <c r="B1500" s="8"/>
      <c r="C1500" s="8"/>
      <c r="D1500" s="8"/>
      <c r="E1500" s="10">
        <f>IFERROR(VLOOKUP(C1500,'Inventory Master'!$A$3:$L$300,4,FALSE),0)</f>
      </c>
      <c r="F1500" s="10">
        <f>D1500*E1500</f>
      </c>
    </row>
  </sheetData>
  <sheetProtection sheet="1" selectLockedCells="1" autoFilter="0" algorithmName="SHA-512" hashValue="f2e9oYJ3gC42gGcNhhuBXXAZQ6+/xvCccE3ry5r+fi7xPconASVIs2V1jshirFGKz86s3XAzmWONe9De32ByWg==" saltValue="IfDVW4wyLqPGvhT+/hAWLA==" spinCount="100000"/>
  <mergeCells count="1">
    <mergeCell ref="A1:F1"/>
  </mergeCells>
  <dataValidations count="4">
    <dataValidation type="list" allowBlank="1" showErrorMessage="1" errorStyle="warning" errorTitle="Choose from list" error="Please use the dropdown." sqref="B10:B1500">
      <formula1>Lists!$E$2:$E$20</formula1>
    </dataValidation>
    <dataValidation type="list" allowBlank="1" showErrorMessage="1" errorStyle="warning" errorTitle="Choose from list" error="Please use the dropdown." sqref="B3:B1500">
      <formula1>Lists!$E$2:$E$20</formula1>
    </dataValidation>
    <dataValidation type="list" allowBlank="1" showErrorMessage="1" errorStyle="warning" errorTitle="Choose from list" error="Please use the dropdown." sqref="C10:C1500">
      <formula1>'Inventory Master'!$A$3:$A$300</formula1>
    </dataValidation>
    <dataValidation type="list" allowBlank="1" showErrorMessage="1" errorStyle="warning" errorTitle="Choose from list" error="Please use the dropdown." sqref="C3:C1500">
      <formula1>'Inventory Master'!$A$3:$A$300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customWidth="1"/>
    <col min="4" max="4" width="4" customWidth="1"/>
    <col min="5" max="5" width="16" customWidth="1"/>
    <col min="6" max="6" width="18" customWidth="1"/>
    <col min="7" max="7" width="14" customWidth="1"/>
    <col min="8" max="8" width="4" customWidth="1"/>
    <col min="9" max="10" width="12" customWidth="1"/>
  </cols>
  <sheetData>
    <row r="1" ht="24" customHeight="1" spans="1:10" x14ac:dyDescent="0.25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</row>
    <row r="3" spans="1:7" x14ac:dyDescent="0.25">
      <c r="A3" s="4" t="s">
        <v>42</v>
      </c>
      <c r="B3" s="4"/>
      <c r="C3" s="4"/>
      <c r="E3" s="4" t="s">
        <v>43</v>
      </c>
      <c r="F3" s="4"/>
      <c r="G3" s="4"/>
    </row>
    <row r="4" spans="1:5" x14ac:dyDescent="0.25">
      <c r="A4">
        <f>QUERY({'Sales Log'!A3:A2000,'Sales Log'!F3:F2000},"select Col1,sum(Col2) where Col1 is not null group by Col1 order by Col1 desc label Col1 'Date', sum(Col2) 'Sales Total'",0)</f>
      </c>
      <c r="E4">
        <f>QUERY({ARRAYFORMULA('Sales Log'!A3:A2000-WEEKDAY('Sales Log'!A3:A2000,2)+1),'Sales Log'!F3:F2000},"select Col1,sum(Col2) where Col1 is not null group by Col1 order by Col1 desc label Col1 'Week Starting', sum(Col2) 'Sales Total'",0)</f>
      </c>
    </row>
    <row r="20" spans="1:7" x14ac:dyDescent="0.25">
      <c r="A20" s="4" t="s">
        <v>44</v>
      </c>
      <c r="B20" s="4"/>
      <c r="C20" s="4"/>
      <c r="E20" s="4" t="s">
        <v>45</v>
      </c>
      <c r="F20" s="4"/>
      <c r="G20" s="4"/>
    </row>
    <row r="21" spans="1:5" x14ac:dyDescent="0.25">
      <c r="A21">
        <f>QUERY({TEXT('Sales Log'!A3:A2000,"YYYY-MM"),'Sales Log'!F3:F2000},"select Col1,sum(Col2) where Col1 is not null group by Col1 order by Col1 desc label Col1 'Month', sum(Col2) 'Sales Total'",0)</f>
      </c>
      <c r="E21">
        <f>QUERY({'Daily Stock Count'!A3:A1000,'Daily Stock Count'!B3:B1000,'Daily Stock Count'!I3:I1000},"select Col1,Col2,Col3 where Col1 is not null and Col3 &lt;&gt; 0 order by Col1 desc label Col1 'Date', Col2 'Item', Col3 'Variance'",0)</f>
      </c>
    </row>
    <row r="40" spans="1:1" x14ac:dyDescent="0.25">
      <c r="A40" s="6" t="s">
        <v>46</v>
      </c>
    </row>
  </sheetData>
  <sheetProtection sheet="1" selectLockedCells="1" autoFilter="0" algorithmName="SHA-512" hashValue="+vc5KjGAEPtnyFrf343vOaicYJQyvwheHOpB4F4rrhhRH/F6+bR1GA/H65jKv5cNLABP9M9iKMyqaZ9NiHM29Q==" saltValue="Bfqk0knZenkDbNVabMC0Rw==" spinCount="100000"/>
  <mergeCells count="5">
    <mergeCell ref="A1:J1"/>
    <mergeCell ref="A3:C3"/>
    <mergeCell ref="E3:G3"/>
    <mergeCell ref="A20:C20"/>
    <mergeCell ref="E20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4" width="18" customWidth="1"/>
    <col min="5" max="5" width="22" customWidth="1"/>
  </cols>
  <sheetData>
    <row r="1" spans="1:5" x14ac:dyDescent="0.25">
      <c r="A1" s="12" t="s">
        <v>47</v>
      </c>
      <c r="B1" s="12" t="s">
        <v>48</v>
      </c>
      <c r="C1" s="12" t="s">
        <v>49</v>
      </c>
      <c r="D1" s="12" t="s">
        <v>50</v>
      </c>
      <c r="E1" s="12" t="s">
        <v>51</v>
      </c>
    </row>
    <row r="2" spans="1:5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</row>
    <row r="4" spans="1:5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</row>
    <row r="5" spans="1:5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</row>
    <row r="6" spans="1:4" x14ac:dyDescent="0.25">
      <c r="A6" t="s">
        <v>72</v>
      </c>
      <c r="B6" t="s">
        <v>73</v>
      </c>
      <c r="C6" t="s">
        <v>74</v>
      </c>
      <c r="D6" t="s">
        <v>75</v>
      </c>
    </row>
    <row r="7" spans="1:2" x14ac:dyDescent="0.25">
      <c r="A7" t="s">
        <v>76</v>
      </c>
      <c r="B7" t="s">
        <v>77</v>
      </c>
    </row>
    <row r="8" spans="1:2" x14ac:dyDescent="0.25">
      <c r="A8" t="s">
        <v>78</v>
      </c>
      <c r="B8" t="s">
        <v>79</v>
      </c>
    </row>
    <row r="9" spans="1:2" x14ac:dyDescent="0.25">
      <c r="A9" t="s">
        <v>80</v>
      </c>
      <c r="B9" t="s">
        <v>81</v>
      </c>
    </row>
    <row r="10" spans="2:2" x14ac:dyDescent="0.25">
      <c r="B1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Inventory Master</vt:lpstr>
      <vt:lpstr>Daily Stock Count</vt:lpstr>
      <vt:lpstr>Sales Log</vt:lpstr>
      <vt:lpstr>Purchases</vt:lpstr>
      <vt:lpstr>Reports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OpenClaw</dc:creator>
  <dc:title/>
  <dc:subject/>
  <dc:description/>
  <cp:keywords/>
  <cp:category/>
  <cp:lastModifiedBy>OpenClaw</cp:lastModifiedBy>
  <dcterms:created xsi:type="dcterms:W3CDTF">2026-05-12T09:00:51Z</dcterms:created>
  <dcterms:modified xsi:type="dcterms:W3CDTF">2026-05-12T09:00:51Z</dcterms:modified>
</cp:coreProperties>
</file>